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66536292078ae7/"/>
    </mc:Choice>
  </mc:AlternateContent>
  <xr:revisionPtr revIDLastSave="967" documentId="8_{11E76306-C200-4FC4-BC2B-CC99D67D39FF}" xr6:coauthVersionLast="47" xr6:coauthVersionMax="47" xr10:uidLastSave="{3C78892E-6219-4F86-95F0-2D730EDB513C}"/>
  <bookViews>
    <workbookView xWindow="-110" yWindow="-110" windowWidth="19420" windowHeight="10420" activeTab="4" xr2:uid="{E1EBAE9A-ABB4-4583-9967-D8CBAD16FEC9}"/>
  </bookViews>
  <sheets>
    <sheet name="Raw_Snapshot" sheetId="3" r:id="rId1"/>
    <sheet name="Cleaned" sheetId="1" r:id="rId2"/>
    <sheet name="Date Profile" sheetId="2" r:id="rId3"/>
    <sheet name="Admin_Mappings" sheetId="5" r:id="rId4"/>
    <sheet name="Validating " sheetId="4" r:id="rId5"/>
  </sheets>
  <definedNames>
    <definedName name="Blanks">'Validating '!$E$8:$E$17</definedName>
    <definedName name="Duplicates">'Validating '!$D$8:$D$17</definedName>
    <definedName name="Empty_Text">'Validating '!$H$8:$H$17</definedName>
    <definedName name="Max">'Validating '!$K$8:$K$17</definedName>
    <definedName name="Min">'Validating '!$J$8:$J$17</definedName>
    <definedName name="Missing">'Validating '!$E$7:$F$17</definedName>
    <definedName name="Non_Numeric">'Validating '!$L$8:$L$17</definedName>
    <definedName name="Nulls">'Validating '!$F$8:$F$17</definedName>
    <definedName name="Padded_Text">'Validating '!$G$8:$G$17</definedName>
    <definedName name="Pattern_Failures">'Validating '!$M$8:$M$17</definedName>
    <definedName name="Text_Dates">'Validating '!$I$8:$I$17</definedName>
    <definedName name="Total_Rows">'Validating '!$E$4</definedName>
    <definedName name="Unique">'Validating '!$C$8:$C$17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7" i="2" l="1" a="1"/>
  <c r="D7" i="2" s="1"/>
  <c r="C9" i="4"/>
  <c r="D9" i="4" s="1"/>
  <c r="M17" i="4" a="1"/>
  <c r="T980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2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M16" i="4" a="1"/>
  <c r="M15" i="2" a="1"/>
  <c r="Q2" i="1"/>
  <c r="M16" i="2" a="1"/>
  <c r="R2" i="1" a="1"/>
  <c r="Q3" i="1"/>
  <c r="R3" i="1" s="1" a="1"/>
  <c r="Q4" i="1"/>
  <c r="R4" i="1" s="1" a="1"/>
  <c r="Q5" i="1"/>
  <c r="R5" i="1" s="1" a="1"/>
  <c r="Q6" i="1"/>
  <c r="R6" i="1" s="1" a="1"/>
  <c r="Q7" i="1"/>
  <c r="R7" i="1" s="1" a="1"/>
  <c r="Q8" i="1"/>
  <c r="R8" i="1" s="1" a="1"/>
  <c r="Q9" i="1"/>
  <c r="R9" i="1" s="1" a="1"/>
  <c r="Q10" i="1"/>
  <c r="R10" i="1" s="1" a="1"/>
  <c r="Q11" i="1"/>
  <c r="R11" i="1" s="1" a="1"/>
  <c r="Q12" i="1"/>
  <c r="R12" i="1" s="1" a="1"/>
  <c r="Q13" i="1"/>
  <c r="R13" i="1" s="1" a="1"/>
  <c r="Q14" i="1"/>
  <c r="R14" i="1" s="1" a="1"/>
  <c r="Q15" i="1"/>
  <c r="R15" i="1" s="1" a="1"/>
  <c r="Q16" i="1"/>
  <c r="R16" i="1" s="1" a="1"/>
  <c r="Q17" i="1"/>
  <c r="R17" i="1" s="1" a="1"/>
  <c r="Q18" i="1"/>
  <c r="R18" i="1" s="1" a="1"/>
  <c r="Q19" i="1"/>
  <c r="R19" i="1" s="1" a="1"/>
  <c r="Q20" i="1"/>
  <c r="R20" i="1" s="1" a="1"/>
  <c r="Q21" i="1"/>
  <c r="R21" i="1" s="1" a="1"/>
  <c r="Q22" i="1"/>
  <c r="R22" i="1" s="1" a="1"/>
  <c r="Q23" i="1"/>
  <c r="R23" i="1" s="1" a="1"/>
  <c r="Q24" i="1"/>
  <c r="R24" i="1" s="1" a="1"/>
  <c r="Q25" i="1"/>
  <c r="R25" i="1" s="1" a="1"/>
  <c r="Q26" i="1"/>
  <c r="R26" i="1" s="1" a="1"/>
  <c r="Q27" i="1"/>
  <c r="R27" i="1" s="1" a="1"/>
  <c r="Q28" i="1"/>
  <c r="R28" i="1" s="1" a="1"/>
  <c r="Q29" i="1"/>
  <c r="R29" i="1" s="1" a="1"/>
  <c r="Q30" i="1"/>
  <c r="R30" i="1" s="1" a="1"/>
  <c r="Q31" i="1"/>
  <c r="R31" i="1" s="1" a="1"/>
  <c r="Q32" i="1"/>
  <c r="R32" i="1" s="1" a="1"/>
  <c r="Q33" i="1"/>
  <c r="R33" i="1" s="1" a="1"/>
  <c r="Q34" i="1"/>
  <c r="R34" i="1" s="1" a="1"/>
  <c r="Q35" i="1"/>
  <c r="R35" i="1" s="1" a="1"/>
  <c r="Q36" i="1"/>
  <c r="R36" i="1" s="1" a="1"/>
  <c r="Q37" i="1"/>
  <c r="R37" i="1" s="1" a="1"/>
  <c r="Q38" i="1"/>
  <c r="R38" i="1" s="1" a="1"/>
  <c r="Q39" i="1"/>
  <c r="R39" i="1" s="1" a="1"/>
  <c r="Q40" i="1"/>
  <c r="R40" i="1" s="1" a="1"/>
  <c r="Q41" i="1"/>
  <c r="R41" i="1" s="1" a="1"/>
  <c r="Q42" i="1"/>
  <c r="R42" i="1" s="1" a="1"/>
  <c r="Q43" i="1"/>
  <c r="R43" i="1" s="1" a="1"/>
  <c r="Q44" i="1"/>
  <c r="R44" i="1" s="1" a="1"/>
  <c r="Q45" i="1"/>
  <c r="R45" i="1" s="1" a="1"/>
  <c r="Q46" i="1"/>
  <c r="R46" i="1" s="1" a="1"/>
  <c r="Q47" i="1"/>
  <c r="R47" i="1" s="1" a="1"/>
  <c r="Q48" i="1"/>
  <c r="R48" i="1" s="1" a="1"/>
  <c r="Q49" i="1"/>
  <c r="R49" i="1" s="1" a="1"/>
  <c r="Q50" i="1"/>
  <c r="R50" i="1" s="1" a="1"/>
  <c r="Q51" i="1"/>
  <c r="R51" i="1" s="1" a="1"/>
  <c r="Q52" i="1"/>
  <c r="R52" i="1" s="1" a="1"/>
  <c r="Q53" i="1"/>
  <c r="R53" i="1" s="1" a="1"/>
  <c r="Q54" i="1"/>
  <c r="R54" i="1" s="1" a="1"/>
  <c r="Q55" i="1"/>
  <c r="R55" i="1" s="1" a="1"/>
  <c r="Q56" i="1"/>
  <c r="R56" i="1" s="1" a="1"/>
  <c r="Q57" i="1"/>
  <c r="R57" i="1" s="1" a="1"/>
  <c r="Q58" i="1"/>
  <c r="R58" i="1" s="1" a="1"/>
  <c r="Q59" i="1"/>
  <c r="R59" i="1" s="1" a="1"/>
  <c r="Q60" i="1"/>
  <c r="R60" i="1" s="1" a="1"/>
  <c r="Q61" i="1"/>
  <c r="R61" i="1" s="1" a="1"/>
  <c r="Q62" i="1"/>
  <c r="R62" i="1" s="1" a="1"/>
  <c r="Q63" i="1"/>
  <c r="R63" i="1" s="1" a="1"/>
  <c r="Q64" i="1"/>
  <c r="R64" i="1" s="1" a="1"/>
  <c r="Q65" i="1"/>
  <c r="R65" i="1" s="1" a="1"/>
  <c r="Q66" i="1"/>
  <c r="R66" i="1" s="1" a="1"/>
  <c r="Q67" i="1"/>
  <c r="R67" i="1" s="1" a="1"/>
  <c r="Q68" i="1"/>
  <c r="R68" i="1" s="1" a="1"/>
  <c r="Q69" i="1"/>
  <c r="R69" i="1" s="1" a="1"/>
  <c r="Q70" i="1"/>
  <c r="R70" i="1" s="1" a="1"/>
  <c r="Q71" i="1"/>
  <c r="R71" i="1" s="1" a="1"/>
  <c r="Q72" i="1"/>
  <c r="R72" i="1" s="1" a="1"/>
  <c r="Q73" i="1"/>
  <c r="R73" i="1" s="1" a="1"/>
  <c r="Q74" i="1"/>
  <c r="R74" i="1" s="1" a="1"/>
  <c r="Q75" i="1"/>
  <c r="R75" i="1" s="1" a="1"/>
  <c r="Q76" i="1"/>
  <c r="R76" i="1" s="1" a="1"/>
  <c r="Q77" i="1"/>
  <c r="R77" i="1" s="1" a="1"/>
  <c r="Q78" i="1"/>
  <c r="R78" i="1" s="1" a="1"/>
  <c r="Q79" i="1"/>
  <c r="R79" i="1" s="1" a="1"/>
  <c r="Q80" i="1"/>
  <c r="R80" i="1" s="1" a="1"/>
  <c r="Q81" i="1"/>
  <c r="R81" i="1" s="1" a="1"/>
  <c r="Q82" i="1"/>
  <c r="R82" i="1" s="1" a="1"/>
  <c r="Q83" i="1"/>
  <c r="R83" i="1" s="1" a="1"/>
  <c r="Q84" i="1"/>
  <c r="R84" i="1" s="1" a="1"/>
  <c r="Q85" i="1"/>
  <c r="R85" i="1" s="1" a="1"/>
  <c r="Q86" i="1"/>
  <c r="R86" i="1" s="1" a="1"/>
  <c r="Q87" i="1"/>
  <c r="R87" i="1" s="1" a="1"/>
  <c r="Q88" i="1"/>
  <c r="R88" i="1" s="1" a="1"/>
  <c r="Q89" i="1"/>
  <c r="R89" i="1" s="1" a="1"/>
  <c r="Q90" i="1"/>
  <c r="R90" i="1" s="1" a="1"/>
  <c r="Q91" i="1"/>
  <c r="R91" i="1" s="1" a="1"/>
  <c r="Q92" i="1"/>
  <c r="R92" i="1" s="1" a="1"/>
  <c r="Q93" i="1"/>
  <c r="R93" i="1" s="1" a="1"/>
  <c r="Q94" i="1"/>
  <c r="R94" i="1" s="1" a="1"/>
  <c r="Q95" i="1"/>
  <c r="R95" i="1" s="1" a="1"/>
  <c r="Q96" i="1"/>
  <c r="R96" i="1" s="1" a="1"/>
  <c r="Q97" i="1"/>
  <c r="R97" i="1" s="1" a="1"/>
  <c r="Q98" i="1"/>
  <c r="R98" i="1" s="1" a="1"/>
  <c r="Q99" i="1"/>
  <c r="R99" i="1" s="1" a="1"/>
  <c r="Q100" i="1"/>
  <c r="R100" i="1" s="1" a="1"/>
  <c r="Q101" i="1"/>
  <c r="R101" i="1" s="1" a="1"/>
  <c r="Q102" i="1"/>
  <c r="R102" i="1" s="1" a="1"/>
  <c r="Q103" i="1"/>
  <c r="R103" i="1" s="1" a="1"/>
  <c r="Q104" i="1"/>
  <c r="R104" i="1" s="1" a="1"/>
  <c r="Q105" i="1"/>
  <c r="R105" i="1" s="1" a="1"/>
  <c r="Q106" i="1"/>
  <c r="R106" i="1" s="1" a="1"/>
  <c r="Q107" i="1"/>
  <c r="R107" i="1" s="1" a="1"/>
  <c r="Q108" i="1"/>
  <c r="R108" i="1" s="1" a="1"/>
  <c r="Q109" i="1"/>
  <c r="R109" i="1" s="1" a="1"/>
  <c r="Q110" i="1"/>
  <c r="R110" i="1" s="1" a="1"/>
  <c r="Q111" i="1"/>
  <c r="R111" i="1" s="1" a="1"/>
  <c r="Q112" i="1"/>
  <c r="R112" i="1" s="1" a="1"/>
  <c r="Q113" i="1"/>
  <c r="R113" i="1" s="1" a="1"/>
  <c r="Q114" i="1"/>
  <c r="R114" i="1" s="1" a="1"/>
  <c r="Q115" i="1"/>
  <c r="R115" i="1" s="1" a="1"/>
  <c r="Q116" i="1"/>
  <c r="R116" i="1" s="1" a="1"/>
  <c r="Q117" i="1"/>
  <c r="R117" i="1" s="1" a="1"/>
  <c r="Q118" i="1"/>
  <c r="R118" i="1" s="1" a="1"/>
  <c r="Q119" i="1"/>
  <c r="R119" i="1" s="1" a="1"/>
  <c r="Q120" i="1"/>
  <c r="R120" i="1" s="1" a="1"/>
  <c r="Q121" i="1"/>
  <c r="R121" i="1" s="1" a="1"/>
  <c r="Q122" i="1"/>
  <c r="R122" i="1" s="1" a="1"/>
  <c r="Q123" i="1"/>
  <c r="R123" i="1" s="1" a="1"/>
  <c r="Q124" i="1"/>
  <c r="R124" i="1" s="1" a="1"/>
  <c r="Q125" i="1"/>
  <c r="R125" i="1" s="1" a="1"/>
  <c r="Q126" i="1"/>
  <c r="R126" i="1" s="1" a="1"/>
  <c r="Q127" i="1"/>
  <c r="R127" i="1" s="1" a="1"/>
  <c r="Q128" i="1"/>
  <c r="R128" i="1" s="1" a="1"/>
  <c r="Q129" i="1"/>
  <c r="R129" i="1" s="1" a="1"/>
  <c r="Q130" i="1"/>
  <c r="R130" i="1" s="1" a="1"/>
  <c r="Q131" i="1"/>
  <c r="R131" i="1" s="1" a="1"/>
  <c r="Q132" i="1"/>
  <c r="R132" i="1" s="1" a="1"/>
  <c r="Q133" i="1"/>
  <c r="R133" i="1" s="1" a="1"/>
  <c r="Q134" i="1"/>
  <c r="R134" i="1" s="1" a="1"/>
  <c r="Q135" i="1"/>
  <c r="R135" i="1" s="1" a="1"/>
  <c r="Q136" i="1"/>
  <c r="R136" i="1" s="1" a="1"/>
  <c r="Q137" i="1"/>
  <c r="R137" i="1" s="1" a="1"/>
  <c r="Q138" i="1"/>
  <c r="R138" i="1" s="1" a="1"/>
  <c r="Q139" i="1"/>
  <c r="R139" i="1" s="1" a="1"/>
  <c r="Q140" i="1"/>
  <c r="R140" i="1" s="1" a="1"/>
  <c r="Q141" i="1"/>
  <c r="R141" i="1" s="1" a="1"/>
  <c r="Q142" i="1"/>
  <c r="R142" i="1" s="1" a="1"/>
  <c r="Q143" i="1"/>
  <c r="R143" i="1" s="1" a="1"/>
  <c r="Q144" i="1"/>
  <c r="R144" i="1" s="1" a="1"/>
  <c r="Q145" i="1"/>
  <c r="R145" i="1" s="1" a="1"/>
  <c r="Q146" i="1"/>
  <c r="R146" i="1" s="1" a="1"/>
  <c r="Q147" i="1"/>
  <c r="R147" i="1" s="1" a="1"/>
  <c r="Q148" i="1"/>
  <c r="R148" i="1" s="1" a="1"/>
  <c r="Q149" i="1"/>
  <c r="R149" i="1" s="1" a="1"/>
  <c r="Q150" i="1"/>
  <c r="R150" i="1" s="1" a="1"/>
  <c r="Q151" i="1"/>
  <c r="R151" i="1" s="1" a="1"/>
  <c r="Q152" i="1"/>
  <c r="R152" i="1" s="1" a="1"/>
  <c r="Q153" i="1"/>
  <c r="R153" i="1" s="1" a="1"/>
  <c r="Q154" i="1"/>
  <c r="R154" i="1" s="1" a="1"/>
  <c r="Q155" i="1"/>
  <c r="R155" i="1" s="1" a="1"/>
  <c r="Q156" i="1"/>
  <c r="R156" i="1" s="1" a="1"/>
  <c r="Q157" i="1"/>
  <c r="R157" i="1" s="1" a="1"/>
  <c r="Q158" i="1"/>
  <c r="R158" i="1" s="1" a="1"/>
  <c r="Q159" i="1"/>
  <c r="R159" i="1" s="1" a="1"/>
  <c r="Q160" i="1"/>
  <c r="R160" i="1" s="1" a="1"/>
  <c r="Q161" i="1"/>
  <c r="R161" i="1" s="1" a="1"/>
  <c r="Q162" i="1"/>
  <c r="R162" i="1" s="1" a="1"/>
  <c r="Q163" i="1"/>
  <c r="R163" i="1" s="1" a="1"/>
  <c r="Q164" i="1"/>
  <c r="R164" i="1" s="1" a="1"/>
  <c r="Q165" i="1"/>
  <c r="R165" i="1" s="1" a="1"/>
  <c r="Q166" i="1"/>
  <c r="R166" i="1" s="1" a="1"/>
  <c r="Q167" i="1"/>
  <c r="R167" i="1" s="1" a="1"/>
  <c r="Q168" i="1"/>
  <c r="R168" i="1" s="1" a="1"/>
  <c r="Q169" i="1"/>
  <c r="R169" i="1" s="1" a="1"/>
  <c r="Q170" i="1"/>
  <c r="R170" i="1" s="1" a="1"/>
  <c r="Q171" i="1"/>
  <c r="R171" i="1" s="1" a="1"/>
  <c r="Q172" i="1"/>
  <c r="R172" i="1" s="1" a="1"/>
  <c r="Q173" i="1"/>
  <c r="R173" i="1" s="1" a="1"/>
  <c r="Q174" i="1"/>
  <c r="R174" i="1" s="1" a="1"/>
  <c r="Q175" i="1"/>
  <c r="R175" i="1" s="1" a="1"/>
  <c r="Q176" i="1"/>
  <c r="R176" i="1" s="1" a="1"/>
  <c r="Q177" i="1"/>
  <c r="R177" i="1" s="1" a="1"/>
  <c r="Q178" i="1"/>
  <c r="R178" i="1" s="1" a="1"/>
  <c r="Q179" i="1"/>
  <c r="R179" i="1" s="1" a="1"/>
  <c r="Q180" i="1"/>
  <c r="R180" i="1" s="1" a="1"/>
  <c r="Q181" i="1"/>
  <c r="R181" i="1" s="1" a="1"/>
  <c r="Q182" i="1"/>
  <c r="R182" i="1" s="1" a="1"/>
  <c r="Q183" i="1"/>
  <c r="R183" i="1" s="1" a="1"/>
  <c r="Q184" i="1"/>
  <c r="R184" i="1" s="1" a="1"/>
  <c r="Q185" i="1"/>
  <c r="R185" i="1" s="1" a="1"/>
  <c r="Q186" i="1"/>
  <c r="R186" i="1" s="1" a="1"/>
  <c r="Q187" i="1"/>
  <c r="R187" i="1" s="1" a="1"/>
  <c r="Q188" i="1"/>
  <c r="R188" i="1" s="1" a="1"/>
  <c r="Q189" i="1"/>
  <c r="R189" i="1" s="1" a="1"/>
  <c r="Q190" i="1"/>
  <c r="R190" i="1" s="1" a="1"/>
  <c r="Q191" i="1"/>
  <c r="R191" i="1" s="1" a="1"/>
  <c r="Q192" i="1"/>
  <c r="R192" i="1" s="1" a="1"/>
  <c r="Q193" i="1"/>
  <c r="R193" i="1" s="1" a="1"/>
  <c r="Q194" i="1"/>
  <c r="R194" i="1" s="1" a="1"/>
  <c r="Q195" i="1"/>
  <c r="R195" i="1" s="1" a="1"/>
  <c r="Q196" i="1"/>
  <c r="R196" i="1" s="1" a="1"/>
  <c r="Q197" i="1"/>
  <c r="R197" i="1" s="1" a="1"/>
  <c r="Q198" i="1"/>
  <c r="R198" i="1" s="1" a="1"/>
  <c r="Q199" i="1"/>
  <c r="R199" i="1" s="1" a="1"/>
  <c r="Q200" i="1"/>
  <c r="R200" i="1" s="1" a="1"/>
  <c r="Q201" i="1"/>
  <c r="R201" i="1" s="1" a="1"/>
  <c r="Q202" i="1"/>
  <c r="R202" i="1" s="1" a="1"/>
  <c r="Q203" i="1"/>
  <c r="R203" i="1" s="1" a="1"/>
  <c r="Q204" i="1"/>
  <c r="R204" i="1" s="1" a="1"/>
  <c r="Q205" i="1"/>
  <c r="R205" i="1" s="1" a="1"/>
  <c r="Q206" i="1"/>
  <c r="R206" i="1" s="1" a="1"/>
  <c r="Q207" i="1"/>
  <c r="R207" i="1" s="1" a="1"/>
  <c r="Q208" i="1"/>
  <c r="R208" i="1" s="1" a="1"/>
  <c r="Q209" i="1"/>
  <c r="R209" i="1" s="1" a="1"/>
  <c r="Q210" i="1"/>
  <c r="R210" i="1" s="1" a="1"/>
  <c r="Q211" i="1"/>
  <c r="R211" i="1" s="1" a="1"/>
  <c r="Q212" i="1"/>
  <c r="R212" i="1" s="1" a="1"/>
  <c r="Q213" i="1"/>
  <c r="R213" i="1" s="1" a="1"/>
  <c r="Q214" i="1"/>
  <c r="R214" i="1" s="1" a="1"/>
  <c r="Q215" i="1"/>
  <c r="R215" i="1" s="1" a="1"/>
  <c r="Q216" i="1"/>
  <c r="R216" i="1" s="1" a="1"/>
  <c r="Q217" i="1"/>
  <c r="R217" i="1" s="1" a="1"/>
  <c r="Q218" i="1"/>
  <c r="R218" i="1" s="1" a="1"/>
  <c r="Q219" i="1"/>
  <c r="R219" i="1" s="1" a="1"/>
  <c r="Q220" i="1"/>
  <c r="R220" i="1" s="1" a="1"/>
  <c r="Q221" i="1"/>
  <c r="R221" i="1" s="1" a="1"/>
  <c r="Q222" i="1"/>
  <c r="R222" i="1" s="1" a="1"/>
  <c r="Q223" i="1"/>
  <c r="R223" i="1" s="1" a="1"/>
  <c r="Q224" i="1"/>
  <c r="R224" i="1" s="1" a="1"/>
  <c r="Q225" i="1"/>
  <c r="R225" i="1" s="1" a="1"/>
  <c r="Q226" i="1"/>
  <c r="R226" i="1" s="1" a="1"/>
  <c r="Q227" i="1"/>
  <c r="R227" i="1" s="1" a="1"/>
  <c r="Q228" i="1"/>
  <c r="R228" i="1" s="1" a="1"/>
  <c r="Q229" i="1"/>
  <c r="R229" i="1" s="1" a="1"/>
  <c r="Q230" i="1"/>
  <c r="R230" i="1" s="1" a="1"/>
  <c r="Q231" i="1"/>
  <c r="R231" i="1" s="1" a="1"/>
  <c r="Q232" i="1"/>
  <c r="R232" i="1" s="1" a="1"/>
  <c r="Q233" i="1"/>
  <c r="R233" i="1" s="1" a="1"/>
  <c r="Q234" i="1"/>
  <c r="R234" i="1" s="1" a="1"/>
  <c r="Q235" i="1"/>
  <c r="R235" i="1" s="1" a="1"/>
  <c r="Q236" i="1"/>
  <c r="R236" i="1" s="1" a="1"/>
  <c r="Q237" i="1"/>
  <c r="R237" i="1" s="1" a="1"/>
  <c r="Q238" i="1"/>
  <c r="R238" i="1" s="1" a="1"/>
  <c r="Q239" i="1"/>
  <c r="R239" i="1" s="1" a="1"/>
  <c r="Q240" i="1"/>
  <c r="R240" i="1" s="1" a="1"/>
  <c r="Q241" i="1"/>
  <c r="R241" i="1" s="1" a="1"/>
  <c r="Q242" i="1"/>
  <c r="R242" i="1" s="1" a="1"/>
  <c r="Q243" i="1"/>
  <c r="R243" i="1" s="1" a="1"/>
  <c r="Q244" i="1"/>
  <c r="R244" i="1" s="1" a="1"/>
  <c r="Q245" i="1"/>
  <c r="R245" i="1" s="1" a="1"/>
  <c r="Q246" i="1"/>
  <c r="R246" i="1" s="1" a="1"/>
  <c r="Q247" i="1"/>
  <c r="R247" i="1" s="1" a="1"/>
  <c r="Q248" i="1"/>
  <c r="R248" i="1" s="1" a="1"/>
  <c r="Q249" i="1"/>
  <c r="R249" i="1" s="1" a="1"/>
  <c r="Q250" i="1"/>
  <c r="R250" i="1" s="1" a="1"/>
  <c r="Q251" i="1"/>
  <c r="R251" i="1" s="1" a="1"/>
  <c r="Q252" i="1"/>
  <c r="R252" i="1" s="1" a="1"/>
  <c r="Q253" i="1"/>
  <c r="R253" i="1" s="1" a="1"/>
  <c r="Q254" i="1"/>
  <c r="R254" i="1" s="1" a="1"/>
  <c r="Q255" i="1"/>
  <c r="R255" i="1" s="1" a="1"/>
  <c r="Q256" i="1"/>
  <c r="R256" i="1" s="1" a="1"/>
  <c r="Q257" i="1"/>
  <c r="R257" i="1" s="1" a="1"/>
  <c r="Q258" i="1"/>
  <c r="R258" i="1" s="1" a="1"/>
  <c r="Q259" i="1"/>
  <c r="R259" i="1" s="1" a="1"/>
  <c r="Q260" i="1"/>
  <c r="R260" i="1" s="1" a="1"/>
  <c r="Q261" i="1"/>
  <c r="R261" i="1" s="1" a="1"/>
  <c r="Q262" i="1"/>
  <c r="R262" i="1" s="1" a="1"/>
  <c r="Q263" i="1"/>
  <c r="R263" i="1" s="1" a="1"/>
  <c r="Q264" i="1"/>
  <c r="R264" i="1" s="1" a="1"/>
  <c r="Q265" i="1"/>
  <c r="R265" i="1" s="1" a="1"/>
  <c r="Q266" i="1"/>
  <c r="R266" i="1" s="1" a="1"/>
  <c r="Q267" i="1"/>
  <c r="R267" i="1" s="1" a="1"/>
  <c r="Q268" i="1"/>
  <c r="R268" i="1" s="1" a="1"/>
  <c r="Q269" i="1"/>
  <c r="R269" i="1" s="1" a="1"/>
  <c r="Q270" i="1"/>
  <c r="R270" i="1" s="1" a="1"/>
  <c r="Q271" i="1"/>
  <c r="R271" i="1" s="1" a="1"/>
  <c r="Q272" i="1"/>
  <c r="R272" i="1" s="1" a="1"/>
  <c r="Q273" i="1"/>
  <c r="R273" i="1" s="1" a="1"/>
  <c r="Q274" i="1"/>
  <c r="R274" i="1" s="1" a="1"/>
  <c r="Q275" i="1"/>
  <c r="R275" i="1" s="1" a="1"/>
  <c r="Q276" i="1"/>
  <c r="R276" i="1" s="1" a="1"/>
  <c r="Q277" i="1"/>
  <c r="R277" i="1" s="1" a="1"/>
  <c r="Q278" i="1"/>
  <c r="R278" i="1" s="1" a="1"/>
  <c r="Q279" i="1"/>
  <c r="R279" i="1" s="1" a="1"/>
  <c r="Q280" i="1"/>
  <c r="R280" i="1" s="1" a="1"/>
  <c r="Q281" i="1"/>
  <c r="R281" i="1" s="1" a="1"/>
  <c r="Q282" i="1"/>
  <c r="R282" i="1" s="1" a="1"/>
  <c r="Q283" i="1"/>
  <c r="R283" i="1" s="1" a="1"/>
  <c r="Q284" i="1"/>
  <c r="R284" i="1" s="1" a="1"/>
  <c r="Q285" i="1"/>
  <c r="R285" i="1" s="1" a="1"/>
  <c r="Q286" i="1"/>
  <c r="R286" i="1" s="1" a="1"/>
  <c r="Q287" i="1"/>
  <c r="R287" i="1" s="1" a="1"/>
  <c r="Q288" i="1"/>
  <c r="R288" i="1" s="1" a="1"/>
  <c r="Q289" i="1"/>
  <c r="R289" i="1" s="1" a="1"/>
  <c r="Q290" i="1"/>
  <c r="R290" i="1" s="1" a="1"/>
  <c r="Q291" i="1"/>
  <c r="R291" i="1" s="1" a="1"/>
  <c r="Q292" i="1"/>
  <c r="R292" i="1" s="1" a="1"/>
  <c r="Q293" i="1"/>
  <c r="R293" i="1" s="1" a="1"/>
  <c r="Q294" i="1"/>
  <c r="R294" i="1" s="1" a="1"/>
  <c r="Q295" i="1"/>
  <c r="R295" i="1" s="1" a="1"/>
  <c r="Q296" i="1"/>
  <c r="R296" i="1" s="1" a="1"/>
  <c r="Q297" i="1"/>
  <c r="R297" i="1" s="1" a="1"/>
  <c r="Q298" i="1"/>
  <c r="R298" i="1" s="1" a="1"/>
  <c r="Q299" i="1"/>
  <c r="R299" i="1" s="1" a="1"/>
  <c r="Q300" i="1"/>
  <c r="R300" i="1" s="1" a="1"/>
  <c r="Q301" i="1"/>
  <c r="R301" i="1" s="1" a="1"/>
  <c r="Q302" i="1"/>
  <c r="R302" i="1" s="1" a="1"/>
  <c r="Q303" i="1"/>
  <c r="R303" i="1" s="1" a="1"/>
  <c r="Q304" i="1"/>
  <c r="R304" i="1" s="1" a="1"/>
  <c r="Q305" i="1"/>
  <c r="R305" i="1" s="1" a="1"/>
  <c r="Q306" i="1"/>
  <c r="R306" i="1" s="1" a="1"/>
  <c r="Q307" i="1"/>
  <c r="R307" i="1" s="1" a="1"/>
  <c r="Q308" i="1"/>
  <c r="R308" i="1" s="1" a="1"/>
  <c r="Q309" i="1"/>
  <c r="R309" i="1" s="1" a="1"/>
  <c r="Q310" i="1"/>
  <c r="R310" i="1" s="1" a="1"/>
  <c r="Q311" i="1"/>
  <c r="R311" i="1" s="1" a="1"/>
  <c r="Q312" i="1"/>
  <c r="R312" i="1" s="1" a="1"/>
  <c r="Q313" i="1"/>
  <c r="R313" i="1" s="1" a="1"/>
  <c r="Q314" i="1"/>
  <c r="R314" i="1" s="1" a="1"/>
  <c r="Q315" i="1"/>
  <c r="R315" i="1" s="1" a="1"/>
  <c r="Q316" i="1"/>
  <c r="R316" i="1" s="1" a="1"/>
  <c r="Q317" i="1"/>
  <c r="R317" i="1" s="1" a="1"/>
  <c r="Q318" i="1"/>
  <c r="R318" i="1" s="1" a="1"/>
  <c r="Q319" i="1"/>
  <c r="R319" i="1" s="1" a="1"/>
  <c r="Q320" i="1"/>
  <c r="R320" i="1" s="1" a="1"/>
  <c r="Q321" i="1"/>
  <c r="R321" i="1" s="1" a="1"/>
  <c r="Q322" i="1"/>
  <c r="R322" i="1" s="1" a="1"/>
  <c r="Q323" i="1"/>
  <c r="R323" i="1" s="1" a="1"/>
  <c r="Q324" i="1"/>
  <c r="R324" i="1" s="1" a="1"/>
  <c r="Q325" i="1"/>
  <c r="R325" i="1" s="1" a="1"/>
  <c r="Q326" i="1"/>
  <c r="R326" i="1" s="1" a="1"/>
  <c r="Q327" i="1"/>
  <c r="R327" i="1" s="1" a="1"/>
  <c r="Q328" i="1"/>
  <c r="R328" i="1" s="1" a="1"/>
  <c r="Q329" i="1"/>
  <c r="R329" i="1" s="1" a="1"/>
  <c r="Q330" i="1"/>
  <c r="R330" i="1" s="1" a="1"/>
  <c r="Q331" i="1"/>
  <c r="R331" i="1" s="1" a="1"/>
  <c r="Q332" i="1"/>
  <c r="R332" i="1" s="1" a="1"/>
  <c r="Q333" i="1"/>
  <c r="R333" i="1" s="1" a="1"/>
  <c r="Q334" i="1"/>
  <c r="R334" i="1" s="1" a="1"/>
  <c r="Q335" i="1"/>
  <c r="R335" i="1" s="1" a="1"/>
  <c r="Q336" i="1"/>
  <c r="R336" i="1" s="1" a="1"/>
  <c r="Q337" i="1"/>
  <c r="R337" i="1" s="1" a="1"/>
  <c r="Q338" i="1"/>
  <c r="R338" i="1" s="1" a="1"/>
  <c r="Q339" i="1"/>
  <c r="R339" i="1" s="1" a="1"/>
  <c r="Q340" i="1"/>
  <c r="R340" i="1" s="1" a="1"/>
  <c r="Q341" i="1"/>
  <c r="R341" i="1" s="1" a="1"/>
  <c r="Q342" i="1"/>
  <c r="R342" i="1" s="1" a="1"/>
  <c r="Q343" i="1"/>
  <c r="R343" i="1" s="1" a="1"/>
  <c r="Q344" i="1"/>
  <c r="R344" i="1" s="1" a="1"/>
  <c r="Q345" i="1"/>
  <c r="R345" i="1" s="1" a="1"/>
  <c r="Q346" i="1"/>
  <c r="R346" i="1" s="1" a="1"/>
  <c r="Q347" i="1"/>
  <c r="R347" i="1" s="1" a="1"/>
  <c r="Q348" i="1"/>
  <c r="R348" i="1" s="1" a="1"/>
  <c r="Q349" i="1"/>
  <c r="R349" i="1" s="1" a="1"/>
  <c r="Q350" i="1"/>
  <c r="R350" i="1" s="1" a="1"/>
  <c r="Q351" i="1"/>
  <c r="R351" i="1" s="1" a="1"/>
  <c r="Q352" i="1"/>
  <c r="R352" i="1" s="1" a="1"/>
  <c r="Q353" i="1"/>
  <c r="R353" i="1" s="1" a="1"/>
  <c r="Q354" i="1"/>
  <c r="R354" i="1" s="1" a="1"/>
  <c r="Q355" i="1"/>
  <c r="R355" i="1" s="1" a="1"/>
  <c r="Q356" i="1"/>
  <c r="R356" i="1" s="1" a="1"/>
  <c r="Q357" i="1"/>
  <c r="R357" i="1" s="1" a="1"/>
  <c r="Q358" i="1"/>
  <c r="R358" i="1" s="1" a="1"/>
  <c r="Q359" i="1"/>
  <c r="R359" i="1" s="1" a="1"/>
  <c r="Q360" i="1"/>
  <c r="R360" i="1" s="1" a="1"/>
  <c r="Q361" i="1"/>
  <c r="R361" i="1" s="1" a="1"/>
  <c r="Q362" i="1"/>
  <c r="R362" i="1" s="1" a="1"/>
  <c r="Q363" i="1"/>
  <c r="R363" i="1" s="1" a="1"/>
  <c r="Q364" i="1"/>
  <c r="R364" i="1" s="1" a="1"/>
  <c r="Q365" i="1"/>
  <c r="R365" i="1" s="1" a="1"/>
  <c r="Q366" i="1"/>
  <c r="R366" i="1" s="1" a="1"/>
  <c r="Q367" i="1"/>
  <c r="R367" i="1" s="1" a="1"/>
  <c r="Q368" i="1"/>
  <c r="R368" i="1" s="1" a="1"/>
  <c r="Q369" i="1"/>
  <c r="R369" i="1" s="1" a="1"/>
  <c r="Q370" i="1"/>
  <c r="R370" i="1" s="1" a="1"/>
  <c r="Q371" i="1"/>
  <c r="R371" i="1" s="1" a="1"/>
  <c r="Q372" i="1"/>
  <c r="R372" i="1" s="1" a="1"/>
  <c r="Q373" i="1"/>
  <c r="R373" i="1" s="1" a="1"/>
  <c r="Q374" i="1"/>
  <c r="R374" i="1" s="1" a="1"/>
  <c r="Q375" i="1"/>
  <c r="R375" i="1" s="1" a="1"/>
  <c r="Q376" i="1"/>
  <c r="R376" i="1" s="1" a="1"/>
  <c r="Q377" i="1"/>
  <c r="R377" i="1" s="1" a="1"/>
  <c r="Q378" i="1"/>
  <c r="R378" i="1" s="1" a="1"/>
  <c r="Q379" i="1"/>
  <c r="R379" i="1" s="1" a="1"/>
  <c r="Q380" i="1"/>
  <c r="R380" i="1" s="1" a="1"/>
  <c r="Q381" i="1"/>
  <c r="R381" i="1" s="1" a="1"/>
  <c r="Q382" i="1"/>
  <c r="R382" i="1" s="1" a="1"/>
  <c r="Q383" i="1"/>
  <c r="R383" i="1" s="1" a="1"/>
  <c r="Q384" i="1"/>
  <c r="R384" i="1" s="1" a="1"/>
  <c r="Q385" i="1"/>
  <c r="R385" i="1" s="1" a="1"/>
  <c r="Q386" i="1"/>
  <c r="R386" i="1" s="1" a="1"/>
  <c r="Q387" i="1"/>
  <c r="R387" i="1" s="1" a="1"/>
  <c r="Q388" i="1"/>
  <c r="R388" i="1" s="1" a="1"/>
  <c r="Q389" i="1"/>
  <c r="R389" i="1" s="1" a="1"/>
  <c r="Q390" i="1"/>
  <c r="R390" i="1" s="1" a="1"/>
  <c r="Q391" i="1"/>
  <c r="R391" i="1" s="1" a="1"/>
  <c r="Q392" i="1"/>
  <c r="R392" i="1" s="1" a="1"/>
  <c r="Q393" i="1"/>
  <c r="R393" i="1" s="1" a="1"/>
  <c r="Q394" i="1"/>
  <c r="R394" i="1" s="1" a="1"/>
  <c r="Q395" i="1"/>
  <c r="R395" i="1" s="1" a="1"/>
  <c r="Q396" i="1"/>
  <c r="R396" i="1" s="1" a="1"/>
  <c r="Q397" i="1"/>
  <c r="R397" i="1" s="1" a="1"/>
  <c r="Q398" i="1"/>
  <c r="R398" i="1" s="1" a="1"/>
  <c r="Q399" i="1"/>
  <c r="R399" i="1" s="1" a="1"/>
  <c r="Q400" i="1"/>
  <c r="R400" i="1" s="1" a="1"/>
  <c r="Q401" i="1"/>
  <c r="R401" i="1" s="1" a="1"/>
  <c r="Q402" i="1"/>
  <c r="R402" i="1" s="1" a="1"/>
  <c r="Q403" i="1"/>
  <c r="R403" i="1" s="1" a="1"/>
  <c r="Q404" i="1"/>
  <c r="R404" i="1" s="1" a="1"/>
  <c r="Q405" i="1"/>
  <c r="R405" i="1" s="1" a="1"/>
  <c r="Q406" i="1"/>
  <c r="R406" i="1" s="1" a="1"/>
  <c r="Q407" i="1"/>
  <c r="R407" i="1" s="1" a="1"/>
  <c r="Q408" i="1"/>
  <c r="R408" i="1" s="1" a="1"/>
  <c r="Q409" i="1"/>
  <c r="R409" i="1" s="1" a="1"/>
  <c r="Q410" i="1"/>
  <c r="R410" i="1" s="1" a="1"/>
  <c r="Q411" i="1"/>
  <c r="R411" i="1" s="1" a="1"/>
  <c r="Q412" i="1"/>
  <c r="R412" i="1" s="1" a="1"/>
  <c r="Q413" i="1"/>
  <c r="R413" i="1" s="1" a="1"/>
  <c r="Q414" i="1"/>
  <c r="R414" i="1" s="1" a="1"/>
  <c r="Q415" i="1"/>
  <c r="R415" i="1" s="1" a="1"/>
  <c r="Q416" i="1"/>
  <c r="R416" i="1" s="1" a="1"/>
  <c r="Q417" i="1"/>
  <c r="R417" i="1" s="1" a="1"/>
  <c r="Q418" i="1"/>
  <c r="R418" i="1" s="1" a="1"/>
  <c r="Q419" i="1"/>
  <c r="R419" i="1" s="1" a="1"/>
  <c r="Q420" i="1"/>
  <c r="R420" i="1" s="1" a="1"/>
  <c r="Q421" i="1"/>
  <c r="R421" i="1" s="1" a="1"/>
  <c r="Q422" i="1"/>
  <c r="R422" i="1" s="1" a="1"/>
  <c r="Q423" i="1"/>
  <c r="R423" i="1" s="1" a="1"/>
  <c r="Q424" i="1"/>
  <c r="R424" i="1" s="1" a="1"/>
  <c r="Q425" i="1"/>
  <c r="R425" i="1" s="1" a="1"/>
  <c r="Q426" i="1"/>
  <c r="R426" i="1" s="1" a="1"/>
  <c r="Q427" i="1"/>
  <c r="R427" i="1" s="1" a="1"/>
  <c r="Q428" i="1"/>
  <c r="R428" i="1" s="1" a="1"/>
  <c r="Q429" i="1"/>
  <c r="R429" i="1" s="1" a="1"/>
  <c r="Q430" i="1"/>
  <c r="R430" i="1" s="1" a="1"/>
  <c r="Q431" i="1"/>
  <c r="R431" i="1" s="1" a="1"/>
  <c r="Q432" i="1"/>
  <c r="R432" i="1" s="1" a="1"/>
  <c r="Q433" i="1"/>
  <c r="R433" i="1" s="1" a="1"/>
  <c r="Q434" i="1"/>
  <c r="R434" i="1" s="1" a="1"/>
  <c r="Q435" i="1"/>
  <c r="R435" i="1" s="1" a="1"/>
  <c r="Q436" i="1"/>
  <c r="R436" i="1" s="1" a="1"/>
  <c r="Q437" i="1"/>
  <c r="R437" i="1" s="1" a="1"/>
  <c r="Q438" i="1"/>
  <c r="R438" i="1" s="1" a="1"/>
  <c r="Q439" i="1"/>
  <c r="R439" i="1" s="1" a="1"/>
  <c r="Q440" i="1"/>
  <c r="R440" i="1" s="1" a="1"/>
  <c r="Q441" i="1"/>
  <c r="R441" i="1" s="1" a="1"/>
  <c r="Q442" i="1"/>
  <c r="R442" i="1" s="1" a="1"/>
  <c r="Q443" i="1"/>
  <c r="R443" i="1" s="1" a="1"/>
  <c r="Q444" i="1"/>
  <c r="R444" i="1" s="1" a="1"/>
  <c r="Q445" i="1"/>
  <c r="R445" i="1" s="1" a="1"/>
  <c r="Q446" i="1"/>
  <c r="R446" i="1" s="1" a="1"/>
  <c r="Q447" i="1"/>
  <c r="R447" i="1" s="1" a="1"/>
  <c r="Q448" i="1"/>
  <c r="R448" i="1" s="1" a="1"/>
  <c r="Q449" i="1"/>
  <c r="R449" i="1" s="1" a="1"/>
  <c r="Q450" i="1"/>
  <c r="R450" i="1" s="1" a="1"/>
  <c r="Q451" i="1"/>
  <c r="R451" i="1" s="1" a="1"/>
  <c r="Q452" i="1"/>
  <c r="R452" i="1" s="1" a="1"/>
  <c r="Q453" i="1"/>
  <c r="R453" i="1" s="1" a="1"/>
  <c r="Q454" i="1"/>
  <c r="R454" i="1" s="1" a="1"/>
  <c r="Q455" i="1"/>
  <c r="R455" i="1" s="1" a="1"/>
  <c r="Q456" i="1"/>
  <c r="R456" i="1" s="1" a="1"/>
  <c r="Q457" i="1"/>
  <c r="R457" i="1" s="1" a="1"/>
  <c r="Q458" i="1"/>
  <c r="R458" i="1" s="1" a="1"/>
  <c r="Q459" i="1"/>
  <c r="R459" i="1" s="1" a="1"/>
  <c r="Q460" i="1"/>
  <c r="R460" i="1" s="1" a="1"/>
  <c r="Q461" i="1"/>
  <c r="R461" i="1" s="1" a="1"/>
  <c r="Q462" i="1"/>
  <c r="R462" i="1" s="1" a="1"/>
  <c r="Q463" i="1"/>
  <c r="R463" i="1" s="1" a="1"/>
  <c r="Q464" i="1"/>
  <c r="R464" i="1" s="1" a="1"/>
  <c r="Q465" i="1"/>
  <c r="R465" i="1" s="1" a="1"/>
  <c r="Q466" i="1"/>
  <c r="R466" i="1" s="1" a="1"/>
  <c r="Q467" i="1"/>
  <c r="R467" i="1" s="1" a="1"/>
  <c r="Q468" i="1"/>
  <c r="R468" i="1" s="1" a="1"/>
  <c r="Q469" i="1"/>
  <c r="R469" i="1" s="1" a="1"/>
  <c r="Q470" i="1"/>
  <c r="R470" i="1" s="1" a="1"/>
  <c r="Q471" i="1"/>
  <c r="R471" i="1" s="1" a="1"/>
  <c r="Q472" i="1"/>
  <c r="R472" i="1" s="1" a="1"/>
  <c r="Q473" i="1"/>
  <c r="R473" i="1" s="1" a="1"/>
  <c r="Q474" i="1"/>
  <c r="R474" i="1" s="1" a="1"/>
  <c r="Q475" i="1"/>
  <c r="R475" i="1" s="1" a="1"/>
  <c r="Q476" i="1"/>
  <c r="R476" i="1" s="1" a="1"/>
  <c r="Q477" i="1"/>
  <c r="R477" i="1" s="1" a="1"/>
  <c r="Q478" i="1"/>
  <c r="R478" i="1" s="1" a="1"/>
  <c r="Q479" i="1"/>
  <c r="R479" i="1" s="1" a="1"/>
  <c r="Q480" i="1"/>
  <c r="R480" i="1" s="1" a="1"/>
  <c r="Q481" i="1"/>
  <c r="R481" i="1" s="1" a="1"/>
  <c r="Q482" i="1"/>
  <c r="R482" i="1" s="1" a="1"/>
  <c r="Q483" i="1"/>
  <c r="R483" i="1" s="1" a="1"/>
  <c r="Q484" i="1"/>
  <c r="R484" i="1" s="1" a="1"/>
  <c r="Q485" i="1"/>
  <c r="R485" i="1" s="1" a="1"/>
  <c r="Q486" i="1"/>
  <c r="R486" i="1" s="1" a="1"/>
  <c r="Q487" i="1"/>
  <c r="R487" i="1" s="1" a="1"/>
  <c r="Q488" i="1"/>
  <c r="R488" i="1" s="1" a="1"/>
  <c r="Q489" i="1"/>
  <c r="R489" i="1" s="1" a="1"/>
  <c r="Q490" i="1"/>
  <c r="R490" i="1" s="1" a="1"/>
  <c r="Q491" i="1"/>
  <c r="R491" i="1" s="1" a="1"/>
  <c r="Q492" i="1"/>
  <c r="R492" i="1" s="1" a="1"/>
  <c r="Q493" i="1"/>
  <c r="R493" i="1" s="1" a="1"/>
  <c r="Q494" i="1"/>
  <c r="R494" i="1" s="1" a="1"/>
  <c r="Q495" i="1"/>
  <c r="R495" i="1" s="1" a="1"/>
  <c r="Q496" i="1"/>
  <c r="R496" i="1" s="1" a="1"/>
  <c r="Q497" i="1"/>
  <c r="R497" i="1" s="1" a="1"/>
  <c r="Q498" i="1"/>
  <c r="R498" i="1" s="1" a="1"/>
  <c r="Q499" i="1"/>
  <c r="R499" i="1" s="1" a="1"/>
  <c r="Q500" i="1"/>
  <c r="R500" i="1" s="1" a="1"/>
  <c r="Q501" i="1"/>
  <c r="R501" i="1" s="1" a="1"/>
  <c r="Q502" i="1"/>
  <c r="R502" i="1" s="1" a="1"/>
  <c r="Q503" i="1"/>
  <c r="R503" i="1" s="1" a="1"/>
  <c r="Q504" i="1"/>
  <c r="R504" i="1" s="1" a="1"/>
  <c r="Q505" i="1"/>
  <c r="R505" i="1" s="1" a="1"/>
  <c r="Q506" i="1"/>
  <c r="R506" i="1" s="1" a="1"/>
  <c r="Q507" i="1"/>
  <c r="R507" i="1" s="1" a="1"/>
  <c r="Q508" i="1"/>
  <c r="R508" i="1" s="1" a="1"/>
  <c r="Q509" i="1"/>
  <c r="R509" i="1" s="1" a="1"/>
  <c r="Q510" i="1"/>
  <c r="R510" i="1" s="1" a="1"/>
  <c r="Q511" i="1"/>
  <c r="R511" i="1" s="1" a="1"/>
  <c r="Q512" i="1"/>
  <c r="R512" i="1" s="1" a="1"/>
  <c r="Q513" i="1"/>
  <c r="R513" i="1" s="1" a="1"/>
  <c r="Q514" i="1"/>
  <c r="R514" i="1" s="1" a="1"/>
  <c r="Q515" i="1"/>
  <c r="R515" i="1" s="1" a="1"/>
  <c r="Q516" i="1"/>
  <c r="R516" i="1" s="1" a="1"/>
  <c r="Q517" i="1"/>
  <c r="R517" i="1" s="1" a="1"/>
  <c r="Q518" i="1"/>
  <c r="R518" i="1" s="1" a="1"/>
  <c r="Q519" i="1"/>
  <c r="R519" i="1" s="1" a="1"/>
  <c r="Q520" i="1"/>
  <c r="R520" i="1" s="1" a="1"/>
  <c r="Q521" i="1"/>
  <c r="R521" i="1" s="1" a="1"/>
  <c r="Q522" i="1"/>
  <c r="R522" i="1" s="1" a="1"/>
  <c r="Q523" i="1"/>
  <c r="R523" i="1" s="1" a="1"/>
  <c r="Q524" i="1"/>
  <c r="R524" i="1" s="1" a="1"/>
  <c r="Q525" i="1"/>
  <c r="R525" i="1" s="1" a="1"/>
  <c r="Q526" i="1"/>
  <c r="R526" i="1" s="1" a="1"/>
  <c r="Q527" i="1"/>
  <c r="R527" i="1" s="1" a="1"/>
  <c r="Q528" i="1"/>
  <c r="R528" i="1" s="1" a="1"/>
  <c r="Q529" i="1"/>
  <c r="R529" i="1" s="1" a="1"/>
  <c r="Q530" i="1"/>
  <c r="R530" i="1" s="1" a="1"/>
  <c r="Q531" i="1"/>
  <c r="R531" i="1" s="1" a="1"/>
  <c r="Q532" i="1"/>
  <c r="R532" i="1" s="1" a="1"/>
  <c r="Q533" i="1"/>
  <c r="R533" i="1" s="1" a="1"/>
  <c r="Q534" i="1"/>
  <c r="R534" i="1" s="1" a="1"/>
  <c r="Q535" i="1"/>
  <c r="R535" i="1" s="1" a="1"/>
  <c r="Q536" i="1"/>
  <c r="R536" i="1" s="1" a="1"/>
  <c r="Q537" i="1"/>
  <c r="R537" i="1" s="1" a="1"/>
  <c r="Q538" i="1"/>
  <c r="R538" i="1" s="1" a="1"/>
  <c r="Q539" i="1"/>
  <c r="R539" i="1" s="1" a="1"/>
  <c r="Q540" i="1"/>
  <c r="R540" i="1" s="1" a="1"/>
  <c r="Q541" i="1"/>
  <c r="R541" i="1" s="1" a="1"/>
  <c r="Q542" i="1"/>
  <c r="R542" i="1" s="1" a="1"/>
  <c r="Q543" i="1"/>
  <c r="R543" i="1" s="1" a="1"/>
  <c r="Q544" i="1"/>
  <c r="R544" i="1" s="1" a="1"/>
  <c r="Q545" i="1"/>
  <c r="R545" i="1" s="1" a="1"/>
  <c r="Q546" i="1"/>
  <c r="R546" i="1" s="1" a="1"/>
  <c r="Q547" i="1"/>
  <c r="R547" i="1" s="1" a="1"/>
  <c r="Q548" i="1"/>
  <c r="R548" i="1" s="1" a="1"/>
  <c r="Q549" i="1"/>
  <c r="R549" i="1" s="1" a="1"/>
  <c r="Q550" i="1"/>
  <c r="R550" i="1" s="1" a="1"/>
  <c r="Q551" i="1"/>
  <c r="R551" i="1" s="1" a="1"/>
  <c r="Q552" i="1"/>
  <c r="R552" i="1" s="1" a="1"/>
  <c r="Q553" i="1"/>
  <c r="R553" i="1" s="1" a="1"/>
  <c r="Q554" i="1"/>
  <c r="R554" i="1" s="1" a="1"/>
  <c r="Q555" i="1"/>
  <c r="R555" i="1" s="1" a="1"/>
  <c r="Q556" i="1"/>
  <c r="R556" i="1" s="1" a="1"/>
  <c r="Q557" i="1"/>
  <c r="R557" i="1" s="1" a="1"/>
  <c r="Q558" i="1"/>
  <c r="R558" i="1" s="1" a="1"/>
  <c r="Q559" i="1"/>
  <c r="R559" i="1" s="1" a="1"/>
  <c r="Q560" i="1"/>
  <c r="R560" i="1" s="1" a="1"/>
  <c r="Q561" i="1"/>
  <c r="R561" i="1" s="1" a="1"/>
  <c r="Q562" i="1"/>
  <c r="R562" i="1" s="1" a="1"/>
  <c r="Q563" i="1"/>
  <c r="R563" i="1" s="1" a="1"/>
  <c r="Q564" i="1"/>
  <c r="R564" i="1" s="1" a="1"/>
  <c r="Q565" i="1"/>
  <c r="R565" i="1" s="1" a="1"/>
  <c r="Q566" i="1"/>
  <c r="R566" i="1" s="1" a="1"/>
  <c r="Q567" i="1"/>
  <c r="R567" i="1" s="1" a="1"/>
  <c r="Q568" i="1"/>
  <c r="R568" i="1" s="1" a="1"/>
  <c r="Q569" i="1"/>
  <c r="R569" i="1" s="1" a="1"/>
  <c r="Q570" i="1"/>
  <c r="R570" i="1" s="1" a="1"/>
  <c r="Q571" i="1"/>
  <c r="R571" i="1" s="1" a="1"/>
  <c r="Q572" i="1"/>
  <c r="R572" i="1" s="1" a="1"/>
  <c r="Q573" i="1"/>
  <c r="R573" i="1" s="1" a="1"/>
  <c r="Q574" i="1"/>
  <c r="R574" i="1" s="1" a="1"/>
  <c r="Q575" i="1"/>
  <c r="R575" i="1" s="1" a="1"/>
  <c r="Q576" i="1"/>
  <c r="R576" i="1" s="1" a="1"/>
  <c r="Q577" i="1"/>
  <c r="R577" i="1" s="1" a="1"/>
  <c r="Q578" i="1"/>
  <c r="R578" i="1" s="1" a="1"/>
  <c r="Q579" i="1"/>
  <c r="R579" i="1" s="1" a="1"/>
  <c r="Q580" i="1"/>
  <c r="R580" i="1" s="1" a="1"/>
  <c r="Q581" i="1"/>
  <c r="R581" i="1" s="1" a="1"/>
  <c r="Q582" i="1"/>
  <c r="R582" i="1" s="1" a="1"/>
  <c r="Q583" i="1"/>
  <c r="R583" i="1" s="1" a="1"/>
  <c r="Q584" i="1"/>
  <c r="R584" i="1" s="1" a="1"/>
  <c r="Q585" i="1"/>
  <c r="R585" i="1" s="1" a="1"/>
  <c r="Q586" i="1"/>
  <c r="R586" i="1" s="1" a="1"/>
  <c r="Q587" i="1"/>
  <c r="R587" i="1" s="1" a="1"/>
  <c r="Q588" i="1"/>
  <c r="R588" i="1" s="1" a="1"/>
  <c r="Q589" i="1"/>
  <c r="R589" i="1" s="1" a="1"/>
  <c r="Q590" i="1"/>
  <c r="R590" i="1" s="1" a="1"/>
  <c r="Q591" i="1"/>
  <c r="R591" i="1" s="1" a="1"/>
  <c r="Q592" i="1"/>
  <c r="R592" i="1" s="1" a="1"/>
  <c r="Q593" i="1"/>
  <c r="R593" i="1" s="1" a="1"/>
  <c r="Q594" i="1"/>
  <c r="R594" i="1" s="1" a="1"/>
  <c r="Q595" i="1"/>
  <c r="R595" i="1" s="1" a="1"/>
  <c r="Q596" i="1"/>
  <c r="R596" i="1" s="1" a="1"/>
  <c r="Q597" i="1"/>
  <c r="R597" i="1" s="1" a="1"/>
  <c r="Q598" i="1"/>
  <c r="R598" i="1" s="1" a="1"/>
  <c r="Q599" i="1"/>
  <c r="R599" i="1" s="1" a="1"/>
  <c r="Q600" i="1"/>
  <c r="R600" i="1" s="1" a="1"/>
  <c r="Q601" i="1"/>
  <c r="R601" i="1" s="1" a="1"/>
  <c r="Q602" i="1"/>
  <c r="R602" i="1" s="1" a="1"/>
  <c r="Q603" i="1"/>
  <c r="R603" i="1" s="1" a="1"/>
  <c r="Q604" i="1"/>
  <c r="R604" i="1" s="1" a="1"/>
  <c r="Q605" i="1"/>
  <c r="R605" i="1" s="1" a="1"/>
  <c r="Q606" i="1"/>
  <c r="R606" i="1" s="1" a="1"/>
  <c r="Q607" i="1"/>
  <c r="R607" i="1" s="1" a="1"/>
  <c r="Q608" i="1"/>
  <c r="R608" i="1" s="1" a="1"/>
  <c r="Q609" i="1"/>
  <c r="R609" i="1" s="1" a="1"/>
  <c r="Q610" i="1"/>
  <c r="R610" i="1" s="1" a="1"/>
  <c r="Q611" i="1"/>
  <c r="R611" i="1" s="1" a="1"/>
  <c r="Q612" i="1"/>
  <c r="R612" i="1" s="1" a="1"/>
  <c r="Q613" i="1"/>
  <c r="R613" i="1" s="1" a="1"/>
  <c r="Q614" i="1"/>
  <c r="R614" i="1" s="1" a="1"/>
  <c r="Q615" i="1"/>
  <c r="R615" i="1" s="1" a="1"/>
  <c r="Q616" i="1"/>
  <c r="R616" i="1" s="1" a="1"/>
  <c r="Q617" i="1"/>
  <c r="R617" i="1" s="1" a="1"/>
  <c r="Q618" i="1"/>
  <c r="R618" i="1" s="1" a="1"/>
  <c r="Q619" i="1"/>
  <c r="R619" i="1" s="1" a="1"/>
  <c r="Q620" i="1"/>
  <c r="R620" i="1" s="1" a="1"/>
  <c r="Q621" i="1"/>
  <c r="R621" i="1" s="1" a="1"/>
  <c r="Q622" i="1"/>
  <c r="R622" i="1" s="1" a="1"/>
  <c r="Q623" i="1"/>
  <c r="R623" i="1" s="1" a="1"/>
  <c r="Q624" i="1"/>
  <c r="R624" i="1" s="1" a="1"/>
  <c r="Q625" i="1"/>
  <c r="R625" i="1" s="1" a="1"/>
  <c r="Q626" i="1"/>
  <c r="R626" i="1" s="1" a="1"/>
  <c r="Q627" i="1"/>
  <c r="R627" i="1" s="1" a="1"/>
  <c r="Q628" i="1"/>
  <c r="R628" i="1" s="1" a="1"/>
  <c r="Q629" i="1"/>
  <c r="R629" i="1" s="1" a="1"/>
  <c r="Q630" i="1"/>
  <c r="R630" i="1" s="1" a="1"/>
  <c r="Q631" i="1"/>
  <c r="R631" i="1" s="1" a="1"/>
  <c r="Q632" i="1"/>
  <c r="R632" i="1" s="1" a="1"/>
  <c r="Q633" i="1"/>
  <c r="R633" i="1" s="1" a="1"/>
  <c r="Q634" i="1"/>
  <c r="R634" i="1" s="1" a="1"/>
  <c r="Q635" i="1"/>
  <c r="R635" i="1" s="1" a="1"/>
  <c r="Q636" i="1"/>
  <c r="R636" i="1" s="1" a="1"/>
  <c r="Q637" i="1"/>
  <c r="R637" i="1" s="1" a="1"/>
  <c r="Q638" i="1"/>
  <c r="R638" i="1" s="1" a="1"/>
  <c r="Q639" i="1"/>
  <c r="R639" i="1" s="1" a="1"/>
  <c r="Q640" i="1"/>
  <c r="R640" i="1" s="1" a="1"/>
  <c r="Q641" i="1"/>
  <c r="R641" i="1" s="1" a="1"/>
  <c r="Q642" i="1"/>
  <c r="R642" i="1" s="1" a="1"/>
  <c r="Q643" i="1"/>
  <c r="R643" i="1" s="1" a="1"/>
  <c r="Q644" i="1"/>
  <c r="R644" i="1" s="1" a="1"/>
  <c r="Q645" i="1"/>
  <c r="R645" i="1" s="1" a="1"/>
  <c r="Q646" i="1"/>
  <c r="R646" i="1" s="1" a="1"/>
  <c r="Q647" i="1"/>
  <c r="R647" i="1" s="1" a="1"/>
  <c r="Q648" i="1"/>
  <c r="R648" i="1" s="1" a="1"/>
  <c r="Q649" i="1"/>
  <c r="R649" i="1" s="1" a="1"/>
  <c r="Q650" i="1"/>
  <c r="R650" i="1" s="1" a="1"/>
  <c r="Q651" i="1"/>
  <c r="R651" i="1" s="1" a="1"/>
  <c r="Q652" i="1"/>
  <c r="R652" i="1" s="1" a="1"/>
  <c r="Q653" i="1"/>
  <c r="R653" i="1" s="1" a="1"/>
  <c r="Q654" i="1"/>
  <c r="R654" i="1" s="1" a="1"/>
  <c r="Q655" i="1"/>
  <c r="R655" i="1" s="1" a="1"/>
  <c r="Q656" i="1"/>
  <c r="R656" i="1" s="1" a="1"/>
  <c r="Q657" i="1"/>
  <c r="R657" i="1" s="1" a="1"/>
  <c r="Q658" i="1"/>
  <c r="R658" i="1" s="1" a="1"/>
  <c r="Q659" i="1"/>
  <c r="R659" i="1" s="1" a="1"/>
  <c r="Q660" i="1"/>
  <c r="R660" i="1" s="1" a="1"/>
  <c r="Q661" i="1"/>
  <c r="R661" i="1" s="1" a="1"/>
  <c r="Q662" i="1"/>
  <c r="R662" i="1" s="1" a="1"/>
  <c r="Q663" i="1"/>
  <c r="R663" i="1" s="1" a="1"/>
  <c r="Q664" i="1"/>
  <c r="R664" i="1" s="1" a="1"/>
  <c r="Q665" i="1"/>
  <c r="R665" i="1" s="1" a="1"/>
  <c r="Q666" i="1"/>
  <c r="R666" i="1" s="1" a="1"/>
  <c r="Q667" i="1"/>
  <c r="R667" i="1" s="1" a="1"/>
  <c r="Q668" i="1"/>
  <c r="R668" i="1" s="1" a="1"/>
  <c r="Q669" i="1"/>
  <c r="R669" i="1" s="1" a="1"/>
  <c r="Q670" i="1"/>
  <c r="R670" i="1" s="1" a="1"/>
  <c r="Q671" i="1"/>
  <c r="R671" i="1" s="1" a="1"/>
  <c r="Q672" i="1"/>
  <c r="R672" i="1" s="1" a="1"/>
  <c r="Q673" i="1"/>
  <c r="R673" i="1" s="1" a="1"/>
  <c r="Q674" i="1"/>
  <c r="R674" i="1" s="1" a="1"/>
  <c r="Q675" i="1"/>
  <c r="R675" i="1" s="1" a="1"/>
  <c r="Q676" i="1"/>
  <c r="R676" i="1" s="1" a="1"/>
  <c r="Q677" i="1"/>
  <c r="R677" i="1" s="1" a="1"/>
  <c r="Q678" i="1"/>
  <c r="R678" i="1" s="1" a="1"/>
  <c r="Q679" i="1"/>
  <c r="R679" i="1" s="1" a="1"/>
  <c r="Q680" i="1"/>
  <c r="R680" i="1" s="1" a="1"/>
  <c r="Q681" i="1"/>
  <c r="R681" i="1" s="1" a="1"/>
  <c r="Q682" i="1"/>
  <c r="R682" i="1" s="1" a="1"/>
  <c r="Q683" i="1"/>
  <c r="R683" i="1" s="1" a="1"/>
  <c r="Q684" i="1"/>
  <c r="R684" i="1" s="1" a="1"/>
  <c r="Q685" i="1"/>
  <c r="R685" i="1" s="1" a="1"/>
  <c r="Q686" i="1"/>
  <c r="R686" i="1" s="1" a="1"/>
  <c r="Q687" i="1"/>
  <c r="R687" i="1" s="1" a="1"/>
  <c r="Q688" i="1"/>
  <c r="R688" i="1" s="1" a="1"/>
  <c r="Q689" i="1"/>
  <c r="R689" i="1" s="1" a="1"/>
  <c r="Q690" i="1"/>
  <c r="R690" i="1" s="1" a="1"/>
  <c r="Q691" i="1"/>
  <c r="R691" i="1" s="1" a="1"/>
  <c r="Q692" i="1"/>
  <c r="R692" i="1" s="1" a="1"/>
  <c r="Q693" i="1"/>
  <c r="R693" i="1" s="1" a="1"/>
  <c r="Q694" i="1"/>
  <c r="R694" i="1" s="1" a="1"/>
  <c r="Q695" i="1"/>
  <c r="R695" i="1" s="1" a="1"/>
  <c r="Q696" i="1"/>
  <c r="R696" i="1" s="1" a="1"/>
  <c r="Q697" i="1"/>
  <c r="R697" i="1" s="1" a="1"/>
  <c r="Q698" i="1"/>
  <c r="R698" i="1" s="1" a="1"/>
  <c r="Q699" i="1"/>
  <c r="R699" i="1" s="1" a="1"/>
  <c r="Q700" i="1"/>
  <c r="R700" i="1" s="1" a="1"/>
  <c r="Q701" i="1"/>
  <c r="R701" i="1" s="1" a="1"/>
  <c r="Q702" i="1"/>
  <c r="R702" i="1" s="1" a="1"/>
  <c r="Q703" i="1"/>
  <c r="R703" i="1" s="1" a="1"/>
  <c r="Q704" i="1"/>
  <c r="R704" i="1" s="1" a="1"/>
  <c r="Q705" i="1"/>
  <c r="R705" i="1" s="1" a="1"/>
  <c r="Q706" i="1"/>
  <c r="R706" i="1" s="1" a="1"/>
  <c r="Q707" i="1"/>
  <c r="R707" i="1" s="1" a="1"/>
  <c r="Q708" i="1"/>
  <c r="R708" i="1" s="1" a="1"/>
  <c r="Q709" i="1"/>
  <c r="R709" i="1" s="1" a="1"/>
  <c r="Q710" i="1"/>
  <c r="R710" i="1" s="1" a="1"/>
  <c r="Q711" i="1"/>
  <c r="R711" i="1" s="1" a="1"/>
  <c r="Q712" i="1"/>
  <c r="R712" i="1" s="1" a="1"/>
  <c r="Q713" i="1"/>
  <c r="R713" i="1" s="1" a="1"/>
  <c r="Q714" i="1"/>
  <c r="R714" i="1" s="1" a="1"/>
  <c r="Q715" i="1"/>
  <c r="R715" i="1" s="1" a="1"/>
  <c r="Q716" i="1"/>
  <c r="R716" i="1" s="1" a="1"/>
  <c r="Q717" i="1"/>
  <c r="R717" i="1" s="1" a="1"/>
  <c r="Q718" i="1"/>
  <c r="R718" i="1" s="1" a="1"/>
  <c r="Q719" i="1"/>
  <c r="R719" i="1" s="1" a="1"/>
  <c r="Q720" i="1"/>
  <c r="R720" i="1" s="1" a="1"/>
  <c r="Q721" i="1"/>
  <c r="R721" i="1" s="1" a="1"/>
  <c r="Q722" i="1"/>
  <c r="R722" i="1" s="1" a="1"/>
  <c r="Q723" i="1"/>
  <c r="R723" i="1" s="1" a="1"/>
  <c r="Q724" i="1"/>
  <c r="R724" i="1" s="1" a="1"/>
  <c r="Q725" i="1"/>
  <c r="R725" i="1" s="1" a="1"/>
  <c r="Q726" i="1"/>
  <c r="R726" i="1" s="1" a="1"/>
  <c r="Q727" i="1"/>
  <c r="R727" i="1" s="1" a="1"/>
  <c r="Q728" i="1"/>
  <c r="R728" i="1" s="1" a="1"/>
  <c r="Q729" i="1"/>
  <c r="R729" i="1" s="1" a="1"/>
  <c r="Q730" i="1"/>
  <c r="R730" i="1" s="1" a="1"/>
  <c r="Q731" i="1"/>
  <c r="R731" i="1" s="1" a="1"/>
  <c r="Q732" i="1"/>
  <c r="R732" i="1" s="1" a="1"/>
  <c r="Q733" i="1"/>
  <c r="R733" i="1" s="1" a="1"/>
  <c r="Q734" i="1"/>
  <c r="R734" i="1" s="1" a="1"/>
  <c r="Q735" i="1"/>
  <c r="R735" i="1" s="1" a="1"/>
  <c r="Q736" i="1"/>
  <c r="R736" i="1" s="1" a="1"/>
  <c r="Q737" i="1"/>
  <c r="R737" i="1" s="1" a="1"/>
  <c r="Q738" i="1"/>
  <c r="R738" i="1" s="1" a="1"/>
  <c r="Q739" i="1"/>
  <c r="R739" i="1" s="1" a="1"/>
  <c r="Q740" i="1"/>
  <c r="R740" i="1" s="1" a="1"/>
  <c r="Q741" i="1"/>
  <c r="R741" i="1" s="1" a="1"/>
  <c r="Q742" i="1"/>
  <c r="R742" i="1" s="1" a="1"/>
  <c r="Q743" i="1"/>
  <c r="R743" i="1" s="1" a="1"/>
  <c r="Q744" i="1"/>
  <c r="R744" i="1" s="1" a="1"/>
  <c r="Q745" i="1"/>
  <c r="R745" i="1" s="1" a="1"/>
  <c r="Q746" i="1"/>
  <c r="R746" i="1" s="1" a="1"/>
  <c r="Q747" i="1"/>
  <c r="R747" i="1" s="1" a="1"/>
  <c r="Q748" i="1"/>
  <c r="R748" i="1" s="1" a="1"/>
  <c r="Q749" i="1"/>
  <c r="R749" i="1" s="1" a="1"/>
  <c r="Q750" i="1"/>
  <c r="R750" i="1" s="1" a="1"/>
  <c r="Q751" i="1"/>
  <c r="R751" i="1" s="1" a="1"/>
  <c r="Q752" i="1"/>
  <c r="R752" i="1" s="1" a="1"/>
  <c r="Q753" i="1"/>
  <c r="R753" i="1" s="1" a="1"/>
  <c r="Q754" i="1"/>
  <c r="R754" i="1" s="1" a="1"/>
  <c r="Q755" i="1"/>
  <c r="R755" i="1" s="1" a="1"/>
  <c r="Q756" i="1"/>
  <c r="R756" i="1" s="1" a="1"/>
  <c r="Q757" i="1"/>
  <c r="R757" i="1" s="1" a="1"/>
  <c r="Q758" i="1"/>
  <c r="R758" i="1" s="1" a="1"/>
  <c r="Q759" i="1"/>
  <c r="R759" i="1" s="1" a="1"/>
  <c r="Q760" i="1"/>
  <c r="R760" i="1" s="1" a="1"/>
  <c r="Q761" i="1"/>
  <c r="R761" i="1" s="1" a="1"/>
  <c r="Q762" i="1"/>
  <c r="R762" i="1" s="1" a="1"/>
  <c r="Q763" i="1"/>
  <c r="R763" i="1" s="1" a="1"/>
  <c r="Q764" i="1"/>
  <c r="R764" i="1" s="1" a="1"/>
  <c r="Q765" i="1"/>
  <c r="R765" i="1" s="1" a="1"/>
  <c r="Q766" i="1"/>
  <c r="R766" i="1" s="1" a="1"/>
  <c r="Q767" i="1"/>
  <c r="R767" i="1" s="1" a="1"/>
  <c r="Q768" i="1"/>
  <c r="R768" i="1" s="1" a="1"/>
  <c r="Q769" i="1"/>
  <c r="R769" i="1" s="1" a="1"/>
  <c r="Q770" i="1"/>
  <c r="R770" i="1" s="1" a="1"/>
  <c r="Q771" i="1"/>
  <c r="R771" i="1" s="1" a="1"/>
  <c r="Q772" i="1"/>
  <c r="R772" i="1" s="1" a="1"/>
  <c r="Q773" i="1"/>
  <c r="R773" i="1" s="1" a="1"/>
  <c r="Q774" i="1"/>
  <c r="R774" i="1" s="1" a="1"/>
  <c r="Q775" i="1"/>
  <c r="R775" i="1" s="1" a="1"/>
  <c r="Q776" i="1"/>
  <c r="R776" i="1" s="1" a="1"/>
  <c r="Q777" i="1"/>
  <c r="R777" i="1" s="1" a="1"/>
  <c r="Q778" i="1"/>
  <c r="R778" i="1" s="1" a="1"/>
  <c r="Q779" i="1"/>
  <c r="R779" i="1" s="1" a="1"/>
  <c r="Q780" i="1"/>
  <c r="R780" i="1" s="1" a="1"/>
  <c r="Q781" i="1"/>
  <c r="R781" i="1" s="1" a="1"/>
  <c r="Q782" i="1"/>
  <c r="R782" i="1" s="1" a="1"/>
  <c r="Q783" i="1"/>
  <c r="R783" i="1" s="1" a="1"/>
  <c r="Q784" i="1"/>
  <c r="R784" i="1" s="1" a="1"/>
  <c r="Q785" i="1"/>
  <c r="R785" i="1" s="1" a="1"/>
  <c r="Q786" i="1"/>
  <c r="R786" i="1" s="1" a="1"/>
  <c r="Q787" i="1"/>
  <c r="R787" i="1" s="1" a="1"/>
  <c r="Q788" i="1"/>
  <c r="R788" i="1" s="1" a="1"/>
  <c r="Q789" i="1"/>
  <c r="R789" i="1" s="1" a="1"/>
  <c r="Q790" i="1"/>
  <c r="R790" i="1" s="1" a="1"/>
  <c r="Q791" i="1"/>
  <c r="R791" i="1" s="1" a="1"/>
  <c r="Q792" i="1"/>
  <c r="R792" i="1" s="1" a="1"/>
  <c r="Q793" i="1"/>
  <c r="R793" i="1" s="1" a="1"/>
  <c r="Q794" i="1"/>
  <c r="R794" i="1" s="1" a="1"/>
  <c r="Q795" i="1"/>
  <c r="R795" i="1" s="1" a="1"/>
  <c r="Q796" i="1"/>
  <c r="R796" i="1" s="1" a="1"/>
  <c r="Q797" i="1"/>
  <c r="R797" i="1" s="1" a="1"/>
  <c r="Q798" i="1"/>
  <c r="R798" i="1" s="1" a="1"/>
  <c r="Q799" i="1"/>
  <c r="R799" i="1" s="1" a="1"/>
  <c r="Q800" i="1"/>
  <c r="R800" i="1" s="1" a="1"/>
  <c r="Q801" i="1"/>
  <c r="R801" i="1" s="1" a="1"/>
  <c r="Q802" i="1"/>
  <c r="R802" i="1" s="1" a="1"/>
  <c r="Q803" i="1"/>
  <c r="R803" i="1" s="1" a="1"/>
  <c r="Q804" i="1"/>
  <c r="R804" i="1" s="1" a="1"/>
  <c r="Q805" i="1"/>
  <c r="R805" i="1" s="1" a="1"/>
  <c r="Q806" i="1"/>
  <c r="R806" i="1" s="1" a="1"/>
  <c r="Q807" i="1"/>
  <c r="R807" i="1" s="1" a="1"/>
  <c r="Q808" i="1"/>
  <c r="R808" i="1" s="1" a="1"/>
  <c r="Q809" i="1"/>
  <c r="R809" i="1" s="1" a="1"/>
  <c r="Q810" i="1"/>
  <c r="R810" i="1" s="1" a="1"/>
  <c r="Q811" i="1"/>
  <c r="R811" i="1" s="1" a="1"/>
  <c r="Q812" i="1"/>
  <c r="R812" i="1" s="1" a="1"/>
  <c r="Q813" i="1"/>
  <c r="R813" i="1" s="1" a="1"/>
  <c r="Q814" i="1"/>
  <c r="R814" i="1" s="1" a="1"/>
  <c r="Q815" i="1"/>
  <c r="R815" i="1" s="1" a="1"/>
  <c r="Q816" i="1"/>
  <c r="R816" i="1" s="1" a="1"/>
  <c r="Q817" i="1"/>
  <c r="R817" i="1" s="1" a="1"/>
  <c r="Q818" i="1"/>
  <c r="R818" i="1" s="1" a="1"/>
  <c r="Q819" i="1"/>
  <c r="R819" i="1" s="1" a="1"/>
  <c r="Q820" i="1"/>
  <c r="R820" i="1" s="1" a="1"/>
  <c r="Q821" i="1"/>
  <c r="R821" i="1" s="1" a="1"/>
  <c r="Q822" i="1"/>
  <c r="R822" i="1" s="1" a="1"/>
  <c r="Q823" i="1"/>
  <c r="R823" i="1" s="1" a="1"/>
  <c r="Q824" i="1"/>
  <c r="R824" i="1" s="1" a="1"/>
  <c r="Q825" i="1"/>
  <c r="R825" i="1" s="1" a="1"/>
  <c r="Q826" i="1"/>
  <c r="R826" i="1" s="1" a="1"/>
  <c r="Q827" i="1"/>
  <c r="R827" i="1" s="1" a="1"/>
  <c r="Q828" i="1"/>
  <c r="R828" i="1" s="1" a="1"/>
  <c r="Q829" i="1"/>
  <c r="R829" i="1" s="1" a="1"/>
  <c r="Q830" i="1"/>
  <c r="R830" i="1" s="1" a="1"/>
  <c r="Q831" i="1"/>
  <c r="R831" i="1" s="1" a="1"/>
  <c r="Q832" i="1"/>
  <c r="R832" i="1" s="1" a="1"/>
  <c r="Q833" i="1"/>
  <c r="R833" i="1" s="1" a="1"/>
  <c r="Q834" i="1"/>
  <c r="R834" i="1" s="1" a="1"/>
  <c r="Q835" i="1"/>
  <c r="R835" i="1" s="1" a="1"/>
  <c r="Q836" i="1"/>
  <c r="R836" i="1" s="1" a="1"/>
  <c r="Q837" i="1"/>
  <c r="R837" i="1" s="1" a="1"/>
  <c r="Q838" i="1"/>
  <c r="R838" i="1" s="1" a="1"/>
  <c r="Q839" i="1"/>
  <c r="R839" i="1" s="1" a="1"/>
  <c r="Q840" i="1"/>
  <c r="R840" i="1" s="1" a="1"/>
  <c r="Q841" i="1"/>
  <c r="R841" i="1" s="1" a="1"/>
  <c r="Q842" i="1"/>
  <c r="R842" i="1" s="1" a="1"/>
  <c r="Q843" i="1"/>
  <c r="R843" i="1" s="1" a="1"/>
  <c r="Q844" i="1"/>
  <c r="R844" i="1" s="1" a="1"/>
  <c r="Q845" i="1"/>
  <c r="R845" i="1" s="1" a="1"/>
  <c r="Q846" i="1"/>
  <c r="R846" i="1" s="1" a="1"/>
  <c r="Q847" i="1"/>
  <c r="R847" i="1" s="1" a="1"/>
  <c r="Q848" i="1"/>
  <c r="R848" i="1" s="1" a="1"/>
  <c r="Q849" i="1"/>
  <c r="R849" i="1" s="1" a="1"/>
  <c r="Q850" i="1"/>
  <c r="R850" i="1" s="1" a="1"/>
  <c r="Q851" i="1"/>
  <c r="R851" i="1" s="1" a="1"/>
  <c r="Q852" i="1"/>
  <c r="R852" i="1" s="1" a="1"/>
  <c r="Q853" i="1"/>
  <c r="R853" i="1" s="1" a="1"/>
  <c r="Q854" i="1"/>
  <c r="R854" i="1" s="1" a="1"/>
  <c r="Q855" i="1"/>
  <c r="R855" i="1" s="1" a="1"/>
  <c r="Q856" i="1"/>
  <c r="R856" i="1" s="1" a="1"/>
  <c r="Q857" i="1"/>
  <c r="R857" i="1" s="1" a="1"/>
  <c r="Q858" i="1"/>
  <c r="R858" i="1" s="1" a="1"/>
  <c r="Q859" i="1"/>
  <c r="R859" i="1" s="1" a="1"/>
  <c r="Q860" i="1"/>
  <c r="R860" i="1" s="1" a="1"/>
  <c r="Q861" i="1"/>
  <c r="R861" i="1" s="1" a="1"/>
  <c r="Q862" i="1"/>
  <c r="R862" i="1" s="1" a="1"/>
  <c r="Q863" i="1"/>
  <c r="R863" i="1" s="1" a="1"/>
  <c r="Q864" i="1"/>
  <c r="R864" i="1" s="1" a="1"/>
  <c r="Q865" i="1"/>
  <c r="R865" i="1" s="1" a="1"/>
  <c r="Q866" i="1"/>
  <c r="R866" i="1" s="1" a="1"/>
  <c r="Q867" i="1"/>
  <c r="R867" i="1" s="1" a="1"/>
  <c r="Q868" i="1"/>
  <c r="R868" i="1" s="1" a="1"/>
  <c r="Q869" i="1"/>
  <c r="R869" i="1" s="1" a="1"/>
  <c r="Q870" i="1"/>
  <c r="R870" i="1" s="1" a="1"/>
  <c r="Q871" i="1"/>
  <c r="R871" i="1" s="1" a="1"/>
  <c r="Q872" i="1"/>
  <c r="R872" i="1" s="1" a="1"/>
  <c r="Q873" i="1"/>
  <c r="R873" i="1" s="1" a="1"/>
  <c r="Q874" i="1"/>
  <c r="R874" i="1" s="1" a="1"/>
  <c r="Q875" i="1"/>
  <c r="R875" i="1" s="1" a="1"/>
  <c r="Q876" i="1"/>
  <c r="R876" i="1" s="1" a="1"/>
  <c r="Q877" i="1"/>
  <c r="R877" i="1" s="1" a="1"/>
  <c r="Q878" i="1"/>
  <c r="R878" i="1" s="1" a="1"/>
  <c r="Q879" i="1"/>
  <c r="R879" i="1" s="1" a="1"/>
  <c r="Q880" i="1"/>
  <c r="R880" i="1" s="1" a="1"/>
  <c r="Q881" i="1"/>
  <c r="R881" i="1" s="1" a="1"/>
  <c r="Q882" i="1"/>
  <c r="R882" i="1" s="1" a="1"/>
  <c r="Q883" i="1"/>
  <c r="R883" i="1" s="1" a="1"/>
  <c r="Q884" i="1"/>
  <c r="R884" i="1" s="1" a="1"/>
  <c r="Q885" i="1"/>
  <c r="R885" i="1" s="1" a="1"/>
  <c r="Q886" i="1"/>
  <c r="R886" i="1" s="1" a="1"/>
  <c r="Q887" i="1"/>
  <c r="R887" i="1" s="1" a="1"/>
  <c r="Q888" i="1"/>
  <c r="R888" i="1" s="1" a="1"/>
  <c r="Q889" i="1"/>
  <c r="R889" i="1" s="1" a="1"/>
  <c r="Q890" i="1"/>
  <c r="R890" i="1" s="1" a="1"/>
  <c r="Q891" i="1"/>
  <c r="R891" i="1" s="1" a="1"/>
  <c r="Q892" i="1"/>
  <c r="R892" i="1" s="1" a="1"/>
  <c r="Q893" i="1"/>
  <c r="R893" i="1" s="1" a="1"/>
  <c r="Q894" i="1"/>
  <c r="R894" i="1" s="1" a="1"/>
  <c r="Q895" i="1"/>
  <c r="R895" i="1" s="1" a="1"/>
  <c r="Q896" i="1"/>
  <c r="R896" i="1" s="1" a="1"/>
  <c r="Q897" i="1"/>
  <c r="R897" i="1" s="1" a="1"/>
  <c r="Q898" i="1"/>
  <c r="R898" i="1" s="1" a="1"/>
  <c r="Q899" i="1"/>
  <c r="R899" i="1" s="1" a="1"/>
  <c r="Q900" i="1"/>
  <c r="R900" i="1" s="1" a="1"/>
  <c r="Q901" i="1"/>
  <c r="R901" i="1" s="1" a="1"/>
  <c r="Q902" i="1"/>
  <c r="R902" i="1" s="1" a="1"/>
  <c r="Q903" i="1"/>
  <c r="R903" i="1" s="1" a="1"/>
  <c r="Q904" i="1"/>
  <c r="R904" i="1" s="1" a="1"/>
  <c r="Q905" i="1"/>
  <c r="R905" i="1" s="1" a="1"/>
  <c r="Q906" i="1"/>
  <c r="R906" i="1" s="1" a="1"/>
  <c r="Q907" i="1"/>
  <c r="R907" i="1" s="1" a="1"/>
  <c r="Q908" i="1"/>
  <c r="R908" i="1" s="1" a="1"/>
  <c r="Q909" i="1"/>
  <c r="R909" i="1" s="1" a="1"/>
  <c r="Q910" i="1"/>
  <c r="R910" i="1" s="1" a="1"/>
  <c r="Q911" i="1"/>
  <c r="R911" i="1" s="1" a="1"/>
  <c r="Q912" i="1"/>
  <c r="R912" i="1" s="1" a="1"/>
  <c r="Q913" i="1"/>
  <c r="R913" i="1" s="1" a="1"/>
  <c r="Q914" i="1"/>
  <c r="R914" i="1" s="1" a="1"/>
  <c r="Q915" i="1"/>
  <c r="R915" i="1" s="1" a="1"/>
  <c r="Q916" i="1"/>
  <c r="R916" i="1" s="1" a="1"/>
  <c r="Q917" i="1"/>
  <c r="R917" i="1" s="1" a="1"/>
  <c r="Q918" i="1"/>
  <c r="R918" i="1" s="1" a="1"/>
  <c r="Q919" i="1"/>
  <c r="R919" i="1" s="1" a="1"/>
  <c r="Q920" i="1"/>
  <c r="R920" i="1" s="1" a="1"/>
  <c r="Q921" i="1"/>
  <c r="R921" i="1" s="1" a="1"/>
  <c r="Q922" i="1"/>
  <c r="R922" i="1" s="1" a="1"/>
  <c r="Q923" i="1"/>
  <c r="R923" i="1" s="1" a="1"/>
  <c r="Q924" i="1"/>
  <c r="R924" i="1" s="1" a="1"/>
  <c r="Q925" i="1"/>
  <c r="R925" i="1" s="1" a="1"/>
  <c r="Q926" i="1"/>
  <c r="R926" i="1" s="1" a="1"/>
  <c r="Q927" i="1"/>
  <c r="R927" i="1" s="1" a="1"/>
  <c r="Q928" i="1"/>
  <c r="R928" i="1" s="1" a="1"/>
  <c r="Q929" i="1"/>
  <c r="R929" i="1" s="1" a="1"/>
  <c r="Q930" i="1"/>
  <c r="R930" i="1" s="1" a="1"/>
  <c r="Q931" i="1"/>
  <c r="R931" i="1" s="1" a="1"/>
  <c r="Q932" i="1"/>
  <c r="R932" i="1" s="1" a="1"/>
  <c r="Q933" i="1"/>
  <c r="R933" i="1" s="1" a="1"/>
  <c r="Q934" i="1"/>
  <c r="R934" i="1" s="1" a="1"/>
  <c r="Q935" i="1"/>
  <c r="R935" i="1" s="1" a="1"/>
  <c r="Q936" i="1"/>
  <c r="R936" i="1" s="1" a="1"/>
  <c r="Q937" i="1"/>
  <c r="R937" i="1" s="1" a="1"/>
  <c r="Q938" i="1"/>
  <c r="R938" i="1" s="1" a="1"/>
  <c r="Q939" i="1"/>
  <c r="R939" i="1" s="1" a="1"/>
  <c r="Q940" i="1"/>
  <c r="R940" i="1" s="1" a="1"/>
  <c r="Q941" i="1"/>
  <c r="R941" i="1" s="1" a="1"/>
  <c r="Q942" i="1"/>
  <c r="R942" i="1" s="1" a="1"/>
  <c r="Q943" i="1"/>
  <c r="R943" i="1" s="1" a="1"/>
  <c r="Q944" i="1"/>
  <c r="R944" i="1" s="1" a="1"/>
  <c r="Q945" i="1"/>
  <c r="R945" i="1" s="1" a="1"/>
  <c r="Q946" i="1"/>
  <c r="R946" i="1" s="1" a="1"/>
  <c r="Q947" i="1"/>
  <c r="R947" i="1" s="1" a="1"/>
  <c r="Q948" i="1"/>
  <c r="R948" i="1" s="1" a="1"/>
  <c r="Q949" i="1"/>
  <c r="R949" i="1" s="1" a="1"/>
  <c r="Q950" i="1"/>
  <c r="R950" i="1" s="1" a="1"/>
  <c r="Q951" i="1"/>
  <c r="R951" i="1" s="1" a="1"/>
  <c r="Q952" i="1"/>
  <c r="R952" i="1" s="1" a="1"/>
  <c r="Q953" i="1"/>
  <c r="R953" i="1" s="1" a="1"/>
  <c r="Q954" i="1"/>
  <c r="R954" i="1" s="1" a="1"/>
  <c r="Q955" i="1"/>
  <c r="R955" i="1" s="1" a="1"/>
  <c r="Q956" i="1"/>
  <c r="R956" i="1" s="1" a="1"/>
  <c r="Q957" i="1"/>
  <c r="R957" i="1" s="1" a="1"/>
  <c r="Q958" i="1"/>
  <c r="R958" i="1" s="1" a="1"/>
  <c r="Q959" i="1"/>
  <c r="R959" i="1" s="1" a="1"/>
  <c r="Q960" i="1"/>
  <c r="R960" i="1" s="1" a="1"/>
  <c r="Q961" i="1"/>
  <c r="R961" i="1" s="1" a="1"/>
  <c r="Q962" i="1"/>
  <c r="R962" i="1" s="1" a="1"/>
  <c r="Q963" i="1"/>
  <c r="R963" i="1" s="1" a="1"/>
  <c r="Q964" i="1"/>
  <c r="R964" i="1" s="1" a="1"/>
  <c r="Q965" i="1"/>
  <c r="R965" i="1" s="1" a="1"/>
  <c r="Q966" i="1"/>
  <c r="R966" i="1" s="1" a="1"/>
  <c r="Q967" i="1"/>
  <c r="R967" i="1" s="1" a="1"/>
  <c r="Q968" i="1"/>
  <c r="R968" i="1" s="1" a="1"/>
  <c r="Q969" i="1"/>
  <c r="R969" i="1" s="1" a="1"/>
  <c r="Q970" i="1"/>
  <c r="R970" i="1" s="1" a="1"/>
  <c r="Q971" i="1"/>
  <c r="R971" i="1" s="1" a="1"/>
  <c r="Q972" i="1"/>
  <c r="R972" i="1" s="1" a="1"/>
  <c r="Q973" i="1"/>
  <c r="R973" i="1" s="1" a="1"/>
  <c r="Q974" i="1"/>
  <c r="R974" i="1" s="1" a="1"/>
  <c r="Q975" i="1"/>
  <c r="R975" i="1" s="1" a="1"/>
  <c r="Q976" i="1"/>
  <c r="R976" i="1" s="1" a="1"/>
  <c r="Q977" i="1"/>
  <c r="R977" i="1" s="1" a="1"/>
  <c r="Q978" i="1"/>
  <c r="R978" i="1" s="1" a="1"/>
  <c r="Q979" i="1"/>
  <c r="R979" i="1" s="1" a="1"/>
  <c r="Q980" i="1"/>
  <c r="R980" i="1" s="1" a="1"/>
  <c r="Q981" i="1"/>
  <c r="R981" i="1" s="1" a="1"/>
  <c r="Q982" i="1"/>
  <c r="R982" i="1" s="1" a="1"/>
  <c r="Q983" i="1"/>
  <c r="R983" i="1" s="1" a="1"/>
  <c r="Q984" i="1"/>
  <c r="R984" i="1" s="1" a="1"/>
  <c r="Q985" i="1"/>
  <c r="R985" i="1" s="1" a="1"/>
  <c r="Q986" i="1"/>
  <c r="R986" i="1" s="1" a="1"/>
  <c r="Q987" i="1"/>
  <c r="R987" i="1" s="1" a="1"/>
  <c r="Q988" i="1"/>
  <c r="R988" i="1" s="1" a="1"/>
  <c r="Q989" i="1"/>
  <c r="R989" i="1" s="1" a="1"/>
  <c r="Q990" i="1"/>
  <c r="R990" i="1" s="1" a="1"/>
  <c r="Q991" i="1"/>
  <c r="R991" i="1" s="1" a="1"/>
  <c r="Q992" i="1"/>
  <c r="R992" i="1" s="1" a="1"/>
  <c r="Q993" i="1"/>
  <c r="R993" i="1" s="1" a="1"/>
  <c r="Q994" i="1"/>
  <c r="R994" i="1" s="1" a="1"/>
  <c r="Q995" i="1"/>
  <c r="R995" i="1" s="1" a="1"/>
  <c r="Q996" i="1"/>
  <c r="R996" i="1" s="1" a="1"/>
  <c r="Q997" i="1"/>
  <c r="R997" i="1" s="1" a="1"/>
  <c r="Q998" i="1"/>
  <c r="R998" i="1" s="1" a="1"/>
  <c r="Q999" i="1"/>
  <c r="R999" i="1" s="1" a="1"/>
  <c r="Q1000" i="1"/>
  <c r="R1000" i="1" s="1" a="1"/>
  <c r="P8" i="1"/>
  <c r="P3" i="1"/>
  <c r="P4" i="1"/>
  <c r="P5" i="1"/>
  <c r="P6" i="1"/>
  <c r="P7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2" i="1"/>
  <c r="S2" i="1"/>
  <c r="E4" i="4"/>
  <c r="S3" i="1"/>
  <c r="S8" i="1"/>
  <c r="S5" i="1"/>
  <c r="S6" i="1"/>
  <c r="S7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4" i="1"/>
  <c r="N3" i="1"/>
  <c r="O2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H17" i="4" a="1"/>
  <c r="G13" i="4" a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H16" i="2" a="1"/>
  <c r="G16" i="2" a="1"/>
  <c r="F16" i="2"/>
  <c r="E16" i="2"/>
  <c r="C16" i="2"/>
  <c r="D16" i="2" s="1"/>
  <c r="H15" i="2" a="1"/>
  <c r="G15" i="2" a="1"/>
  <c r="F15" i="2"/>
  <c r="E15" i="2"/>
  <c r="C15" i="2"/>
  <c r="D15" i="2" s="1"/>
  <c r="H14" i="2" a="1"/>
  <c r="G14" i="2" a="1"/>
  <c r="F14" i="2"/>
  <c r="E14" i="2"/>
  <c r="C14" i="2"/>
  <c r="D14" i="2" s="1"/>
  <c r="L13" i="2"/>
  <c r="K13" i="2"/>
  <c r="J13" i="2"/>
  <c r="I13" i="2"/>
  <c r="F13" i="2"/>
  <c r="E13" i="2"/>
  <c r="C13" i="2"/>
  <c r="D13" i="2" s="1"/>
  <c r="H12" i="2" a="1"/>
  <c r="G12" i="2" a="1"/>
  <c r="F12" i="2"/>
  <c r="E12" i="2"/>
  <c r="C12" i="2"/>
  <c r="D12" i="2" s="1"/>
  <c r="H11" i="2" a="1"/>
  <c r="G11" i="2" a="1"/>
  <c r="F11" i="2"/>
  <c r="E11" i="2"/>
  <c r="C11" i="2"/>
  <c r="D11" i="2" s="1"/>
  <c r="H10" i="2" a="1"/>
  <c r="G10" i="2" a="1"/>
  <c r="F10" i="2"/>
  <c r="E10" i="2"/>
  <c r="C10" i="2"/>
  <c r="D10" i="2" s="1"/>
  <c r="L9" i="2"/>
  <c r="K9" i="2"/>
  <c r="J9" i="2"/>
  <c r="F9" i="2"/>
  <c r="E9" i="2"/>
  <c r="C9" i="2"/>
  <c r="D9" i="2" s="1"/>
  <c r="L8" i="2"/>
  <c r="K8" i="2"/>
  <c r="J8" i="2"/>
  <c r="F8" i="2"/>
  <c r="E8" i="2"/>
  <c r="C8" i="2"/>
  <c r="D8" i="2" s="1"/>
  <c r="H7" i="2" a="1"/>
  <c r="G7" i="2" a="1"/>
  <c r="F7" i="2"/>
  <c r="E7" i="2"/>
  <c r="D4" i="2"/>
  <c r="G17" i="4" a="1"/>
  <c r="F17" i="4"/>
  <c r="E17" i="4"/>
  <c r="C17" i="4"/>
  <c r="D17" i="4" s="1"/>
  <c r="H16" i="4" a="1"/>
  <c r="G16" i="4" a="1"/>
  <c r="F16" i="4"/>
  <c r="E16" i="4"/>
  <c r="C16" i="4"/>
  <c r="D16" i="4" s="1"/>
  <c r="H15" i="4" a="1"/>
  <c r="G15" i="4" a="1"/>
  <c r="F15" i="4"/>
  <c r="E15" i="4"/>
  <c r="C15" i="4"/>
  <c r="D15" i="4" s="1"/>
  <c r="L14" i="4"/>
  <c r="K14" i="4"/>
  <c r="J14" i="4"/>
  <c r="I14" i="4"/>
  <c r="F14" i="4"/>
  <c r="E14" i="4"/>
  <c r="C14" i="4"/>
  <c r="D14" i="4" s="1"/>
  <c r="H13" i="4" a="1"/>
  <c r="F13" i="4"/>
  <c r="E13" i="4"/>
  <c r="C13" i="4"/>
  <c r="D13" i="4" s="1"/>
  <c r="H12" i="4" a="1"/>
  <c r="G12" i="4" a="1"/>
  <c r="F12" i="4"/>
  <c r="E12" i="4"/>
  <c r="C12" i="4"/>
  <c r="D12" i="4" s="1"/>
  <c r="L9" i="4"/>
  <c r="K9" i="4"/>
  <c r="J9" i="4"/>
  <c r="F9" i="4"/>
  <c r="E9" i="4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2" i="1"/>
  <c r="L10" i="4" l="1"/>
  <c r="K10" i="4"/>
  <c r="E10" i="4"/>
  <c r="C10" i="4"/>
  <c r="D10" i="4" s="1"/>
  <c r="J10" i="4"/>
  <c r="F10" i="4"/>
  <c r="N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F11" i="4"/>
  <c r="E11" i="4"/>
  <c r="C11" i="4"/>
  <c r="D11" i="4" s="1"/>
  <c r="H11" i="4" a="1"/>
  <c r="G11" i="4" a="1"/>
  <c r="F8" i="4"/>
  <c r="F21" i="4"/>
  <c r="E8" i="4"/>
  <c r="H8" i="4" a="1"/>
  <c r="G8" i="4" a="1"/>
  <c r="C8" i="4" a="1"/>
  <c r="D8" i="4" s="1"/>
  <c r="M16" i="2"/>
  <c r="H16" i="2"/>
  <c r="G16" i="2"/>
  <c r="M15" i="2"/>
  <c r="H15" i="2"/>
  <c r="G15" i="2"/>
  <c r="H14" i="2"/>
  <c r="G14" i="2"/>
  <c r="H12" i="2"/>
  <c r="G12" i="2"/>
  <c r="H11" i="2"/>
  <c r="G11" i="2"/>
  <c r="H10" i="2"/>
  <c r="G10" i="2"/>
  <c r="H7" i="2"/>
  <c r="G7" i="2"/>
  <c r="C7" i="2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M17" i="4"/>
  <c r="H17" i="4"/>
  <c r="G17" i="4"/>
  <c r="M16" i="4"/>
  <c r="H16" i="4"/>
  <c r="G16" i="4"/>
  <c r="H15" i="4"/>
  <c r="G15" i="4"/>
  <c r="H13" i="4"/>
  <c r="G13" i="4"/>
  <c r="H12" i="4"/>
  <c r="G12" i="4"/>
  <c r="H11" i="4"/>
  <c r="G11" i="4"/>
  <c r="H8" i="4"/>
  <c r="G8" i="4"/>
  <c r="C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<sst xmlns="http://schemas.openxmlformats.org/spreadsheetml/2006/main" count="15781" uniqueCount="109">
  <si>
    <t>Name</t>
  </si>
  <si>
    <t>Age</t>
  </si>
  <si>
    <t>Salary</t>
  </si>
  <si>
    <t>Gender</t>
  </si>
  <si>
    <t>Department</t>
  </si>
  <si>
    <t>Position</t>
  </si>
  <si>
    <t>Joining Date</t>
  </si>
  <si>
    <t>Performance Score</t>
  </si>
  <si>
    <t>Email</t>
  </si>
  <si>
    <t>Phone Number</t>
  </si>
  <si>
    <t xml:space="preserve"> grace </t>
  </si>
  <si>
    <t>Male</t>
  </si>
  <si>
    <t>HR</t>
  </si>
  <si>
    <t>Manager</t>
  </si>
  <si>
    <t>D</t>
  </si>
  <si>
    <t>email@example.com</t>
  </si>
  <si>
    <t>nan</t>
  </si>
  <si>
    <t xml:space="preserve"> david </t>
  </si>
  <si>
    <t>Female</t>
  </si>
  <si>
    <t>Finance</t>
  </si>
  <si>
    <t>Director</t>
  </si>
  <si>
    <t>F</t>
  </si>
  <si>
    <t>user@domain.com</t>
  </si>
  <si>
    <t>123-456-7890</t>
  </si>
  <si>
    <t xml:space="preserve"> hannah </t>
  </si>
  <si>
    <t>SIXTY THOUSAND</t>
  </si>
  <si>
    <t>Sales</t>
  </si>
  <si>
    <t>C</t>
  </si>
  <si>
    <t>098-765-4321</t>
  </si>
  <si>
    <t xml:space="preserve"> eve </t>
  </si>
  <si>
    <t>IT</t>
  </si>
  <si>
    <t>A</t>
  </si>
  <si>
    <t>name@company.org</t>
  </si>
  <si>
    <t xml:space="preserve"> </t>
  </si>
  <si>
    <t xml:space="preserve"> NAN </t>
  </si>
  <si>
    <t xml:space="preserve"> jack </t>
  </si>
  <si>
    <t>Other</t>
  </si>
  <si>
    <t>Marketing</t>
  </si>
  <si>
    <t xml:space="preserve"> charlie </t>
  </si>
  <si>
    <t>Clerk</t>
  </si>
  <si>
    <t>2019.12.01</t>
  </si>
  <si>
    <t>B</t>
  </si>
  <si>
    <t>thirty</t>
  </si>
  <si>
    <t>Assistant</t>
  </si>
  <si>
    <t>Analyst</t>
  </si>
  <si>
    <t>555-555-5555</t>
  </si>
  <si>
    <t xml:space="preserve"> frank </t>
  </si>
  <si>
    <t xml:space="preserve"> bob </t>
  </si>
  <si>
    <t xml:space="preserve"> alice </t>
  </si>
  <si>
    <t xml:space="preserve"> ivy </t>
  </si>
  <si>
    <t>Nulls</t>
  </si>
  <si>
    <t>Duplicates</t>
  </si>
  <si>
    <t>Blanks</t>
  </si>
  <si>
    <t>Unique</t>
  </si>
  <si>
    <t>Columns</t>
  </si>
  <si>
    <t>Total Rows</t>
  </si>
  <si>
    <t>Min</t>
  </si>
  <si>
    <t>Max</t>
  </si>
  <si>
    <t>Non-Numeric</t>
  </si>
  <si>
    <t>Padded Text</t>
  </si>
  <si>
    <t>Empty Text</t>
  </si>
  <si>
    <t>Text Dates</t>
  </si>
  <si>
    <t>Pattern Failures</t>
  </si>
  <si>
    <t>Age_Discarded</t>
  </si>
  <si>
    <t>Age_Correction</t>
  </si>
  <si>
    <t>Salary_Discarded</t>
  </si>
  <si>
    <t>Salary_Correction</t>
  </si>
  <si>
    <t/>
  </si>
  <si>
    <t>valid age</t>
  </si>
  <si>
    <t>NAN</t>
  </si>
  <si>
    <t>v_gender</t>
  </si>
  <si>
    <t>Gender _Discarded</t>
  </si>
  <si>
    <t>Gender_Correction</t>
  </si>
  <si>
    <t>Unknown</t>
  </si>
  <si>
    <t>v_position</t>
  </si>
  <si>
    <t>Email_Discarded</t>
  </si>
  <si>
    <t>Email_Correction</t>
  </si>
  <si>
    <t>Not Provided</t>
  </si>
  <si>
    <t>v_Email</t>
  </si>
  <si>
    <t>Phone_Discarded</t>
  </si>
  <si>
    <t>Phone_Correction</t>
  </si>
  <si>
    <t>Joining_Discarded</t>
  </si>
  <si>
    <t>Joining_Correction</t>
  </si>
  <si>
    <t>Not Available</t>
  </si>
  <si>
    <t>v_Joining_Date</t>
  </si>
  <si>
    <t>cleaned_phone_number</t>
  </si>
  <si>
    <t>phone_numbers_only</t>
  </si>
  <si>
    <t>1234567890</t>
  </si>
  <si>
    <t>0987654321</t>
  </si>
  <si>
    <t>5555555555</t>
  </si>
  <si>
    <t>Joining_Month</t>
  </si>
  <si>
    <t>Joining_Day</t>
  </si>
  <si>
    <t>Thursday</t>
  </si>
  <si>
    <t>Saturday</t>
  </si>
  <si>
    <t>Monday</t>
  </si>
  <si>
    <t>Wednesday</t>
  </si>
  <si>
    <t>Feb</t>
  </si>
  <si>
    <t>HR Data Profile (Initial DQA, Before)</t>
  </si>
  <si>
    <t>HR Data Validation (Post DQA)</t>
  </si>
  <si>
    <t xml:space="preserve"> Grace </t>
  </si>
  <si>
    <t xml:space="preserve"> Eve </t>
  </si>
  <si>
    <t xml:space="preserve"> Hannah </t>
  </si>
  <si>
    <t xml:space="preserve"> Alice </t>
  </si>
  <si>
    <t xml:space="preserve"> Jack </t>
  </si>
  <si>
    <t xml:space="preserve"> Ivy </t>
  </si>
  <si>
    <t xml:space="preserve"> Charlie </t>
  </si>
  <si>
    <t xml:space="preserve"> Frank </t>
  </si>
  <si>
    <t xml:space="preserve"> David </t>
  </si>
  <si>
    <t xml:space="preserve"> Bob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</si>
</sst>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7"/>
      <color theme="1"/>
      <name val="Courier New"/>
      <family val="3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quotePrefix="1"/>
    <xf numFmtId="14" fontId="0" fillId="0" borderId="0" xfId="0" applyNumberFormat="1"/>
    <xf numFmtId="22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1F995A-2098-41F5-B927-ADCBA74A2018}" name="tbl_Raw_Snapshot" displayName="tbl_Raw_Snapshot" ref="A1:J1001" totalsRowShown="0">
  <autoFilter ref="A1:J1001" xr:uid="{BA4FB3CF-83C9-4F60-ADAF-9B19720F32C2}"/>
  <tableColumns count="10">
    <tableColumn id="1" xr3:uid="{0DF2EA1A-8424-4D1D-BB58-3741122C174E}" name="Name"/>
    <tableColumn id="2" xr3:uid="{C50C2CB5-CA18-458B-9489-151A7B471830}" name="Age"/>
    <tableColumn id="3" xr3:uid="{6353E282-7BF0-4B54-BBEA-FFCD8B240B98}" name="Salary"/>
    <tableColumn id="4" xr3:uid="{B596F916-B34E-4CCE-A60A-22382B70DF39}" name="Gender"/>
    <tableColumn id="5" xr3:uid="{65C9F3DB-2DC8-4CDC-8091-C455B5FCF5A9}" name="Department"/>
    <tableColumn id="6" xr3:uid="{49982D52-430C-404E-8137-FCB8DD21F956}" name="Position"/>
    <tableColumn id="7" xr3:uid="{56068F06-D478-4645-85A1-E9C2B0EBC47F}" name="Joining Date"/>
    <tableColumn id="8" xr3:uid="{BF09077F-DEE9-4703-8C1F-D7BB1486F8C4}" name="Performance Score"/>
    <tableColumn id="9" xr3:uid="{844AD61D-2F49-4A9E-BC44-809A58D8E211}" name="Email"/>
    <tableColumn id="10" xr3:uid="{76F7CD98-AEA6-4E22-94BC-7A557B1F3334}" name="Phone Numb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4FB3CF-83C9-4F60-ADAF-9B19720F32C2}" name="tbl_HR_Data" displayName="tbl_HR_Data" ref="A1:L1000" totalsRowShown="0">
  <autoFilter ref="A1:L1000" xr:uid="{BA4FB3CF-83C9-4F60-ADAF-9B19720F32C2}"/>
  <sortState xmlns:xlrd2="http://schemas.microsoft.com/office/spreadsheetml/2017/richdata2" ref="A2:L1000">
    <sortCondition ref="G1:G1000"/>
  </sortState>
  <tableColumns count="12">
    <tableColumn id="1" xr3:uid="{ADCA3EAF-4325-4446-9868-090A788E3E7A}" name="Name"/>
    <tableColumn id="2" xr3:uid="{91371CFB-1DBD-419F-B826-0A2FD28273CC}" name="Age"/>
    <tableColumn id="3" xr3:uid="{2951E57E-72B4-4B5C-9C2D-67726359EE89}" name="Salary"/>
    <tableColumn id="4" xr3:uid="{B55B8020-5FDC-4C60-BD4D-D1BF8A2F0479}" name="Gender"/>
    <tableColumn id="5" xr3:uid="{09B64C53-BFBB-4AB7-911D-11D4C4B7D9C1}" name="Department"/>
    <tableColumn id="6" xr3:uid="{CC050648-E305-474E-BDFA-BA2C6FA2BCCC}" name="Position"/>
    <tableColumn id="7" xr3:uid="{BC3244FF-103E-4DCC-8CE2-69270C987900}" name="Joining Date"/>
    <tableColumn id="11" xr3:uid="{66909450-D8AA-4B69-953F-12C0B59FD712}" name="Joining_Month" dataDxfId="3">
      <calculatedColumnFormula>TEXT(tbl_HR_Data[[#This Row],[Joining Date]],"mmm")</calculatedColumnFormula>
    </tableColumn>
    <tableColumn id="12" xr3:uid="{DEF9917E-7D46-4011-A56C-56143FB8D433}" name="Joining_Day" dataDxfId="2"/>
    <tableColumn id="8" xr3:uid="{91344E64-4F27-45F8-8132-AEB5B2EF7061}" name="Performance Score"/>
    <tableColumn id="9" xr3:uid="{4ECE9B22-CE7E-4990-93A2-32D501F1B32D}" name="Email"/>
    <tableColumn id="10" xr3:uid="{B6AD1B6D-E621-4773-9129-4205937E2EFC}" name="Phone Numb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2227EC6-C765-440F-9C0E-C4AD123C10ED}" name="Mapping" displayName="Mapping" ref="C13:N16" totalsRowShown="0">
  <autoFilter ref="C13:N16" xr:uid="{42227EC6-C765-440F-9C0E-C4AD123C10ED}"/>
  <tableColumns count="12">
    <tableColumn id="1" xr3:uid="{E6F0D8AE-A261-41C1-824F-7D3679A0ECE7}" name="Age_Discarded"/>
    <tableColumn id="2" xr3:uid="{B5FAC499-2340-4292-88E7-AB76832FF42F}" name="Age_Correction"/>
    <tableColumn id="3" xr3:uid="{7DE44EDE-2EF1-442E-8670-4ABE47025671}" name="Salary_Discarded"/>
    <tableColumn id="4" xr3:uid="{22412D57-D3A6-4892-8F8C-161F7E9F92F7}" name="Salary_Correction"/>
    <tableColumn id="5" xr3:uid="{7AFD9217-BD6D-4CF5-91E1-4F27FB791902}" name="Gender _Discarded"/>
    <tableColumn id="6" xr3:uid="{1DC3A585-C6BA-479E-B979-AAE85F4A73B9}" name="Gender_Correction"/>
    <tableColumn id="7" xr3:uid="{01631B9C-3348-4D32-97B4-58D81BDEA7CF}" name="Email_Discarded"/>
    <tableColumn id="8" xr3:uid="{E8CEE0FA-5C2E-45A8-B87A-78B9B957D138}" name="Email_Correction"/>
    <tableColumn id="9" xr3:uid="{1C01356B-8DA4-4C98-A2F1-FCF31DF2ADD5}" name="Phone_Discarded"/>
    <tableColumn id="10" xr3:uid="{8C424EEF-C64A-4095-B6FA-576FCA6C1011}" name="Phone_Correction"/>
    <tableColumn id="11" xr3:uid="{31DE273D-5F78-473E-A6CA-8F6006E88CB3}" name="Joining_Discarded"/>
    <tableColumn id="12" xr3:uid="{ABCCB51F-6E40-4F16-8CB7-782862646049}" name="Joining_Corre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2CD81-1667-45C7-99C9-6CC2AA1F5DBE}">
  <dimension ref="A1:J1001"/>
  <sheetViews>
    <sheetView zoomScale="69" workbookViewId="0">
      <pane ySplit="1" topLeftCell="A2" activePane="bottomLeft" state="frozen"/>
      <selection pane="bottomLeft" activeCell="E96" sqref="E96"/>
    </sheetView>
  </sheetViews>
  <sheetFormatPr defaultRowHeight="14.5" x14ac:dyDescent="0.35"/>
  <cols>
    <col min="4" max="4" width="8.90625" customWidth="1"/>
    <col min="5" max="5" width="12.81640625" customWidth="1"/>
    <col min="6" max="6" width="9.6328125" customWidth="1"/>
    <col min="7" max="7" width="16.90625" customWidth="1"/>
    <col min="8" max="8" width="18.6328125" customWidth="1"/>
    <col min="9" max="9" width="22" customWidth="1"/>
    <col min="10" max="10" width="20.542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25</v>
      </c>
      <c r="C2">
        <v>50000</v>
      </c>
      <c r="D2" t="s">
        <v>11</v>
      </c>
      <c r="E2" t="s">
        <v>12</v>
      </c>
      <c r="F2" t="s">
        <v>13</v>
      </c>
      <c r="G2">
        <v>43195</v>
      </c>
      <c r="H2" t="s">
        <v>14</v>
      </c>
      <c r="I2" t="s">
        <v>15</v>
      </c>
      <c r="J2" t="s">
        <v>16</v>
      </c>
    </row>
    <row r="3" spans="1:10" x14ac:dyDescent="0.35">
      <c r="A3" t="s">
        <v>17</v>
      </c>
      <c r="B3" t="s">
        <v>16</v>
      </c>
      <c r="C3">
        <v>65000</v>
      </c>
      <c r="D3" t="s">
        <v>18</v>
      </c>
      <c r="E3" t="s">
        <v>19</v>
      </c>
      <c r="F3" t="s">
        <v>20</v>
      </c>
      <c r="G3">
        <v>43881</v>
      </c>
      <c r="H3" t="s">
        <v>21</v>
      </c>
      <c r="I3" t="s">
        <v>22</v>
      </c>
      <c r="J3" t="s">
        <v>23</v>
      </c>
    </row>
    <row r="4" spans="1:10" x14ac:dyDescent="0.35">
      <c r="A4" t="s">
        <v>24</v>
      </c>
      <c r="B4">
        <v>35</v>
      </c>
      <c r="C4" t="s">
        <v>25</v>
      </c>
      <c r="D4" t="s">
        <v>18</v>
      </c>
      <c r="E4" t="s">
        <v>26</v>
      </c>
      <c r="F4" t="s">
        <v>20</v>
      </c>
      <c r="G4">
        <v>43845</v>
      </c>
      <c r="H4" t="s">
        <v>27</v>
      </c>
      <c r="I4" t="s">
        <v>15</v>
      </c>
      <c r="J4" t="s">
        <v>28</v>
      </c>
    </row>
    <row r="5" spans="1:10" x14ac:dyDescent="0.35">
      <c r="A5" t="s">
        <v>29</v>
      </c>
      <c r="B5" t="s">
        <v>16</v>
      </c>
      <c r="C5">
        <v>50000</v>
      </c>
      <c r="D5" t="s">
        <v>18</v>
      </c>
      <c r="E5" t="s">
        <v>30</v>
      </c>
      <c r="F5" t="s">
        <v>13</v>
      </c>
      <c r="G5">
        <v>43195</v>
      </c>
      <c r="H5" t="s">
        <v>31</v>
      </c>
      <c r="I5" t="s">
        <v>32</v>
      </c>
      <c r="J5" t="s">
        <v>33</v>
      </c>
    </row>
    <row r="6" spans="1:10" x14ac:dyDescent="0.35">
      <c r="A6" t="s">
        <v>10</v>
      </c>
      <c r="B6" t="s">
        <v>16</v>
      </c>
      <c r="C6" t="s">
        <v>34</v>
      </c>
      <c r="D6" t="s">
        <v>18</v>
      </c>
      <c r="E6" t="s">
        <v>19</v>
      </c>
      <c r="F6" t="s">
        <v>13</v>
      </c>
      <c r="G6">
        <v>43845</v>
      </c>
      <c r="H6" t="s">
        <v>21</v>
      </c>
      <c r="I6" t="s">
        <v>32</v>
      </c>
      <c r="J6" t="s">
        <v>28</v>
      </c>
    </row>
    <row r="7" spans="1:10" x14ac:dyDescent="0.35">
      <c r="A7" t="s">
        <v>35</v>
      </c>
      <c r="B7" t="s">
        <v>16</v>
      </c>
      <c r="C7">
        <v>65000</v>
      </c>
      <c r="D7" t="s">
        <v>36</v>
      </c>
      <c r="E7" t="s">
        <v>37</v>
      </c>
      <c r="F7" t="s">
        <v>20</v>
      </c>
      <c r="G7">
        <v>43549</v>
      </c>
      <c r="H7" t="s">
        <v>21</v>
      </c>
      <c r="I7" t="s">
        <v>22</v>
      </c>
      <c r="J7" t="s">
        <v>16</v>
      </c>
    </row>
    <row r="8" spans="1:10" x14ac:dyDescent="0.35">
      <c r="A8" t="s">
        <v>38</v>
      </c>
      <c r="B8" t="s">
        <v>16</v>
      </c>
      <c r="C8">
        <v>50000</v>
      </c>
      <c r="D8" t="s">
        <v>11</v>
      </c>
      <c r="E8" t="s">
        <v>37</v>
      </c>
      <c r="F8" t="s">
        <v>39</v>
      </c>
      <c r="G8" t="s">
        <v>40</v>
      </c>
      <c r="H8" t="s">
        <v>41</v>
      </c>
      <c r="J8" t="s">
        <v>23</v>
      </c>
    </row>
    <row r="9" spans="1:10" x14ac:dyDescent="0.35">
      <c r="A9" t="s">
        <v>10</v>
      </c>
      <c r="B9">
        <v>40</v>
      </c>
      <c r="C9">
        <v>50000</v>
      </c>
      <c r="D9" t="s">
        <v>36</v>
      </c>
      <c r="E9" t="s">
        <v>12</v>
      </c>
      <c r="F9" t="s">
        <v>20</v>
      </c>
      <c r="G9">
        <v>43549</v>
      </c>
      <c r="H9" t="s">
        <v>27</v>
      </c>
      <c r="J9" t="s">
        <v>33</v>
      </c>
    </row>
    <row r="10" spans="1:10" x14ac:dyDescent="0.35">
      <c r="A10" t="s">
        <v>24</v>
      </c>
      <c r="B10">
        <v>40</v>
      </c>
      <c r="C10" t="s">
        <v>25</v>
      </c>
      <c r="D10" t="s">
        <v>18</v>
      </c>
      <c r="E10" t="s">
        <v>37</v>
      </c>
      <c r="F10" t="s">
        <v>13</v>
      </c>
      <c r="G10">
        <v>43845</v>
      </c>
      <c r="H10" t="s">
        <v>27</v>
      </c>
      <c r="I10" t="s">
        <v>22</v>
      </c>
      <c r="J10" t="s">
        <v>23</v>
      </c>
    </row>
    <row r="11" spans="1:10" x14ac:dyDescent="0.35">
      <c r="A11" t="s">
        <v>29</v>
      </c>
      <c r="B11" t="s">
        <v>42</v>
      </c>
      <c r="C11" t="s">
        <v>34</v>
      </c>
      <c r="D11" t="s">
        <v>36</v>
      </c>
      <c r="E11" t="s">
        <v>19</v>
      </c>
      <c r="F11" t="s">
        <v>43</v>
      </c>
      <c r="G11">
        <v>43881</v>
      </c>
      <c r="H11" t="s">
        <v>31</v>
      </c>
      <c r="J11" t="s">
        <v>33</v>
      </c>
    </row>
    <row r="12" spans="1:10" x14ac:dyDescent="0.35">
      <c r="A12" t="s">
        <v>17</v>
      </c>
      <c r="B12">
        <v>25</v>
      </c>
      <c r="C12">
        <v>70000</v>
      </c>
      <c r="D12" t="s">
        <v>11</v>
      </c>
      <c r="E12" t="s">
        <v>37</v>
      </c>
      <c r="F12" t="s">
        <v>44</v>
      </c>
      <c r="G12" t="s">
        <v>40</v>
      </c>
      <c r="H12" t="s">
        <v>41</v>
      </c>
      <c r="I12" t="s">
        <v>16</v>
      </c>
      <c r="J12" t="s">
        <v>23</v>
      </c>
    </row>
    <row r="13" spans="1:10" x14ac:dyDescent="0.35">
      <c r="A13" t="s">
        <v>24</v>
      </c>
      <c r="B13" t="s">
        <v>16</v>
      </c>
      <c r="C13">
        <v>70000</v>
      </c>
      <c r="D13" t="s">
        <v>36</v>
      </c>
      <c r="E13" t="s">
        <v>19</v>
      </c>
      <c r="F13" t="s">
        <v>43</v>
      </c>
      <c r="G13">
        <v>43549</v>
      </c>
      <c r="H13" t="s">
        <v>31</v>
      </c>
      <c r="J13" t="s">
        <v>16</v>
      </c>
    </row>
    <row r="14" spans="1:10" x14ac:dyDescent="0.35">
      <c r="A14" t="s">
        <v>24</v>
      </c>
      <c r="B14" t="s">
        <v>42</v>
      </c>
      <c r="C14">
        <v>50000</v>
      </c>
      <c r="D14" t="s">
        <v>11</v>
      </c>
      <c r="E14" t="s">
        <v>30</v>
      </c>
      <c r="F14" t="s">
        <v>43</v>
      </c>
      <c r="G14">
        <v>43195</v>
      </c>
      <c r="H14" t="s">
        <v>14</v>
      </c>
      <c r="J14" t="s">
        <v>33</v>
      </c>
    </row>
    <row r="15" spans="1:10" x14ac:dyDescent="0.35">
      <c r="A15" t="s">
        <v>38</v>
      </c>
      <c r="B15">
        <v>25</v>
      </c>
      <c r="C15">
        <v>55000</v>
      </c>
      <c r="D15" t="s">
        <v>36</v>
      </c>
      <c r="E15" t="s">
        <v>12</v>
      </c>
      <c r="F15" t="s">
        <v>13</v>
      </c>
      <c r="G15">
        <v>43881</v>
      </c>
      <c r="H15" t="s">
        <v>21</v>
      </c>
      <c r="J15" t="s">
        <v>45</v>
      </c>
    </row>
    <row r="16" spans="1:10" x14ac:dyDescent="0.35">
      <c r="A16" t="s">
        <v>46</v>
      </c>
      <c r="B16">
        <v>50</v>
      </c>
      <c r="C16" t="s">
        <v>34</v>
      </c>
      <c r="D16" t="s">
        <v>11</v>
      </c>
      <c r="E16" t="s">
        <v>37</v>
      </c>
      <c r="F16" t="s">
        <v>20</v>
      </c>
      <c r="G16">
        <v>43549</v>
      </c>
      <c r="H16" t="s">
        <v>31</v>
      </c>
      <c r="I16" t="s">
        <v>16</v>
      </c>
      <c r="J16" t="s">
        <v>23</v>
      </c>
    </row>
    <row r="17" spans="1:10" x14ac:dyDescent="0.35">
      <c r="A17" t="s">
        <v>29</v>
      </c>
      <c r="B17">
        <v>35</v>
      </c>
      <c r="C17">
        <v>65000</v>
      </c>
      <c r="D17" t="s">
        <v>11</v>
      </c>
      <c r="E17" t="s">
        <v>19</v>
      </c>
      <c r="F17" t="s">
        <v>39</v>
      </c>
      <c r="G17">
        <v>43195</v>
      </c>
      <c r="H17" t="s">
        <v>21</v>
      </c>
      <c r="J17" t="s">
        <v>23</v>
      </c>
    </row>
    <row r="18" spans="1:10" x14ac:dyDescent="0.35">
      <c r="A18" t="s">
        <v>47</v>
      </c>
      <c r="B18">
        <v>40</v>
      </c>
      <c r="C18">
        <v>55000</v>
      </c>
      <c r="D18" t="s">
        <v>18</v>
      </c>
      <c r="E18" t="s">
        <v>26</v>
      </c>
      <c r="F18" t="s">
        <v>43</v>
      </c>
      <c r="G18">
        <v>43845</v>
      </c>
      <c r="H18" t="s">
        <v>41</v>
      </c>
      <c r="I18" t="s">
        <v>16</v>
      </c>
      <c r="J18" t="s">
        <v>28</v>
      </c>
    </row>
    <row r="19" spans="1:10" x14ac:dyDescent="0.35">
      <c r="A19" t="s">
        <v>24</v>
      </c>
      <c r="B19">
        <v>50</v>
      </c>
      <c r="C19">
        <v>55000</v>
      </c>
      <c r="D19" t="s">
        <v>11</v>
      </c>
      <c r="E19" t="s">
        <v>12</v>
      </c>
      <c r="F19" t="s">
        <v>20</v>
      </c>
      <c r="G19">
        <v>43195</v>
      </c>
      <c r="H19" t="s">
        <v>14</v>
      </c>
      <c r="I19" t="s">
        <v>22</v>
      </c>
      <c r="J19" t="s">
        <v>33</v>
      </c>
    </row>
    <row r="20" spans="1:10" x14ac:dyDescent="0.35">
      <c r="A20" t="s">
        <v>46</v>
      </c>
      <c r="B20">
        <v>25</v>
      </c>
      <c r="C20" t="s">
        <v>34</v>
      </c>
      <c r="D20" t="s">
        <v>18</v>
      </c>
      <c r="E20" t="s">
        <v>30</v>
      </c>
      <c r="F20" t="s">
        <v>39</v>
      </c>
      <c r="G20">
        <v>43549</v>
      </c>
      <c r="H20" t="s">
        <v>41</v>
      </c>
      <c r="I20" t="s">
        <v>15</v>
      </c>
      <c r="J20" t="s">
        <v>45</v>
      </c>
    </row>
    <row r="21" spans="1:10" x14ac:dyDescent="0.35">
      <c r="A21" t="s">
        <v>47</v>
      </c>
      <c r="B21">
        <v>50</v>
      </c>
      <c r="C21">
        <v>50000</v>
      </c>
      <c r="D21" t="s">
        <v>18</v>
      </c>
      <c r="E21" t="s">
        <v>19</v>
      </c>
      <c r="F21" t="s">
        <v>43</v>
      </c>
      <c r="G21">
        <v>43549</v>
      </c>
      <c r="H21" t="s">
        <v>14</v>
      </c>
      <c r="I21" t="s">
        <v>22</v>
      </c>
      <c r="J21" t="s">
        <v>16</v>
      </c>
    </row>
    <row r="22" spans="1:10" x14ac:dyDescent="0.35">
      <c r="A22" t="s">
        <v>29</v>
      </c>
      <c r="B22">
        <v>35</v>
      </c>
      <c r="C22">
        <v>50000</v>
      </c>
      <c r="D22" t="s">
        <v>18</v>
      </c>
      <c r="E22" t="s">
        <v>30</v>
      </c>
      <c r="F22" t="s">
        <v>39</v>
      </c>
      <c r="G22">
        <v>43845</v>
      </c>
      <c r="H22" t="s">
        <v>14</v>
      </c>
      <c r="I22" t="s">
        <v>15</v>
      </c>
      <c r="J22" t="s">
        <v>28</v>
      </c>
    </row>
    <row r="23" spans="1:10" x14ac:dyDescent="0.35">
      <c r="A23" t="s">
        <v>48</v>
      </c>
      <c r="B23">
        <v>25</v>
      </c>
      <c r="C23">
        <v>50000</v>
      </c>
      <c r="D23" t="s">
        <v>36</v>
      </c>
      <c r="E23" t="s">
        <v>30</v>
      </c>
      <c r="F23" t="s">
        <v>20</v>
      </c>
      <c r="G23">
        <v>43195</v>
      </c>
      <c r="H23" t="s">
        <v>21</v>
      </c>
      <c r="I23" t="s">
        <v>22</v>
      </c>
      <c r="J23" t="s">
        <v>45</v>
      </c>
    </row>
    <row r="24" spans="1:10" x14ac:dyDescent="0.35">
      <c r="A24" t="s">
        <v>35</v>
      </c>
      <c r="B24">
        <v>50</v>
      </c>
      <c r="C24">
        <v>50000</v>
      </c>
      <c r="D24" t="s">
        <v>36</v>
      </c>
      <c r="E24" t="s">
        <v>37</v>
      </c>
      <c r="F24" t="s">
        <v>44</v>
      </c>
      <c r="G24">
        <v>43195</v>
      </c>
      <c r="H24" t="s">
        <v>41</v>
      </c>
      <c r="I24" t="s">
        <v>15</v>
      </c>
      <c r="J24" t="s">
        <v>33</v>
      </c>
    </row>
    <row r="25" spans="1:10" x14ac:dyDescent="0.35">
      <c r="A25" t="s">
        <v>46</v>
      </c>
      <c r="B25">
        <v>40</v>
      </c>
      <c r="C25">
        <v>70000</v>
      </c>
      <c r="D25" t="s">
        <v>36</v>
      </c>
      <c r="E25" t="s">
        <v>37</v>
      </c>
      <c r="F25" t="s">
        <v>20</v>
      </c>
      <c r="G25">
        <v>43845</v>
      </c>
      <c r="H25" t="s">
        <v>41</v>
      </c>
      <c r="I25" t="s">
        <v>15</v>
      </c>
      <c r="J25" t="s">
        <v>45</v>
      </c>
    </row>
    <row r="26" spans="1:10" x14ac:dyDescent="0.35">
      <c r="A26" t="s">
        <v>49</v>
      </c>
      <c r="B26">
        <v>40</v>
      </c>
      <c r="C26">
        <v>50000</v>
      </c>
      <c r="D26" t="s">
        <v>36</v>
      </c>
      <c r="E26" t="s">
        <v>19</v>
      </c>
      <c r="F26" t="s">
        <v>13</v>
      </c>
      <c r="G26">
        <v>43195</v>
      </c>
      <c r="H26" t="s">
        <v>31</v>
      </c>
      <c r="I26" t="s">
        <v>32</v>
      </c>
      <c r="J26" t="s">
        <v>23</v>
      </c>
    </row>
    <row r="27" spans="1:10" x14ac:dyDescent="0.35">
      <c r="A27" t="s">
        <v>48</v>
      </c>
      <c r="B27" t="s">
        <v>42</v>
      </c>
      <c r="C27">
        <v>70000</v>
      </c>
      <c r="D27" t="s">
        <v>11</v>
      </c>
      <c r="E27" t="s">
        <v>26</v>
      </c>
      <c r="F27" t="s">
        <v>39</v>
      </c>
      <c r="G27">
        <v>43845</v>
      </c>
      <c r="H27" t="s">
        <v>41</v>
      </c>
      <c r="I27" t="s">
        <v>15</v>
      </c>
      <c r="J27" t="s">
        <v>23</v>
      </c>
    </row>
    <row r="28" spans="1:10" x14ac:dyDescent="0.35">
      <c r="A28" t="s">
        <v>35</v>
      </c>
      <c r="B28">
        <v>50</v>
      </c>
      <c r="C28">
        <v>70000</v>
      </c>
      <c r="D28" t="s">
        <v>11</v>
      </c>
      <c r="E28" t="s">
        <v>19</v>
      </c>
      <c r="F28" t="s">
        <v>44</v>
      </c>
      <c r="G28">
        <v>43881</v>
      </c>
      <c r="H28" t="s">
        <v>31</v>
      </c>
      <c r="I28" t="s">
        <v>15</v>
      </c>
      <c r="J28" t="s">
        <v>28</v>
      </c>
    </row>
    <row r="29" spans="1:10" x14ac:dyDescent="0.35">
      <c r="A29" t="s">
        <v>38</v>
      </c>
      <c r="B29" t="s">
        <v>16</v>
      </c>
      <c r="C29">
        <v>50000</v>
      </c>
      <c r="D29" t="s">
        <v>36</v>
      </c>
      <c r="E29" t="s">
        <v>26</v>
      </c>
      <c r="F29" t="s">
        <v>39</v>
      </c>
      <c r="G29">
        <v>43549</v>
      </c>
      <c r="H29" t="s">
        <v>27</v>
      </c>
      <c r="I29" t="s">
        <v>32</v>
      </c>
      <c r="J29" t="s">
        <v>33</v>
      </c>
    </row>
    <row r="30" spans="1:10" x14ac:dyDescent="0.35">
      <c r="A30" t="s">
        <v>10</v>
      </c>
      <c r="B30">
        <v>50</v>
      </c>
      <c r="C30" t="s">
        <v>25</v>
      </c>
      <c r="D30" t="s">
        <v>11</v>
      </c>
      <c r="E30" t="s">
        <v>30</v>
      </c>
      <c r="F30" t="s">
        <v>39</v>
      </c>
      <c r="G30">
        <v>43881</v>
      </c>
      <c r="H30" t="s">
        <v>27</v>
      </c>
      <c r="J30" t="s">
        <v>33</v>
      </c>
    </row>
    <row r="31" spans="1:10" x14ac:dyDescent="0.35">
      <c r="A31" t="s">
        <v>17</v>
      </c>
      <c r="B31">
        <v>25</v>
      </c>
      <c r="C31">
        <v>65000</v>
      </c>
      <c r="D31" t="s">
        <v>11</v>
      </c>
      <c r="E31" t="s">
        <v>12</v>
      </c>
      <c r="F31" t="s">
        <v>43</v>
      </c>
      <c r="G31" t="s">
        <v>40</v>
      </c>
      <c r="H31" t="s">
        <v>27</v>
      </c>
      <c r="J31" t="s">
        <v>45</v>
      </c>
    </row>
    <row r="32" spans="1:10" x14ac:dyDescent="0.35">
      <c r="A32" t="s">
        <v>49</v>
      </c>
      <c r="B32">
        <v>25</v>
      </c>
      <c r="C32">
        <v>55000</v>
      </c>
      <c r="D32" t="s">
        <v>18</v>
      </c>
      <c r="E32" t="s">
        <v>19</v>
      </c>
      <c r="F32" t="s">
        <v>13</v>
      </c>
      <c r="G32" t="s">
        <v>40</v>
      </c>
      <c r="H32" t="s">
        <v>41</v>
      </c>
      <c r="I32" t="s">
        <v>32</v>
      </c>
      <c r="J32" t="s">
        <v>28</v>
      </c>
    </row>
    <row r="33" spans="1:10" x14ac:dyDescent="0.35">
      <c r="A33" t="s">
        <v>38</v>
      </c>
      <c r="B33">
        <v>50</v>
      </c>
      <c r="C33">
        <v>70000</v>
      </c>
      <c r="D33" t="s">
        <v>18</v>
      </c>
      <c r="E33" t="s">
        <v>19</v>
      </c>
      <c r="F33" t="s">
        <v>39</v>
      </c>
      <c r="G33" t="s">
        <v>40</v>
      </c>
      <c r="H33" t="s">
        <v>41</v>
      </c>
      <c r="I33" t="s">
        <v>16</v>
      </c>
      <c r="J33" t="s">
        <v>33</v>
      </c>
    </row>
    <row r="34" spans="1:10" x14ac:dyDescent="0.35">
      <c r="A34" t="s">
        <v>29</v>
      </c>
      <c r="B34">
        <v>35</v>
      </c>
      <c r="C34" t="s">
        <v>34</v>
      </c>
      <c r="D34" t="s">
        <v>18</v>
      </c>
      <c r="E34" t="s">
        <v>26</v>
      </c>
      <c r="F34" t="s">
        <v>20</v>
      </c>
      <c r="G34">
        <v>43845</v>
      </c>
      <c r="H34" t="s">
        <v>31</v>
      </c>
      <c r="I34" t="s">
        <v>15</v>
      </c>
      <c r="J34" t="s">
        <v>23</v>
      </c>
    </row>
    <row r="35" spans="1:10" x14ac:dyDescent="0.35">
      <c r="A35" t="s">
        <v>38</v>
      </c>
      <c r="B35">
        <v>40</v>
      </c>
      <c r="C35" t="s">
        <v>34</v>
      </c>
      <c r="D35" t="s">
        <v>18</v>
      </c>
      <c r="E35" t="s">
        <v>30</v>
      </c>
      <c r="F35" t="s">
        <v>20</v>
      </c>
      <c r="G35">
        <v>43195</v>
      </c>
      <c r="H35" t="s">
        <v>14</v>
      </c>
      <c r="I35" t="s">
        <v>15</v>
      </c>
      <c r="J35" t="s">
        <v>45</v>
      </c>
    </row>
    <row r="36" spans="1:10" x14ac:dyDescent="0.35">
      <c r="A36" t="s">
        <v>10</v>
      </c>
      <c r="B36">
        <v>25</v>
      </c>
      <c r="C36">
        <v>65000</v>
      </c>
      <c r="D36" t="s">
        <v>11</v>
      </c>
      <c r="E36" t="s">
        <v>30</v>
      </c>
      <c r="F36" t="s">
        <v>43</v>
      </c>
      <c r="G36">
        <v>43881</v>
      </c>
      <c r="H36" t="s">
        <v>31</v>
      </c>
      <c r="I36" t="s">
        <v>32</v>
      </c>
      <c r="J36" t="s">
        <v>16</v>
      </c>
    </row>
    <row r="37" spans="1:10" x14ac:dyDescent="0.35">
      <c r="A37" t="s">
        <v>29</v>
      </c>
      <c r="B37">
        <v>40</v>
      </c>
      <c r="C37" t="s">
        <v>34</v>
      </c>
      <c r="D37" t="s">
        <v>36</v>
      </c>
      <c r="E37" t="s">
        <v>26</v>
      </c>
      <c r="F37" t="s">
        <v>13</v>
      </c>
      <c r="G37">
        <v>43881</v>
      </c>
      <c r="H37" t="s">
        <v>27</v>
      </c>
      <c r="I37" t="s">
        <v>32</v>
      </c>
      <c r="J37" t="s">
        <v>23</v>
      </c>
    </row>
    <row r="38" spans="1:10" x14ac:dyDescent="0.35">
      <c r="A38" t="s">
        <v>49</v>
      </c>
      <c r="B38">
        <v>25</v>
      </c>
      <c r="C38" t="s">
        <v>25</v>
      </c>
      <c r="D38" t="s">
        <v>11</v>
      </c>
      <c r="E38" t="s">
        <v>30</v>
      </c>
      <c r="F38" t="s">
        <v>13</v>
      </c>
      <c r="G38">
        <v>43881</v>
      </c>
      <c r="H38" t="s">
        <v>31</v>
      </c>
      <c r="I38" t="s">
        <v>16</v>
      </c>
      <c r="J38" t="s">
        <v>28</v>
      </c>
    </row>
    <row r="39" spans="1:10" x14ac:dyDescent="0.35">
      <c r="A39" t="s">
        <v>10</v>
      </c>
      <c r="B39" t="s">
        <v>42</v>
      </c>
      <c r="C39" t="s">
        <v>34</v>
      </c>
      <c r="D39" t="s">
        <v>11</v>
      </c>
      <c r="E39" t="s">
        <v>37</v>
      </c>
      <c r="F39" t="s">
        <v>20</v>
      </c>
      <c r="G39">
        <v>43881</v>
      </c>
      <c r="H39" t="s">
        <v>14</v>
      </c>
      <c r="J39" t="s">
        <v>33</v>
      </c>
    </row>
    <row r="40" spans="1:10" x14ac:dyDescent="0.35">
      <c r="A40" t="s">
        <v>47</v>
      </c>
      <c r="B40" t="s">
        <v>16</v>
      </c>
      <c r="C40">
        <v>55000</v>
      </c>
      <c r="D40" t="s">
        <v>11</v>
      </c>
      <c r="E40" t="s">
        <v>12</v>
      </c>
      <c r="F40" t="s">
        <v>44</v>
      </c>
      <c r="G40" t="s">
        <v>40</v>
      </c>
      <c r="H40" t="s">
        <v>41</v>
      </c>
      <c r="I40" t="s">
        <v>22</v>
      </c>
      <c r="J40" t="s">
        <v>23</v>
      </c>
    </row>
    <row r="41" spans="1:10" x14ac:dyDescent="0.35">
      <c r="A41" t="s">
        <v>17</v>
      </c>
      <c r="B41">
        <v>25</v>
      </c>
      <c r="C41">
        <v>55000</v>
      </c>
      <c r="D41" t="s">
        <v>18</v>
      </c>
      <c r="E41" t="s">
        <v>19</v>
      </c>
      <c r="F41" t="s">
        <v>43</v>
      </c>
      <c r="G41">
        <v>43881</v>
      </c>
      <c r="H41" t="s">
        <v>31</v>
      </c>
      <c r="J41" t="s">
        <v>16</v>
      </c>
    </row>
    <row r="42" spans="1:10" x14ac:dyDescent="0.35">
      <c r="A42" t="s">
        <v>49</v>
      </c>
      <c r="B42">
        <v>40</v>
      </c>
      <c r="C42">
        <v>70000</v>
      </c>
      <c r="D42" t="s">
        <v>18</v>
      </c>
      <c r="E42" t="s">
        <v>12</v>
      </c>
      <c r="F42" t="s">
        <v>43</v>
      </c>
      <c r="G42">
        <v>43195</v>
      </c>
      <c r="H42" t="s">
        <v>27</v>
      </c>
      <c r="I42" t="s">
        <v>15</v>
      </c>
      <c r="J42" t="s">
        <v>16</v>
      </c>
    </row>
    <row r="43" spans="1:10" x14ac:dyDescent="0.35">
      <c r="A43" t="s">
        <v>47</v>
      </c>
      <c r="B43" t="s">
        <v>42</v>
      </c>
      <c r="C43">
        <v>50000</v>
      </c>
      <c r="D43" t="s">
        <v>18</v>
      </c>
      <c r="E43" t="s">
        <v>19</v>
      </c>
      <c r="F43" t="s">
        <v>20</v>
      </c>
      <c r="G43" t="s">
        <v>40</v>
      </c>
      <c r="H43" t="s">
        <v>27</v>
      </c>
      <c r="I43" t="s">
        <v>32</v>
      </c>
      <c r="J43" t="s">
        <v>28</v>
      </c>
    </row>
    <row r="44" spans="1:10" x14ac:dyDescent="0.35">
      <c r="A44" t="s">
        <v>35</v>
      </c>
      <c r="B44">
        <v>25</v>
      </c>
      <c r="C44" t="s">
        <v>25</v>
      </c>
      <c r="D44" t="s">
        <v>36</v>
      </c>
      <c r="E44" t="s">
        <v>37</v>
      </c>
      <c r="F44" t="s">
        <v>20</v>
      </c>
      <c r="G44">
        <v>43881</v>
      </c>
      <c r="H44" t="s">
        <v>41</v>
      </c>
      <c r="I44" t="s">
        <v>16</v>
      </c>
      <c r="J44" t="s">
        <v>23</v>
      </c>
    </row>
    <row r="45" spans="1:10" x14ac:dyDescent="0.35">
      <c r="A45" t="s">
        <v>49</v>
      </c>
      <c r="B45">
        <v>35</v>
      </c>
      <c r="C45">
        <v>70000</v>
      </c>
      <c r="D45" t="s">
        <v>11</v>
      </c>
      <c r="E45" t="s">
        <v>30</v>
      </c>
      <c r="F45" t="s">
        <v>44</v>
      </c>
      <c r="G45">
        <v>43845</v>
      </c>
      <c r="H45" t="s">
        <v>31</v>
      </c>
      <c r="J45" t="s">
        <v>45</v>
      </c>
    </row>
    <row r="46" spans="1:10" x14ac:dyDescent="0.35">
      <c r="A46" t="s">
        <v>35</v>
      </c>
      <c r="B46" t="s">
        <v>16</v>
      </c>
      <c r="C46" t="s">
        <v>25</v>
      </c>
      <c r="D46" t="s">
        <v>36</v>
      </c>
      <c r="E46" t="s">
        <v>26</v>
      </c>
      <c r="F46" t="s">
        <v>44</v>
      </c>
      <c r="G46">
        <v>43549</v>
      </c>
      <c r="H46" t="s">
        <v>14</v>
      </c>
      <c r="I46" t="s">
        <v>16</v>
      </c>
      <c r="J46" t="s">
        <v>23</v>
      </c>
    </row>
    <row r="47" spans="1:10" x14ac:dyDescent="0.35">
      <c r="A47" t="s">
        <v>29</v>
      </c>
      <c r="B47">
        <v>25</v>
      </c>
      <c r="C47">
        <v>50000</v>
      </c>
      <c r="D47" t="s">
        <v>18</v>
      </c>
      <c r="E47" t="s">
        <v>37</v>
      </c>
      <c r="F47" t="s">
        <v>13</v>
      </c>
      <c r="G47">
        <v>43549</v>
      </c>
      <c r="H47" t="s">
        <v>41</v>
      </c>
      <c r="J47" t="s">
        <v>16</v>
      </c>
    </row>
    <row r="48" spans="1:10" x14ac:dyDescent="0.35">
      <c r="A48" t="s">
        <v>47</v>
      </c>
      <c r="B48" t="s">
        <v>42</v>
      </c>
      <c r="C48" t="s">
        <v>34</v>
      </c>
      <c r="D48" t="s">
        <v>36</v>
      </c>
      <c r="E48" t="s">
        <v>12</v>
      </c>
      <c r="F48" t="s">
        <v>43</v>
      </c>
      <c r="G48">
        <v>43549</v>
      </c>
      <c r="H48" t="s">
        <v>31</v>
      </c>
      <c r="I48" t="s">
        <v>15</v>
      </c>
      <c r="J48" t="s">
        <v>28</v>
      </c>
    </row>
    <row r="49" spans="1:10" x14ac:dyDescent="0.35">
      <c r="A49" t="s">
        <v>17</v>
      </c>
      <c r="B49">
        <v>35</v>
      </c>
      <c r="C49" t="s">
        <v>34</v>
      </c>
      <c r="D49" t="s">
        <v>11</v>
      </c>
      <c r="E49" t="s">
        <v>26</v>
      </c>
      <c r="F49" t="s">
        <v>43</v>
      </c>
      <c r="G49" t="s">
        <v>40</v>
      </c>
      <c r="H49" t="s">
        <v>21</v>
      </c>
      <c r="I49" t="s">
        <v>22</v>
      </c>
      <c r="J49" t="s">
        <v>28</v>
      </c>
    </row>
    <row r="50" spans="1:10" x14ac:dyDescent="0.35">
      <c r="A50" t="s">
        <v>10</v>
      </c>
      <c r="B50">
        <v>50</v>
      </c>
      <c r="C50">
        <v>50000</v>
      </c>
      <c r="D50" t="s">
        <v>11</v>
      </c>
      <c r="E50" t="s">
        <v>30</v>
      </c>
      <c r="F50" t="s">
        <v>20</v>
      </c>
      <c r="G50">
        <v>43881</v>
      </c>
      <c r="H50" t="s">
        <v>27</v>
      </c>
      <c r="I50" t="s">
        <v>16</v>
      </c>
      <c r="J50" t="s">
        <v>45</v>
      </c>
    </row>
    <row r="51" spans="1:10" x14ac:dyDescent="0.35">
      <c r="A51" t="s">
        <v>24</v>
      </c>
      <c r="B51" t="s">
        <v>42</v>
      </c>
      <c r="C51">
        <v>70000</v>
      </c>
      <c r="D51" t="s">
        <v>18</v>
      </c>
      <c r="E51" t="s">
        <v>37</v>
      </c>
      <c r="F51" t="s">
        <v>13</v>
      </c>
      <c r="G51" t="s">
        <v>40</v>
      </c>
      <c r="H51" t="s">
        <v>14</v>
      </c>
      <c r="I51" t="s">
        <v>16</v>
      </c>
      <c r="J51" t="s">
        <v>28</v>
      </c>
    </row>
    <row r="52" spans="1:10" x14ac:dyDescent="0.35">
      <c r="A52" t="s">
        <v>38</v>
      </c>
      <c r="B52" t="s">
        <v>42</v>
      </c>
      <c r="C52">
        <v>50000</v>
      </c>
      <c r="D52" t="s">
        <v>18</v>
      </c>
      <c r="E52" t="s">
        <v>26</v>
      </c>
      <c r="F52" t="s">
        <v>43</v>
      </c>
      <c r="G52">
        <v>43195</v>
      </c>
      <c r="H52" t="s">
        <v>14</v>
      </c>
      <c r="I52" t="s">
        <v>22</v>
      </c>
      <c r="J52" t="s">
        <v>28</v>
      </c>
    </row>
    <row r="53" spans="1:10" x14ac:dyDescent="0.35">
      <c r="A53" t="s">
        <v>48</v>
      </c>
      <c r="B53">
        <v>35</v>
      </c>
      <c r="C53">
        <v>65000</v>
      </c>
      <c r="D53" t="s">
        <v>36</v>
      </c>
      <c r="E53" t="s">
        <v>37</v>
      </c>
      <c r="F53" t="s">
        <v>13</v>
      </c>
      <c r="G53">
        <v>43845</v>
      </c>
      <c r="H53" t="s">
        <v>14</v>
      </c>
      <c r="I53" t="s">
        <v>16</v>
      </c>
      <c r="J53" t="s">
        <v>28</v>
      </c>
    </row>
    <row r="54" spans="1:10" x14ac:dyDescent="0.35">
      <c r="A54" t="s">
        <v>17</v>
      </c>
      <c r="B54" t="s">
        <v>42</v>
      </c>
      <c r="C54">
        <v>55000</v>
      </c>
      <c r="D54" t="s">
        <v>18</v>
      </c>
      <c r="E54" t="s">
        <v>37</v>
      </c>
      <c r="F54" t="s">
        <v>13</v>
      </c>
      <c r="G54">
        <v>43845</v>
      </c>
      <c r="H54" t="s">
        <v>27</v>
      </c>
      <c r="I54" t="s">
        <v>16</v>
      </c>
      <c r="J54" t="s">
        <v>28</v>
      </c>
    </row>
    <row r="55" spans="1:10" x14ac:dyDescent="0.35">
      <c r="A55" t="s">
        <v>47</v>
      </c>
      <c r="B55">
        <v>35</v>
      </c>
      <c r="C55">
        <v>70000</v>
      </c>
      <c r="D55" t="s">
        <v>18</v>
      </c>
      <c r="E55" t="s">
        <v>30</v>
      </c>
      <c r="F55" t="s">
        <v>20</v>
      </c>
      <c r="G55">
        <v>43549</v>
      </c>
      <c r="H55" t="s">
        <v>31</v>
      </c>
      <c r="J55" t="s">
        <v>28</v>
      </c>
    </row>
    <row r="56" spans="1:10" x14ac:dyDescent="0.35">
      <c r="A56" t="s">
        <v>24</v>
      </c>
      <c r="B56">
        <v>25</v>
      </c>
      <c r="C56" t="s">
        <v>25</v>
      </c>
      <c r="D56" t="s">
        <v>11</v>
      </c>
      <c r="E56" t="s">
        <v>19</v>
      </c>
      <c r="F56" t="s">
        <v>13</v>
      </c>
      <c r="G56">
        <v>43549</v>
      </c>
      <c r="H56" t="s">
        <v>41</v>
      </c>
      <c r="J56" t="s">
        <v>16</v>
      </c>
    </row>
    <row r="57" spans="1:10" x14ac:dyDescent="0.35">
      <c r="A57" t="s">
        <v>17</v>
      </c>
      <c r="B57">
        <v>35</v>
      </c>
      <c r="C57">
        <v>65000</v>
      </c>
      <c r="D57" t="s">
        <v>18</v>
      </c>
      <c r="E57" t="s">
        <v>26</v>
      </c>
      <c r="F57" t="s">
        <v>44</v>
      </c>
      <c r="G57">
        <v>43549</v>
      </c>
      <c r="H57" t="s">
        <v>31</v>
      </c>
      <c r="I57" t="s">
        <v>22</v>
      </c>
      <c r="J57" t="s">
        <v>23</v>
      </c>
    </row>
    <row r="58" spans="1:10" x14ac:dyDescent="0.35">
      <c r="A58" t="s">
        <v>47</v>
      </c>
      <c r="B58">
        <v>35</v>
      </c>
      <c r="C58">
        <v>70000</v>
      </c>
      <c r="D58" t="s">
        <v>18</v>
      </c>
      <c r="E58" t="s">
        <v>30</v>
      </c>
      <c r="F58" t="s">
        <v>44</v>
      </c>
      <c r="G58">
        <v>43881</v>
      </c>
      <c r="H58" t="s">
        <v>41</v>
      </c>
      <c r="I58" t="s">
        <v>15</v>
      </c>
      <c r="J58" t="s">
        <v>33</v>
      </c>
    </row>
    <row r="59" spans="1:10" x14ac:dyDescent="0.35">
      <c r="A59" t="s">
        <v>46</v>
      </c>
      <c r="B59" t="s">
        <v>16</v>
      </c>
      <c r="C59">
        <v>50000</v>
      </c>
      <c r="D59" t="s">
        <v>11</v>
      </c>
      <c r="E59" t="s">
        <v>37</v>
      </c>
      <c r="F59" t="s">
        <v>39</v>
      </c>
      <c r="G59">
        <v>43195</v>
      </c>
      <c r="H59" t="s">
        <v>14</v>
      </c>
      <c r="I59" t="s">
        <v>16</v>
      </c>
      <c r="J59" t="s">
        <v>28</v>
      </c>
    </row>
    <row r="60" spans="1:10" x14ac:dyDescent="0.35">
      <c r="A60" t="s">
        <v>46</v>
      </c>
      <c r="B60">
        <v>35</v>
      </c>
      <c r="C60">
        <v>50000</v>
      </c>
      <c r="D60" t="s">
        <v>11</v>
      </c>
      <c r="E60" t="s">
        <v>30</v>
      </c>
      <c r="F60" t="s">
        <v>20</v>
      </c>
      <c r="G60">
        <v>43195</v>
      </c>
      <c r="H60" t="s">
        <v>31</v>
      </c>
      <c r="I60" t="s">
        <v>15</v>
      </c>
      <c r="J60" t="s">
        <v>33</v>
      </c>
    </row>
    <row r="61" spans="1:10" x14ac:dyDescent="0.35">
      <c r="A61" t="s">
        <v>35</v>
      </c>
      <c r="B61">
        <v>35</v>
      </c>
      <c r="C61">
        <v>50000</v>
      </c>
      <c r="D61" t="s">
        <v>36</v>
      </c>
      <c r="E61" t="s">
        <v>19</v>
      </c>
      <c r="F61" t="s">
        <v>39</v>
      </c>
      <c r="G61">
        <v>43195</v>
      </c>
      <c r="H61" t="s">
        <v>14</v>
      </c>
      <c r="I61" t="s">
        <v>22</v>
      </c>
      <c r="J61" t="s">
        <v>33</v>
      </c>
    </row>
    <row r="62" spans="1:10" x14ac:dyDescent="0.35">
      <c r="A62" t="s">
        <v>17</v>
      </c>
      <c r="B62">
        <v>50</v>
      </c>
      <c r="C62">
        <v>50000</v>
      </c>
      <c r="D62" t="s">
        <v>18</v>
      </c>
      <c r="E62" t="s">
        <v>26</v>
      </c>
      <c r="F62" t="s">
        <v>44</v>
      </c>
      <c r="G62">
        <v>43195</v>
      </c>
      <c r="H62" t="s">
        <v>21</v>
      </c>
      <c r="I62" t="s">
        <v>22</v>
      </c>
      <c r="J62" t="s">
        <v>16</v>
      </c>
    </row>
    <row r="63" spans="1:10" x14ac:dyDescent="0.35">
      <c r="A63" t="s">
        <v>46</v>
      </c>
      <c r="B63">
        <v>25</v>
      </c>
      <c r="C63" t="s">
        <v>25</v>
      </c>
      <c r="D63" t="s">
        <v>11</v>
      </c>
      <c r="E63" t="s">
        <v>19</v>
      </c>
      <c r="F63" t="s">
        <v>39</v>
      </c>
      <c r="G63">
        <v>43549</v>
      </c>
      <c r="H63" t="s">
        <v>14</v>
      </c>
      <c r="J63" t="s">
        <v>28</v>
      </c>
    </row>
    <row r="64" spans="1:10" x14ac:dyDescent="0.35">
      <c r="A64" t="s">
        <v>47</v>
      </c>
      <c r="B64" t="s">
        <v>16</v>
      </c>
      <c r="C64">
        <v>65000</v>
      </c>
      <c r="D64" t="s">
        <v>36</v>
      </c>
      <c r="E64" t="s">
        <v>12</v>
      </c>
      <c r="F64" t="s">
        <v>20</v>
      </c>
      <c r="G64">
        <v>43845</v>
      </c>
      <c r="H64" t="s">
        <v>14</v>
      </c>
      <c r="I64" t="s">
        <v>16</v>
      </c>
      <c r="J64" t="s">
        <v>33</v>
      </c>
    </row>
    <row r="65" spans="1:10" x14ac:dyDescent="0.35">
      <c r="A65" t="s">
        <v>35</v>
      </c>
      <c r="B65">
        <v>50</v>
      </c>
      <c r="C65" t="s">
        <v>34</v>
      </c>
      <c r="D65" t="s">
        <v>36</v>
      </c>
      <c r="E65" t="s">
        <v>26</v>
      </c>
      <c r="F65" t="s">
        <v>20</v>
      </c>
      <c r="G65">
        <v>43549</v>
      </c>
      <c r="H65" t="s">
        <v>41</v>
      </c>
      <c r="I65" t="s">
        <v>32</v>
      </c>
      <c r="J65" t="s">
        <v>28</v>
      </c>
    </row>
    <row r="66" spans="1:10" x14ac:dyDescent="0.35">
      <c r="A66" t="s">
        <v>47</v>
      </c>
      <c r="B66">
        <v>40</v>
      </c>
      <c r="C66">
        <v>55000</v>
      </c>
      <c r="D66" t="s">
        <v>18</v>
      </c>
      <c r="E66" t="s">
        <v>19</v>
      </c>
      <c r="F66" t="s">
        <v>13</v>
      </c>
      <c r="G66">
        <v>43195</v>
      </c>
      <c r="H66" t="s">
        <v>21</v>
      </c>
      <c r="I66" t="s">
        <v>22</v>
      </c>
      <c r="J66" t="s">
        <v>45</v>
      </c>
    </row>
    <row r="67" spans="1:10" x14ac:dyDescent="0.35">
      <c r="A67" t="s">
        <v>35</v>
      </c>
      <c r="B67">
        <v>25</v>
      </c>
      <c r="C67" t="s">
        <v>25</v>
      </c>
      <c r="D67" t="s">
        <v>18</v>
      </c>
      <c r="E67" t="s">
        <v>37</v>
      </c>
      <c r="F67" t="s">
        <v>43</v>
      </c>
      <c r="G67">
        <v>43549</v>
      </c>
      <c r="H67" t="s">
        <v>14</v>
      </c>
      <c r="I67" t="s">
        <v>16</v>
      </c>
      <c r="J67" t="s">
        <v>45</v>
      </c>
    </row>
    <row r="68" spans="1:10" x14ac:dyDescent="0.35">
      <c r="A68" t="s">
        <v>17</v>
      </c>
      <c r="B68">
        <v>25</v>
      </c>
      <c r="C68" t="s">
        <v>25</v>
      </c>
      <c r="D68" t="s">
        <v>36</v>
      </c>
      <c r="E68" t="s">
        <v>26</v>
      </c>
      <c r="F68" t="s">
        <v>13</v>
      </c>
      <c r="G68">
        <v>43195</v>
      </c>
      <c r="H68" t="s">
        <v>14</v>
      </c>
      <c r="I68" t="s">
        <v>15</v>
      </c>
      <c r="J68" t="s">
        <v>45</v>
      </c>
    </row>
    <row r="69" spans="1:10" x14ac:dyDescent="0.35">
      <c r="A69" t="s">
        <v>24</v>
      </c>
      <c r="B69">
        <v>40</v>
      </c>
      <c r="C69" t="s">
        <v>34</v>
      </c>
      <c r="D69" t="s">
        <v>11</v>
      </c>
      <c r="E69" t="s">
        <v>26</v>
      </c>
      <c r="F69" t="s">
        <v>20</v>
      </c>
      <c r="G69" t="s">
        <v>40</v>
      </c>
      <c r="H69" t="s">
        <v>21</v>
      </c>
      <c r="J69" t="s">
        <v>33</v>
      </c>
    </row>
    <row r="70" spans="1:10" x14ac:dyDescent="0.35">
      <c r="A70" t="s">
        <v>10</v>
      </c>
      <c r="B70">
        <v>35</v>
      </c>
      <c r="C70" t="s">
        <v>34</v>
      </c>
      <c r="D70" t="s">
        <v>36</v>
      </c>
      <c r="E70" t="s">
        <v>30</v>
      </c>
      <c r="F70" t="s">
        <v>44</v>
      </c>
      <c r="G70">
        <v>43845</v>
      </c>
      <c r="H70" t="s">
        <v>21</v>
      </c>
      <c r="I70" t="s">
        <v>15</v>
      </c>
      <c r="J70" t="s">
        <v>45</v>
      </c>
    </row>
    <row r="71" spans="1:10" x14ac:dyDescent="0.35">
      <c r="A71" t="s">
        <v>49</v>
      </c>
      <c r="B71">
        <v>50</v>
      </c>
      <c r="C71">
        <v>55000</v>
      </c>
      <c r="D71" t="s">
        <v>18</v>
      </c>
      <c r="E71" t="s">
        <v>37</v>
      </c>
      <c r="F71" t="s">
        <v>44</v>
      </c>
      <c r="G71" t="s">
        <v>40</v>
      </c>
      <c r="H71" t="s">
        <v>31</v>
      </c>
      <c r="I71" t="s">
        <v>22</v>
      </c>
      <c r="J71" t="s">
        <v>16</v>
      </c>
    </row>
    <row r="72" spans="1:10" x14ac:dyDescent="0.35">
      <c r="A72" t="s">
        <v>24</v>
      </c>
      <c r="B72" t="s">
        <v>42</v>
      </c>
      <c r="C72">
        <v>55000</v>
      </c>
      <c r="D72" t="s">
        <v>11</v>
      </c>
      <c r="E72" t="s">
        <v>12</v>
      </c>
      <c r="F72" t="s">
        <v>13</v>
      </c>
      <c r="G72">
        <v>43881</v>
      </c>
      <c r="H72" t="s">
        <v>41</v>
      </c>
      <c r="I72" t="s">
        <v>22</v>
      </c>
      <c r="J72" t="s">
        <v>16</v>
      </c>
    </row>
    <row r="73" spans="1:10" x14ac:dyDescent="0.35">
      <c r="A73" t="s">
        <v>29</v>
      </c>
      <c r="B73" t="s">
        <v>16</v>
      </c>
      <c r="C73" t="s">
        <v>34</v>
      </c>
      <c r="D73" t="s">
        <v>11</v>
      </c>
      <c r="E73" t="s">
        <v>19</v>
      </c>
      <c r="F73" t="s">
        <v>20</v>
      </c>
      <c r="G73">
        <v>43549</v>
      </c>
      <c r="H73" t="s">
        <v>21</v>
      </c>
      <c r="I73" t="s">
        <v>15</v>
      </c>
      <c r="J73" t="s">
        <v>33</v>
      </c>
    </row>
    <row r="74" spans="1:10" x14ac:dyDescent="0.35">
      <c r="A74" t="s">
        <v>47</v>
      </c>
      <c r="B74" t="s">
        <v>42</v>
      </c>
      <c r="C74">
        <v>50000</v>
      </c>
      <c r="D74" t="s">
        <v>36</v>
      </c>
      <c r="E74" t="s">
        <v>30</v>
      </c>
      <c r="F74" t="s">
        <v>44</v>
      </c>
      <c r="G74">
        <v>43881</v>
      </c>
      <c r="H74" t="s">
        <v>21</v>
      </c>
      <c r="I74" t="s">
        <v>22</v>
      </c>
      <c r="J74" t="s">
        <v>28</v>
      </c>
    </row>
    <row r="75" spans="1:10" x14ac:dyDescent="0.35">
      <c r="A75" t="s">
        <v>29</v>
      </c>
      <c r="B75">
        <v>40</v>
      </c>
      <c r="C75" t="s">
        <v>25</v>
      </c>
      <c r="D75" t="s">
        <v>18</v>
      </c>
      <c r="E75" t="s">
        <v>19</v>
      </c>
      <c r="F75" t="s">
        <v>20</v>
      </c>
      <c r="G75">
        <v>43549</v>
      </c>
      <c r="H75" t="s">
        <v>27</v>
      </c>
      <c r="I75" t="s">
        <v>16</v>
      </c>
      <c r="J75" t="s">
        <v>23</v>
      </c>
    </row>
    <row r="76" spans="1:10" x14ac:dyDescent="0.35">
      <c r="A76" t="s">
        <v>24</v>
      </c>
      <c r="B76">
        <v>25</v>
      </c>
      <c r="C76">
        <v>70000</v>
      </c>
      <c r="D76" t="s">
        <v>36</v>
      </c>
      <c r="E76" t="s">
        <v>12</v>
      </c>
      <c r="F76" t="s">
        <v>44</v>
      </c>
      <c r="G76" t="s">
        <v>40</v>
      </c>
      <c r="H76" t="s">
        <v>21</v>
      </c>
      <c r="I76" t="s">
        <v>22</v>
      </c>
      <c r="J76" t="s">
        <v>28</v>
      </c>
    </row>
    <row r="77" spans="1:10" x14ac:dyDescent="0.35">
      <c r="A77" t="s">
        <v>35</v>
      </c>
      <c r="B77">
        <v>25</v>
      </c>
      <c r="C77">
        <v>55000</v>
      </c>
      <c r="D77" t="s">
        <v>36</v>
      </c>
      <c r="E77" t="s">
        <v>12</v>
      </c>
      <c r="F77" t="s">
        <v>20</v>
      </c>
      <c r="G77">
        <v>43195</v>
      </c>
      <c r="H77" t="s">
        <v>41</v>
      </c>
      <c r="J77" t="s">
        <v>28</v>
      </c>
    </row>
    <row r="78" spans="1:10" x14ac:dyDescent="0.35">
      <c r="A78" t="s">
        <v>49</v>
      </c>
      <c r="B78" t="s">
        <v>16</v>
      </c>
      <c r="C78">
        <v>55000</v>
      </c>
      <c r="D78" t="s">
        <v>36</v>
      </c>
      <c r="E78" t="s">
        <v>26</v>
      </c>
      <c r="F78" t="s">
        <v>39</v>
      </c>
      <c r="G78">
        <v>43195</v>
      </c>
      <c r="H78" t="s">
        <v>14</v>
      </c>
      <c r="I78" t="s">
        <v>16</v>
      </c>
      <c r="J78" t="s">
        <v>28</v>
      </c>
    </row>
    <row r="79" spans="1:10" x14ac:dyDescent="0.35">
      <c r="A79" t="s">
        <v>49</v>
      </c>
      <c r="B79">
        <v>25</v>
      </c>
      <c r="C79" t="s">
        <v>34</v>
      </c>
      <c r="D79" t="s">
        <v>11</v>
      </c>
      <c r="E79" t="s">
        <v>12</v>
      </c>
      <c r="F79" t="s">
        <v>20</v>
      </c>
      <c r="G79">
        <v>43549</v>
      </c>
      <c r="H79" t="s">
        <v>14</v>
      </c>
      <c r="I79" t="s">
        <v>32</v>
      </c>
      <c r="J79" t="s">
        <v>28</v>
      </c>
    </row>
    <row r="80" spans="1:10" x14ac:dyDescent="0.35">
      <c r="A80" t="s">
        <v>48</v>
      </c>
      <c r="B80">
        <v>25</v>
      </c>
      <c r="C80">
        <v>65000</v>
      </c>
      <c r="D80" t="s">
        <v>11</v>
      </c>
      <c r="E80" t="s">
        <v>19</v>
      </c>
      <c r="F80" t="s">
        <v>20</v>
      </c>
      <c r="G80">
        <v>43195</v>
      </c>
      <c r="H80" t="s">
        <v>14</v>
      </c>
      <c r="I80" t="s">
        <v>22</v>
      </c>
      <c r="J80" t="s">
        <v>23</v>
      </c>
    </row>
    <row r="81" spans="1:10" x14ac:dyDescent="0.35">
      <c r="A81" t="s">
        <v>49</v>
      </c>
      <c r="B81" t="s">
        <v>16</v>
      </c>
      <c r="C81">
        <v>70000</v>
      </c>
      <c r="D81" t="s">
        <v>18</v>
      </c>
      <c r="E81" t="s">
        <v>37</v>
      </c>
      <c r="F81" t="s">
        <v>13</v>
      </c>
      <c r="G81" t="s">
        <v>40</v>
      </c>
      <c r="H81" t="s">
        <v>14</v>
      </c>
      <c r="I81" t="s">
        <v>22</v>
      </c>
      <c r="J81" t="s">
        <v>45</v>
      </c>
    </row>
    <row r="82" spans="1:10" x14ac:dyDescent="0.35">
      <c r="A82" t="s">
        <v>10</v>
      </c>
      <c r="B82">
        <v>50</v>
      </c>
      <c r="C82">
        <v>70000</v>
      </c>
      <c r="D82" t="s">
        <v>18</v>
      </c>
      <c r="E82" t="s">
        <v>37</v>
      </c>
      <c r="F82" t="s">
        <v>39</v>
      </c>
      <c r="G82">
        <v>43195</v>
      </c>
      <c r="H82" t="s">
        <v>27</v>
      </c>
      <c r="J82" t="s">
        <v>28</v>
      </c>
    </row>
    <row r="83" spans="1:10" x14ac:dyDescent="0.35">
      <c r="A83" t="s">
        <v>49</v>
      </c>
      <c r="B83">
        <v>50</v>
      </c>
      <c r="C83">
        <v>55000</v>
      </c>
      <c r="D83" t="s">
        <v>36</v>
      </c>
      <c r="E83" t="s">
        <v>26</v>
      </c>
      <c r="F83" t="s">
        <v>43</v>
      </c>
      <c r="G83" t="s">
        <v>40</v>
      </c>
      <c r="H83" t="s">
        <v>21</v>
      </c>
      <c r="J83" t="s">
        <v>16</v>
      </c>
    </row>
    <row r="84" spans="1:10" x14ac:dyDescent="0.35">
      <c r="A84" t="s">
        <v>24</v>
      </c>
      <c r="B84" t="s">
        <v>16</v>
      </c>
      <c r="C84">
        <v>50000</v>
      </c>
      <c r="D84" t="s">
        <v>36</v>
      </c>
      <c r="E84" t="s">
        <v>19</v>
      </c>
      <c r="F84" t="s">
        <v>13</v>
      </c>
      <c r="G84">
        <v>43881</v>
      </c>
      <c r="H84" t="s">
        <v>14</v>
      </c>
      <c r="I84" t="s">
        <v>15</v>
      </c>
      <c r="J84" t="s">
        <v>33</v>
      </c>
    </row>
    <row r="85" spans="1:10" x14ac:dyDescent="0.35">
      <c r="A85" t="s">
        <v>48</v>
      </c>
      <c r="B85">
        <v>40</v>
      </c>
      <c r="C85">
        <v>65000</v>
      </c>
      <c r="D85" t="s">
        <v>36</v>
      </c>
      <c r="E85" t="s">
        <v>19</v>
      </c>
      <c r="F85" t="s">
        <v>43</v>
      </c>
      <c r="G85" t="s">
        <v>40</v>
      </c>
      <c r="H85" t="s">
        <v>31</v>
      </c>
      <c r="I85" t="s">
        <v>15</v>
      </c>
      <c r="J85" t="s">
        <v>33</v>
      </c>
    </row>
    <row r="86" spans="1:10" x14ac:dyDescent="0.35">
      <c r="A86" t="s">
        <v>24</v>
      </c>
      <c r="B86">
        <v>25</v>
      </c>
      <c r="C86">
        <v>70000</v>
      </c>
      <c r="D86" t="s">
        <v>18</v>
      </c>
      <c r="E86" t="s">
        <v>12</v>
      </c>
      <c r="F86" t="s">
        <v>44</v>
      </c>
      <c r="G86">
        <v>43845</v>
      </c>
      <c r="H86" t="s">
        <v>14</v>
      </c>
      <c r="I86" t="s">
        <v>15</v>
      </c>
      <c r="J86" t="s">
        <v>16</v>
      </c>
    </row>
    <row r="87" spans="1:10" x14ac:dyDescent="0.35">
      <c r="A87" t="s">
        <v>24</v>
      </c>
      <c r="B87">
        <v>25</v>
      </c>
      <c r="C87">
        <v>55000</v>
      </c>
      <c r="D87" t="s">
        <v>11</v>
      </c>
      <c r="E87" t="s">
        <v>19</v>
      </c>
      <c r="F87" t="s">
        <v>43</v>
      </c>
      <c r="G87">
        <v>43845</v>
      </c>
      <c r="H87" t="s">
        <v>21</v>
      </c>
      <c r="J87" t="s">
        <v>28</v>
      </c>
    </row>
    <row r="88" spans="1:10" x14ac:dyDescent="0.35">
      <c r="A88" t="s">
        <v>38</v>
      </c>
      <c r="B88">
        <v>40</v>
      </c>
      <c r="C88">
        <v>70000</v>
      </c>
      <c r="D88" t="s">
        <v>11</v>
      </c>
      <c r="E88" t="s">
        <v>30</v>
      </c>
      <c r="F88" t="s">
        <v>20</v>
      </c>
      <c r="G88">
        <v>43845</v>
      </c>
      <c r="H88" t="s">
        <v>14</v>
      </c>
      <c r="I88" t="s">
        <v>15</v>
      </c>
      <c r="J88" t="s">
        <v>23</v>
      </c>
    </row>
    <row r="89" spans="1:10" x14ac:dyDescent="0.35">
      <c r="A89" t="s">
        <v>48</v>
      </c>
      <c r="B89">
        <v>50</v>
      </c>
      <c r="C89">
        <v>65000</v>
      </c>
      <c r="D89" t="s">
        <v>36</v>
      </c>
      <c r="E89" t="s">
        <v>12</v>
      </c>
      <c r="F89" t="s">
        <v>43</v>
      </c>
      <c r="G89">
        <v>43549</v>
      </c>
      <c r="H89" t="s">
        <v>27</v>
      </c>
      <c r="I89" t="s">
        <v>15</v>
      </c>
      <c r="J89" t="s">
        <v>45</v>
      </c>
    </row>
    <row r="90" spans="1:10" x14ac:dyDescent="0.35">
      <c r="A90" t="s">
        <v>24</v>
      </c>
      <c r="B90">
        <v>35</v>
      </c>
      <c r="C90">
        <v>65000</v>
      </c>
      <c r="D90" t="s">
        <v>36</v>
      </c>
      <c r="E90" t="s">
        <v>30</v>
      </c>
      <c r="F90" t="s">
        <v>13</v>
      </c>
      <c r="G90">
        <v>43549</v>
      </c>
      <c r="H90" t="s">
        <v>41</v>
      </c>
      <c r="I90" t="s">
        <v>32</v>
      </c>
      <c r="J90" t="s">
        <v>33</v>
      </c>
    </row>
    <row r="91" spans="1:10" x14ac:dyDescent="0.35">
      <c r="A91" t="s">
        <v>38</v>
      </c>
      <c r="B91">
        <v>35</v>
      </c>
      <c r="C91" t="s">
        <v>25</v>
      </c>
      <c r="D91" t="s">
        <v>36</v>
      </c>
      <c r="E91" t="s">
        <v>26</v>
      </c>
      <c r="F91" t="s">
        <v>13</v>
      </c>
      <c r="G91">
        <v>43549</v>
      </c>
      <c r="H91" t="s">
        <v>41</v>
      </c>
      <c r="I91" t="s">
        <v>15</v>
      </c>
      <c r="J91" t="s">
        <v>45</v>
      </c>
    </row>
    <row r="92" spans="1:10" x14ac:dyDescent="0.35">
      <c r="A92" t="s">
        <v>38</v>
      </c>
      <c r="B92">
        <v>35</v>
      </c>
      <c r="C92" t="s">
        <v>34</v>
      </c>
      <c r="D92" t="s">
        <v>36</v>
      </c>
      <c r="E92" t="s">
        <v>37</v>
      </c>
      <c r="F92" t="s">
        <v>43</v>
      </c>
      <c r="G92" t="s">
        <v>40</v>
      </c>
      <c r="H92" t="s">
        <v>21</v>
      </c>
      <c r="I92" t="s">
        <v>22</v>
      </c>
      <c r="J92" t="s">
        <v>23</v>
      </c>
    </row>
    <row r="93" spans="1:10" x14ac:dyDescent="0.35">
      <c r="A93" t="s">
        <v>48</v>
      </c>
      <c r="B93">
        <v>50</v>
      </c>
      <c r="C93" t="s">
        <v>34</v>
      </c>
      <c r="D93" t="s">
        <v>18</v>
      </c>
      <c r="E93" t="s">
        <v>26</v>
      </c>
      <c r="F93" t="s">
        <v>13</v>
      </c>
      <c r="G93">
        <v>43549</v>
      </c>
      <c r="H93" t="s">
        <v>41</v>
      </c>
      <c r="J93" t="s">
        <v>33</v>
      </c>
    </row>
    <row r="94" spans="1:10" x14ac:dyDescent="0.35">
      <c r="A94" t="s">
        <v>29</v>
      </c>
      <c r="B94">
        <v>50</v>
      </c>
      <c r="C94">
        <v>55000</v>
      </c>
      <c r="D94" t="s">
        <v>11</v>
      </c>
      <c r="E94" t="s">
        <v>37</v>
      </c>
      <c r="F94" t="s">
        <v>13</v>
      </c>
      <c r="G94">
        <v>43881</v>
      </c>
      <c r="H94" t="s">
        <v>41</v>
      </c>
      <c r="I94" t="s">
        <v>16</v>
      </c>
      <c r="J94" t="s">
        <v>45</v>
      </c>
    </row>
    <row r="95" spans="1:10" x14ac:dyDescent="0.35">
      <c r="A95" t="s">
        <v>35</v>
      </c>
      <c r="B95">
        <v>40</v>
      </c>
      <c r="C95">
        <v>65000</v>
      </c>
      <c r="D95" t="s">
        <v>36</v>
      </c>
      <c r="E95" t="s">
        <v>26</v>
      </c>
      <c r="F95" t="s">
        <v>43</v>
      </c>
      <c r="G95">
        <v>43845</v>
      </c>
      <c r="H95" t="s">
        <v>31</v>
      </c>
      <c r="I95" t="s">
        <v>32</v>
      </c>
      <c r="J95" t="s">
        <v>23</v>
      </c>
    </row>
    <row r="96" spans="1:10" x14ac:dyDescent="0.35">
      <c r="A96" t="s">
        <v>10</v>
      </c>
      <c r="B96">
        <v>25</v>
      </c>
      <c r="C96" t="s">
        <v>25</v>
      </c>
      <c r="D96" t="s">
        <v>18</v>
      </c>
      <c r="E96" t="s">
        <v>19</v>
      </c>
      <c r="F96" t="s">
        <v>39</v>
      </c>
      <c r="G96" t="s">
        <v>40</v>
      </c>
      <c r="H96" t="s">
        <v>21</v>
      </c>
      <c r="J96" t="s">
        <v>45</v>
      </c>
    </row>
    <row r="97" spans="1:10" x14ac:dyDescent="0.35">
      <c r="A97" t="s">
        <v>35</v>
      </c>
      <c r="B97">
        <v>40</v>
      </c>
      <c r="C97" t="s">
        <v>25</v>
      </c>
      <c r="D97" t="s">
        <v>36</v>
      </c>
      <c r="E97" t="s">
        <v>30</v>
      </c>
      <c r="F97" t="s">
        <v>39</v>
      </c>
      <c r="G97">
        <v>43845</v>
      </c>
      <c r="H97" t="s">
        <v>21</v>
      </c>
      <c r="J97" t="s">
        <v>28</v>
      </c>
    </row>
    <row r="98" spans="1:10" x14ac:dyDescent="0.35">
      <c r="A98" t="s">
        <v>49</v>
      </c>
      <c r="B98">
        <v>40</v>
      </c>
      <c r="C98">
        <v>70000</v>
      </c>
      <c r="D98" t="s">
        <v>36</v>
      </c>
      <c r="E98" t="s">
        <v>37</v>
      </c>
      <c r="F98" t="s">
        <v>44</v>
      </c>
      <c r="G98">
        <v>43549</v>
      </c>
      <c r="H98" t="s">
        <v>41</v>
      </c>
      <c r="I98" t="s">
        <v>22</v>
      </c>
      <c r="J98" t="s">
        <v>23</v>
      </c>
    </row>
    <row r="99" spans="1:10" x14ac:dyDescent="0.35">
      <c r="A99" t="s">
        <v>10</v>
      </c>
      <c r="B99">
        <v>50</v>
      </c>
      <c r="C99">
        <v>70000</v>
      </c>
      <c r="D99" t="s">
        <v>11</v>
      </c>
      <c r="E99" t="s">
        <v>12</v>
      </c>
      <c r="F99" t="s">
        <v>13</v>
      </c>
      <c r="G99" t="s">
        <v>40</v>
      </c>
      <c r="H99" t="s">
        <v>41</v>
      </c>
      <c r="I99" t="s">
        <v>15</v>
      </c>
      <c r="J99" t="s">
        <v>45</v>
      </c>
    </row>
    <row r="100" spans="1:10" x14ac:dyDescent="0.35">
      <c r="A100" t="s">
        <v>49</v>
      </c>
      <c r="B100">
        <v>35</v>
      </c>
      <c r="C100" t="s">
        <v>25</v>
      </c>
      <c r="D100" t="s">
        <v>36</v>
      </c>
      <c r="E100" t="s">
        <v>30</v>
      </c>
      <c r="F100" t="s">
        <v>43</v>
      </c>
      <c r="G100">
        <v>43195</v>
      </c>
      <c r="H100" t="s">
        <v>41</v>
      </c>
      <c r="I100" t="s">
        <v>22</v>
      </c>
      <c r="J100" t="s">
        <v>28</v>
      </c>
    </row>
    <row r="101" spans="1:10" x14ac:dyDescent="0.35">
      <c r="A101" t="s">
        <v>24</v>
      </c>
      <c r="B101" t="s">
        <v>42</v>
      </c>
      <c r="C101">
        <v>70000</v>
      </c>
      <c r="D101" t="s">
        <v>11</v>
      </c>
      <c r="E101" t="s">
        <v>12</v>
      </c>
      <c r="F101" t="s">
        <v>13</v>
      </c>
      <c r="G101">
        <v>43881</v>
      </c>
      <c r="H101" t="s">
        <v>27</v>
      </c>
      <c r="I101" t="s">
        <v>15</v>
      </c>
      <c r="J101" t="s">
        <v>28</v>
      </c>
    </row>
    <row r="102" spans="1:10" x14ac:dyDescent="0.35">
      <c r="A102" t="s">
        <v>47</v>
      </c>
      <c r="B102">
        <v>25</v>
      </c>
      <c r="C102">
        <v>65000</v>
      </c>
      <c r="D102" t="s">
        <v>11</v>
      </c>
      <c r="E102" t="s">
        <v>30</v>
      </c>
      <c r="F102" t="s">
        <v>20</v>
      </c>
      <c r="G102">
        <v>43549</v>
      </c>
      <c r="H102" t="s">
        <v>14</v>
      </c>
      <c r="I102" t="s">
        <v>15</v>
      </c>
      <c r="J102" t="s">
        <v>23</v>
      </c>
    </row>
    <row r="103" spans="1:10" x14ac:dyDescent="0.35">
      <c r="A103" t="s">
        <v>48</v>
      </c>
      <c r="B103">
        <v>50</v>
      </c>
      <c r="C103">
        <v>50000</v>
      </c>
      <c r="D103" t="s">
        <v>11</v>
      </c>
      <c r="E103" t="s">
        <v>30</v>
      </c>
      <c r="F103" t="s">
        <v>13</v>
      </c>
      <c r="G103">
        <v>43549</v>
      </c>
      <c r="H103" t="s">
        <v>27</v>
      </c>
      <c r="J103" t="s">
        <v>16</v>
      </c>
    </row>
    <row r="104" spans="1:10" x14ac:dyDescent="0.35">
      <c r="A104" t="s">
        <v>10</v>
      </c>
      <c r="B104">
        <v>35</v>
      </c>
      <c r="C104">
        <v>65000</v>
      </c>
      <c r="D104" t="s">
        <v>18</v>
      </c>
      <c r="E104" t="s">
        <v>26</v>
      </c>
      <c r="F104" t="s">
        <v>13</v>
      </c>
      <c r="G104">
        <v>43881</v>
      </c>
      <c r="H104" t="s">
        <v>21</v>
      </c>
      <c r="I104" t="s">
        <v>15</v>
      </c>
      <c r="J104" t="s">
        <v>33</v>
      </c>
    </row>
    <row r="105" spans="1:10" x14ac:dyDescent="0.35">
      <c r="A105" t="s">
        <v>10</v>
      </c>
      <c r="B105" t="s">
        <v>42</v>
      </c>
      <c r="C105" t="s">
        <v>25</v>
      </c>
      <c r="D105" t="s">
        <v>18</v>
      </c>
      <c r="E105" t="s">
        <v>37</v>
      </c>
      <c r="F105" t="s">
        <v>39</v>
      </c>
      <c r="G105">
        <v>43881</v>
      </c>
      <c r="H105" t="s">
        <v>31</v>
      </c>
      <c r="I105" t="s">
        <v>32</v>
      </c>
      <c r="J105" t="s">
        <v>23</v>
      </c>
    </row>
    <row r="106" spans="1:10" x14ac:dyDescent="0.35">
      <c r="A106" t="s">
        <v>24</v>
      </c>
      <c r="B106" t="s">
        <v>42</v>
      </c>
      <c r="C106" t="s">
        <v>25</v>
      </c>
      <c r="D106" t="s">
        <v>11</v>
      </c>
      <c r="E106" t="s">
        <v>37</v>
      </c>
      <c r="F106" t="s">
        <v>43</v>
      </c>
      <c r="G106">
        <v>43195</v>
      </c>
      <c r="H106" t="s">
        <v>14</v>
      </c>
      <c r="I106" t="s">
        <v>32</v>
      </c>
      <c r="J106" t="s">
        <v>28</v>
      </c>
    </row>
    <row r="107" spans="1:10" x14ac:dyDescent="0.35">
      <c r="A107" t="s">
        <v>29</v>
      </c>
      <c r="B107">
        <v>50</v>
      </c>
      <c r="C107">
        <v>65000</v>
      </c>
      <c r="D107" t="s">
        <v>36</v>
      </c>
      <c r="E107" t="s">
        <v>30</v>
      </c>
      <c r="F107" t="s">
        <v>13</v>
      </c>
      <c r="G107">
        <v>43549</v>
      </c>
      <c r="H107" t="s">
        <v>31</v>
      </c>
      <c r="I107" t="s">
        <v>32</v>
      </c>
      <c r="J107" t="s">
        <v>28</v>
      </c>
    </row>
    <row r="108" spans="1:10" x14ac:dyDescent="0.35">
      <c r="A108" t="s">
        <v>38</v>
      </c>
      <c r="B108" t="s">
        <v>16</v>
      </c>
      <c r="C108">
        <v>70000</v>
      </c>
      <c r="D108" t="s">
        <v>11</v>
      </c>
      <c r="E108" t="s">
        <v>19</v>
      </c>
      <c r="F108" t="s">
        <v>39</v>
      </c>
      <c r="G108">
        <v>43549</v>
      </c>
      <c r="H108" t="s">
        <v>21</v>
      </c>
      <c r="J108" t="s">
        <v>23</v>
      </c>
    </row>
    <row r="109" spans="1:10" x14ac:dyDescent="0.35">
      <c r="A109" t="s">
        <v>24</v>
      </c>
      <c r="B109">
        <v>25</v>
      </c>
      <c r="C109">
        <v>70000</v>
      </c>
      <c r="D109" t="s">
        <v>36</v>
      </c>
      <c r="E109" t="s">
        <v>19</v>
      </c>
      <c r="F109" t="s">
        <v>44</v>
      </c>
      <c r="G109">
        <v>43845</v>
      </c>
      <c r="H109" t="s">
        <v>21</v>
      </c>
      <c r="I109" t="s">
        <v>22</v>
      </c>
      <c r="J109" t="s">
        <v>16</v>
      </c>
    </row>
    <row r="110" spans="1:10" x14ac:dyDescent="0.35">
      <c r="A110" t="s">
        <v>46</v>
      </c>
      <c r="B110" t="s">
        <v>42</v>
      </c>
      <c r="C110" t="s">
        <v>34</v>
      </c>
      <c r="D110" t="s">
        <v>11</v>
      </c>
      <c r="E110" t="s">
        <v>12</v>
      </c>
      <c r="F110" t="s">
        <v>39</v>
      </c>
      <c r="G110" t="s">
        <v>40</v>
      </c>
      <c r="H110" t="s">
        <v>31</v>
      </c>
      <c r="I110" t="s">
        <v>16</v>
      </c>
      <c r="J110" t="s">
        <v>33</v>
      </c>
    </row>
    <row r="111" spans="1:10" x14ac:dyDescent="0.35">
      <c r="A111" t="s">
        <v>38</v>
      </c>
      <c r="B111">
        <v>50</v>
      </c>
      <c r="C111" t="s">
        <v>25</v>
      </c>
      <c r="D111" t="s">
        <v>36</v>
      </c>
      <c r="E111" t="s">
        <v>12</v>
      </c>
      <c r="F111" t="s">
        <v>39</v>
      </c>
      <c r="G111" t="s">
        <v>40</v>
      </c>
      <c r="H111" t="s">
        <v>31</v>
      </c>
      <c r="I111" t="s">
        <v>15</v>
      </c>
      <c r="J111" t="s">
        <v>45</v>
      </c>
    </row>
    <row r="112" spans="1:10" x14ac:dyDescent="0.35">
      <c r="A112" t="s">
        <v>48</v>
      </c>
      <c r="B112">
        <v>50</v>
      </c>
      <c r="C112">
        <v>55000</v>
      </c>
      <c r="D112" t="s">
        <v>18</v>
      </c>
      <c r="E112" t="s">
        <v>26</v>
      </c>
      <c r="F112" t="s">
        <v>39</v>
      </c>
      <c r="G112">
        <v>43845</v>
      </c>
      <c r="H112" t="s">
        <v>31</v>
      </c>
      <c r="I112" t="s">
        <v>16</v>
      </c>
      <c r="J112" t="s">
        <v>23</v>
      </c>
    </row>
    <row r="113" spans="1:10" x14ac:dyDescent="0.35">
      <c r="A113" t="s">
        <v>38</v>
      </c>
      <c r="B113">
        <v>35</v>
      </c>
      <c r="C113" t="s">
        <v>34</v>
      </c>
      <c r="D113" t="s">
        <v>36</v>
      </c>
      <c r="E113" t="s">
        <v>30</v>
      </c>
      <c r="F113" t="s">
        <v>13</v>
      </c>
      <c r="G113" t="s">
        <v>40</v>
      </c>
      <c r="H113" t="s">
        <v>21</v>
      </c>
      <c r="I113" t="s">
        <v>22</v>
      </c>
      <c r="J113" t="s">
        <v>33</v>
      </c>
    </row>
    <row r="114" spans="1:10" x14ac:dyDescent="0.35">
      <c r="A114" t="s">
        <v>29</v>
      </c>
      <c r="B114" t="s">
        <v>16</v>
      </c>
      <c r="C114">
        <v>70000</v>
      </c>
      <c r="D114" t="s">
        <v>11</v>
      </c>
      <c r="E114" t="s">
        <v>12</v>
      </c>
      <c r="F114" t="s">
        <v>13</v>
      </c>
      <c r="G114">
        <v>43881</v>
      </c>
      <c r="H114" t="s">
        <v>41</v>
      </c>
      <c r="I114" t="s">
        <v>22</v>
      </c>
      <c r="J114" t="s">
        <v>33</v>
      </c>
    </row>
    <row r="115" spans="1:10" x14ac:dyDescent="0.35">
      <c r="A115" t="s">
        <v>38</v>
      </c>
      <c r="B115">
        <v>25</v>
      </c>
      <c r="C115">
        <v>65000</v>
      </c>
      <c r="D115" t="s">
        <v>18</v>
      </c>
      <c r="E115" t="s">
        <v>12</v>
      </c>
      <c r="F115" t="s">
        <v>44</v>
      </c>
      <c r="G115" t="s">
        <v>40</v>
      </c>
      <c r="H115" t="s">
        <v>31</v>
      </c>
      <c r="J115" t="s">
        <v>28</v>
      </c>
    </row>
    <row r="116" spans="1:10" x14ac:dyDescent="0.35">
      <c r="A116" t="s">
        <v>48</v>
      </c>
      <c r="B116">
        <v>40</v>
      </c>
      <c r="C116">
        <v>70000</v>
      </c>
      <c r="D116" t="s">
        <v>36</v>
      </c>
      <c r="E116" t="s">
        <v>30</v>
      </c>
      <c r="F116" t="s">
        <v>20</v>
      </c>
      <c r="G116" t="s">
        <v>40</v>
      </c>
      <c r="H116" t="s">
        <v>14</v>
      </c>
      <c r="I116" t="s">
        <v>32</v>
      </c>
      <c r="J116" t="s">
        <v>45</v>
      </c>
    </row>
    <row r="117" spans="1:10" x14ac:dyDescent="0.35">
      <c r="A117" t="s">
        <v>29</v>
      </c>
      <c r="B117">
        <v>35</v>
      </c>
      <c r="C117">
        <v>65000</v>
      </c>
      <c r="D117" t="s">
        <v>36</v>
      </c>
      <c r="E117" t="s">
        <v>26</v>
      </c>
      <c r="F117" t="s">
        <v>20</v>
      </c>
      <c r="G117">
        <v>43845</v>
      </c>
      <c r="H117" t="s">
        <v>21</v>
      </c>
      <c r="I117" t="s">
        <v>32</v>
      </c>
      <c r="J117" t="s">
        <v>23</v>
      </c>
    </row>
    <row r="118" spans="1:10" x14ac:dyDescent="0.35">
      <c r="A118" t="s">
        <v>35</v>
      </c>
      <c r="B118" t="s">
        <v>42</v>
      </c>
      <c r="C118" t="s">
        <v>34</v>
      </c>
      <c r="D118" t="s">
        <v>36</v>
      </c>
      <c r="E118" t="s">
        <v>12</v>
      </c>
      <c r="F118" t="s">
        <v>20</v>
      </c>
      <c r="G118">
        <v>43195</v>
      </c>
      <c r="H118" t="s">
        <v>27</v>
      </c>
      <c r="I118" t="s">
        <v>22</v>
      </c>
      <c r="J118" t="s">
        <v>28</v>
      </c>
    </row>
    <row r="119" spans="1:10" x14ac:dyDescent="0.35">
      <c r="A119" t="s">
        <v>10</v>
      </c>
      <c r="B119" t="s">
        <v>42</v>
      </c>
      <c r="C119" t="s">
        <v>25</v>
      </c>
      <c r="D119" t="s">
        <v>36</v>
      </c>
      <c r="E119" t="s">
        <v>26</v>
      </c>
      <c r="F119" t="s">
        <v>44</v>
      </c>
      <c r="G119" t="s">
        <v>40</v>
      </c>
      <c r="H119" t="s">
        <v>27</v>
      </c>
      <c r="J119" t="s">
        <v>28</v>
      </c>
    </row>
    <row r="120" spans="1:10" x14ac:dyDescent="0.35">
      <c r="A120" t="s">
        <v>10</v>
      </c>
      <c r="B120">
        <v>35</v>
      </c>
      <c r="C120">
        <v>70000</v>
      </c>
      <c r="D120" t="s">
        <v>36</v>
      </c>
      <c r="E120" t="s">
        <v>37</v>
      </c>
      <c r="F120" t="s">
        <v>20</v>
      </c>
      <c r="G120" t="s">
        <v>40</v>
      </c>
      <c r="H120" t="s">
        <v>14</v>
      </c>
      <c r="J120" t="s">
        <v>16</v>
      </c>
    </row>
    <row r="121" spans="1:10" x14ac:dyDescent="0.35">
      <c r="A121" t="s">
        <v>49</v>
      </c>
      <c r="B121">
        <v>50</v>
      </c>
      <c r="C121">
        <v>65000</v>
      </c>
      <c r="D121" t="s">
        <v>18</v>
      </c>
      <c r="E121" t="s">
        <v>26</v>
      </c>
      <c r="F121" t="s">
        <v>20</v>
      </c>
      <c r="G121">
        <v>43195</v>
      </c>
      <c r="H121" t="s">
        <v>41</v>
      </c>
      <c r="I121" t="s">
        <v>15</v>
      </c>
      <c r="J121" t="s">
        <v>33</v>
      </c>
    </row>
    <row r="122" spans="1:10" x14ac:dyDescent="0.35">
      <c r="A122" t="s">
        <v>35</v>
      </c>
      <c r="B122" t="s">
        <v>42</v>
      </c>
      <c r="C122" t="s">
        <v>25</v>
      </c>
      <c r="D122" t="s">
        <v>18</v>
      </c>
      <c r="E122" t="s">
        <v>19</v>
      </c>
      <c r="F122" t="s">
        <v>39</v>
      </c>
      <c r="G122">
        <v>43845</v>
      </c>
      <c r="H122" t="s">
        <v>31</v>
      </c>
      <c r="I122" t="s">
        <v>32</v>
      </c>
      <c r="J122" t="s">
        <v>23</v>
      </c>
    </row>
    <row r="123" spans="1:10" x14ac:dyDescent="0.35">
      <c r="A123" t="s">
        <v>35</v>
      </c>
      <c r="B123" t="s">
        <v>16</v>
      </c>
      <c r="C123">
        <v>55000</v>
      </c>
      <c r="D123" t="s">
        <v>18</v>
      </c>
      <c r="E123" t="s">
        <v>19</v>
      </c>
      <c r="F123" t="s">
        <v>13</v>
      </c>
      <c r="G123">
        <v>43195</v>
      </c>
      <c r="H123" t="s">
        <v>21</v>
      </c>
      <c r="I123" t="s">
        <v>22</v>
      </c>
      <c r="J123" t="s">
        <v>23</v>
      </c>
    </row>
    <row r="124" spans="1:10" x14ac:dyDescent="0.35">
      <c r="A124" t="s">
        <v>38</v>
      </c>
      <c r="B124">
        <v>25</v>
      </c>
      <c r="C124">
        <v>65000</v>
      </c>
      <c r="D124" t="s">
        <v>18</v>
      </c>
      <c r="E124" t="s">
        <v>26</v>
      </c>
      <c r="F124" t="s">
        <v>13</v>
      </c>
      <c r="G124">
        <v>43845</v>
      </c>
      <c r="H124" t="s">
        <v>31</v>
      </c>
      <c r="I124" t="s">
        <v>16</v>
      </c>
      <c r="J124" t="s">
        <v>23</v>
      </c>
    </row>
    <row r="125" spans="1:10" x14ac:dyDescent="0.35">
      <c r="A125" t="s">
        <v>10</v>
      </c>
      <c r="B125" t="s">
        <v>16</v>
      </c>
      <c r="C125" t="s">
        <v>34</v>
      </c>
      <c r="D125" t="s">
        <v>11</v>
      </c>
      <c r="E125" t="s">
        <v>19</v>
      </c>
      <c r="F125" t="s">
        <v>39</v>
      </c>
      <c r="G125">
        <v>43881</v>
      </c>
      <c r="H125" t="s">
        <v>21</v>
      </c>
      <c r="I125" t="s">
        <v>32</v>
      </c>
      <c r="J125" t="s">
        <v>28</v>
      </c>
    </row>
    <row r="126" spans="1:10" x14ac:dyDescent="0.35">
      <c r="A126" t="s">
        <v>48</v>
      </c>
      <c r="B126" t="s">
        <v>42</v>
      </c>
      <c r="C126">
        <v>55000</v>
      </c>
      <c r="D126" t="s">
        <v>18</v>
      </c>
      <c r="E126" t="s">
        <v>37</v>
      </c>
      <c r="F126" t="s">
        <v>39</v>
      </c>
      <c r="G126">
        <v>43845</v>
      </c>
      <c r="H126" t="s">
        <v>27</v>
      </c>
      <c r="I126" t="s">
        <v>15</v>
      </c>
      <c r="J126" t="s">
        <v>16</v>
      </c>
    </row>
    <row r="127" spans="1:10" x14ac:dyDescent="0.35">
      <c r="A127" t="s">
        <v>17</v>
      </c>
      <c r="B127">
        <v>40</v>
      </c>
      <c r="C127">
        <v>55000</v>
      </c>
      <c r="D127" t="s">
        <v>36</v>
      </c>
      <c r="E127" t="s">
        <v>30</v>
      </c>
      <c r="F127" t="s">
        <v>39</v>
      </c>
      <c r="G127">
        <v>43881</v>
      </c>
      <c r="H127" t="s">
        <v>31</v>
      </c>
      <c r="J127" t="s">
        <v>45</v>
      </c>
    </row>
    <row r="128" spans="1:10" x14ac:dyDescent="0.35">
      <c r="A128" t="s">
        <v>17</v>
      </c>
      <c r="B128">
        <v>25</v>
      </c>
      <c r="C128">
        <v>50000</v>
      </c>
      <c r="D128" t="s">
        <v>36</v>
      </c>
      <c r="E128" t="s">
        <v>19</v>
      </c>
      <c r="F128" t="s">
        <v>13</v>
      </c>
      <c r="G128">
        <v>43881</v>
      </c>
      <c r="H128" t="s">
        <v>14</v>
      </c>
      <c r="I128" t="s">
        <v>22</v>
      </c>
      <c r="J128" t="s">
        <v>28</v>
      </c>
    </row>
    <row r="129" spans="1:10" x14ac:dyDescent="0.35">
      <c r="A129" t="s">
        <v>29</v>
      </c>
      <c r="B129">
        <v>25</v>
      </c>
      <c r="C129">
        <v>70000</v>
      </c>
      <c r="D129" t="s">
        <v>18</v>
      </c>
      <c r="E129" t="s">
        <v>19</v>
      </c>
      <c r="F129" t="s">
        <v>20</v>
      </c>
      <c r="G129">
        <v>43845</v>
      </c>
      <c r="H129" t="s">
        <v>41</v>
      </c>
      <c r="I129" t="s">
        <v>32</v>
      </c>
      <c r="J129" t="s">
        <v>45</v>
      </c>
    </row>
    <row r="130" spans="1:10" x14ac:dyDescent="0.35">
      <c r="A130" t="s">
        <v>10</v>
      </c>
      <c r="B130">
        <v>35</v>
      </c>
      <c r="C130">
        <v>65000</v>
      </c>
      <c r="D130" t="s">
        <v>36</v>
      </c>
      <c r="E130" t="s">
        <v>26</v>
      </c>
      <c r="F130" t="s">
        <v>39</v>
      </c>
      <c r="G130">
        <v>43549</v>
      </c>
      <c r="H130" t="s">
        <v>14</v>
      </c>
      <c r="I130" t="s">
        <v>16</v>
      </c>
      <c r="J130" t="s">
        <v>16</v>
      </c>
    </row>
    <row r="131" spans="1:10" x14ac:dyDescent="0.35">
      <c r="A131" t="s">
        <v>10</v>
      </c>
      <c r="B131">
        <v>35</v>
      </c>
      <c r="C131">
        <v>55000</v>
      </c>
      <c r="D131" t="s">
        <v>18</v>
      </c>
      <c r="E131" t="s">
        <v>37</v>
      </c>
      <c r="F131" t="s">
        <v>44</v>
      </c>
      <c r="G131">
        <v>43845</v>
      </c>
      <c r="H131" t="s">
        <v>41</v>
      </c>
      <c r="I131" t="s">
        <v>15</v>
      </c>
      <c r="J131" t="s">
        <v>33</v>
      </c>
    </row>
    <row r="132" spans="1:10" x14ac:dyDescent="0.35">
      <c r="A132" t="s">
        <v>17</v>
      </c>
      <c r="B132">
        <v>40</v>
      </c>
      <c r="C132">
        <v>50000</v>
      </c>
      <c r="D132" t="s">
        <v>36</v>
      </c>
      <c r="E132" t="s">
        <v>30</v>
      </c>
      <c r="F132" t="s">
        <v>39</v>
      </c>
      <c r="G132" t="s">
        <v>40</v>
      </c>
      <c r="H132" t="s">
        <v>31</v>
      </c>
      <c r="I132" t="s">
        <v>15</v>
      </c>
      <c r="J132" t="s">
        <v>23</v>
      </c>
    </row>
    <row r="133" spans="1:10" x14ac:dyDescent="0.35">
      <c r="A133" t="s">
        <v>10</v>
      </c>
      <c r="B133">
        <v>50</v>
      </c>
      <c r="C133" t="s">
        <v>34</v>
      </c>
      <c r="D133" t="s">
        <v>11</v>
      </c>
      <c r="E133" t="s">
        <v>26</v>
      </c>
      <c r="F133" t="s">
        <v>43</v>
      </c>
      <c r="G133" t="s">
        <v>40</v>
      </c>
      <c r="H133" t="s">
        <v>31</v>
      </c>
      <c r="I133" t="s">
        <v>32</v>
      </c>
      <c r="J133" t="s">
        <v>45</v>
      </c>
    </row>
    <row r="134" spans="1:10" x14ac:dyDescent="0.35">
      <c r="A134" t="s">
        <v>38</v>
      </c>
      <c r="B134">
        <v>25</v>
      </c>
      <c r="C134" t="s">
        <v>25</v>
      </c>
      <c r="D134" t="s">
        <v>11</v>
      </c>
      <c r="E134" t="s">
        <v>26</v>
      </c>
      <c r="F134" t="s">
        <v>39</v>
      </c>
      <c r="G134">
        <v>43549</v>
      </c>
      <c r="H134" t="s">
        <v>41</v>
      </c>
      <c r="I134" t="s">
        <v>16</v>
      </c>
      <c r="J134" t="s">
        <v>28</v>
      </c>
    </row>
    <row r="135" spans="1:10" x14ac:dyDescent="0.35">
      <c r="A135" t="s">
        <v>46</v>
      </c>
      <c r="B135">
        <v>40</v>
      </c>
      <c r="C135">
        <v>65000</v>
      </c>
      <c r="D135" t="s">
        <v>18</v>
      </c>
      <c r="E135" t="s">
        <v>37</v>
      </c>
      <c r="F135" t="s">
        <v>13</v>
      </c>
      <c r="G135">
        <v>43881</v>
      </c>
      <c r="H135" t="s">
        <v>27</v>
      </c>
      <c r="I135" t="s">
        <v>15</v>
      </c>
      <c r="J135" t="s">
        <v>45</v>
      </c>
    </row>
    <row r="136" spans="1:10" x14ac:dyDescent="0.35">
      <c r="A136" t="s">
        <v>47</v>
      </c>
      <c r="B136">
        <v>35</v>
      </c>
      <c r="C136">
        <v>55000</v>
      </c>
      <c r="D136" t="s">
        <v>18</v>
      </c>
      <c r="E136" t="s">
        <v>30</v>
      </c>
      <c r="F136" t="s">
        <v>39</v>
      </c>
      <c r="G136">
        <v>43549</v>
      </c>
      <c r="H136" t="s">
        <v>21</v>
      </c>
      <c r="I136" t="s">
        <v>22</v>
      </c>
      <c r="J136" t="s">
        <v>33</v>
      </c>
    </row>
    <row r="137" spans="1:10" x14ac:dyDescent="0.35">
      <c r="A137" t="s">
        <v>35</v>
      </c>
      <c r="B137">
        <v>35</v>
      </c>
      <c r="C137">
        <v>70000</v>
      </c>
      <c r="D137" t="s">
        <v>18</v>
      </c>
      <c r="E137" t="s">
        <v>37</v>
      </c>
      <c r="F137" t="s">
        <v>43</v>
      </c>
      <c r="G137" t="s">
        <v>40</v>
      </c>
      <c r="H137" t="s">
        <v>14</v>
      </c>
      <c r="I137" t="s">
        <v>15</v>
      </c>
      <c r="J137" t="s">
        <v>23</v>
      </c>
    </row>
    <row r="138" spans="1:10" x14ac:dyDescent="0.35">
      <c r="A138" t="s">
        <v>49</v>
      </c>
      <c r="B138">
        <v>25</v>
      </c>
      <c r="C138">
        <v>50000</v>
      </c>
      <c r="D138" t="s">
        <v>36</v>
      </c>
      <c r="E138" t="s">
        <v>30</v>
      </c>
      <c r="F138" t="s">
        <v>44</v>
      </c>
      <c r="G138">
        <v>43549</v>
      </c>
      <c r="H138" t="s">
        <v>14</v>
      </c>
      <c r="I138" t="s">
        <v>16</v>
      </c>
      <c r="J138" t="s">
        <v>45</v>
      </c>
    </row>
    <row r="139" spans="1:10" x14ac:dyDescent="0.35">
      <c r="A139" t="s">
        <v>29</v>
      </c>
      <c r="B139" t="s">
        <v>16</v>
      </c>
      <c r="C139">
        <v>55000</v>
      </c>
      <c r="D139" t="s">
        <v>18</v>
      </c>
      <c r="E139" t="s">
        <v>37</v>
      </c>
      <c r="F139" t="s">
        <v>20</v>
      </c>
      <c r="G139">
        <v>43845</v>
      </c>
      <c r="H139" t="s">
        <v>14</v>
      </c>
      <c r="J139" t="s">
        <v>33</v>
      </c>
    </row>
    <row r="140" spans="1:10" x14ac:dyDescent="0.35">
      <c r="A140" t="s">
        <v>46</v>
      </c>
      <c r="B140" t="s">
        <v>42</v>
      </c>
      <c r="C140">
        <v>70000</v>
      </c>
      <c r="D140" t="s">
        <v>11</v>
      </c>
      <c r="E140" t="s">
        <v>26</v>
      </c>
      <c r="F140" t="s">
        <v>39</v>
      </c>
      <c r="G140">
        <v>43549</v>
      </c>
      <c r="H140" t="s">
        <v>31</v>
      </c>
      <c r="J140" t="s">
        <v>28</v>
      </c>
    </row>
    <row r="141" spans="1:10" x14ac:dyDescent="0.35">
      <c r="A141" t="s">
        <v>17</v>
      </c>
      <c r="B141">
        <v>35</v>
      </c>
      <c r="C141">
        <v>55000</v>
      </c>
      <c r="D141" t="s">
        <v>36</v>
      </c>
      <c r="E141" t="s">
        <v>26</v>
      </c>
      <c r="F141" t="s">
        <v>43</v>
      </c>
      <c r="G141">
        <v>43881</v>
      </c>
      <c r="H141" t="s">
        <v>14</v>
      </c>
      <c r="I141" t="s">
        <v>32</v>
      </c>
      <c r="J141" t="s">
        <v>16</v>
      </c>
    </row>
    <row r="142" spans="1:10" x14ac:dyDescent="0.35">
      <c r="A142" t="s">
        <v>35</v>
      </c>
      <c r="B142">
        <v>50</v>
      </c>
      <c r="C142">
        <v>65000</v>
      </c>
      <c r="D142" t="s">
        <v>18</v>
      </c>
      <c r="E142" t="s">
        <v>12</v>
      </c>
      <c r="F142" t="s">
        <v>43</v>
      </c>
      <c r="G142">
        <v>43845</v>
      </c>
      <c r="H142" t="s">
        <v>21</v>
      </c>
      <c r="I142" t="s">
        <v>16</v>
      </c>
      <c r="J142" t="s">
        <v>28</v>
      </c>
    </row>
    <row r="143" spans="1:10" x14ac:dyDescent="0.35">
      <c r="A143" t="s">
        <v>10</v>
      </c>
      <c r="B143">
        <v>50</v>
      </c>
      <c r="C143">
        <v>65000</v>
      </c>
      <c r="D143" t="s">
        <v>36</v>
      </c>
      <c r="E143" t="s">
        <v>19</v>
      </c>
      <c r="F143" t="s">
        <v>44</v>
      </c>
      <c r="G143">
        <v>43195</v>
      </c>
      <c r="H143" t="s">
        <v>21</v>
      </c>
      <c r="I143" t="s">
        <v>15</v>
      </c>
      <c r="J143" t="s">
        <v>23</v>
      </c>
    </row>
    <row r="144" spans="1:10" x14ac:dyDescent="0.35">
      <c r="A144" t="s">
        <v>49</v>
      </c>
      <c r="B144">
        <v>35</v>
      </c>
      <c r="C144">
        <v>65000</v>
      </c>
      <c r="D144" t="s">
        <v>36</v>
      </c>
      <c r="E144" t="s">
        <v>37</v>
      </c>
      <c r="F144" t="s">
        <v>13</v>
      </c>
      <c r="G144" t="s">
        <v>40</v>
      </c>
      <c r="H144" t="s">
        <v>41</v>
      </c>
      <c r="I144" t="s">
        <v>15</v>
      </c>
      <c r="J144" t="s">
        <v>28</v>
      </c>
    </row>
    <row r="145" spans="1:10" x14ac:dyDescent="0.35">
      <c r="A145" t="s">
        <v>10</v>
      </c>
      <c r="B145" t="s">
        <v>16</v>
      </c>
      <c r="C145" t="s">
        <v>34</v>
      </c>
      <c r="D145" t="s">
        <v>18</v>
      </c>
      <c r="E145" t="s">
        <v>12</v>
      </c>
      <c r="F145" t="s">
        <v>39</v>
      </c>
      <c r="G145" t="s">
        <v>40</v>
      </c>
      <c r="H145" t="s">
        <v>31</v>
      </c>
      <c r="J145" t="s">
        <v>28</v>
      </c>
    </row>
    <row r="146" spans="1:10" x14ac:dyDescent="0.35">
      <c r="A146" t="s">
        <v>48</v>
      </c>
      <c r="B146" t="s">
        <v>16</v>
      </c>
      <c r="C146" t="s">
        <v>34</v>
      </c>
      <c r="D146" t="s">
        <v>36</v>
      </c>
      <c r="E146" t="s">
        <v>19</v>
      </c>
      <c r="F146" t="s">
        <v>43</v>
      </c>
      <c r="G146">
        <v>43549</v>
      </c>
      <c r="H146" t="s">
        <v>21</v>
      </c>
      <c r="J146" t="s">
        <v>28</v>
      </c>
    </row>
    <row r="147" spans="1:10" x14ac:dyDescent="0.35">
      <c r="A147" t="s">
        <v>48</v>
      </c>
      <c r="B147">
        <v>40</v>
      </c>
      <c r="C147">
        <v>50000</v>
      </c>
      <c r="D147" t="s">
        <v>11</v>
      </c>
      <c r="E147" t="s">
        <v>37</v>
      </c>
      <c r="F147" t="s">
        <v>44</v>
      </c>
      <c r="G147">
        <v>43845</v>
      </c>
      <c r="H147" t="s">
        <v>27</v>
      </c>
      <c r="I147" t="s">
        <v>22</v>
      </c>
      <c r="J147" t="s">
        <v>28</v>
      </c>
    </row>
    <row r="148" spans="1:10" x14ac:dyDescent="0.35">
      <c r="A148" t="s">
        <v>49</v>
      </c>
      <c r="B148">
        <v>50</v>
      </c>
      <c r="C148">
        <v>65000</v>
      </c>
      <c r="D148" t="s">
        <v>11</v>
      </c>
      <c r="E148" t="s">
        <v>30</v>
      </c>
      <c r="F148" t="s">
        <v>20</v>
      </c>
      <c r="G148">
        <v>43195</v>
      </c>
      <c r="H148" t="s">
        <v>31</v>
      </c>
      <c r="J148" t="s">
        <v>23</v>
      </c>
    </row>
    <row r="149" spans="1:10" x14ac:dyDescent="0.35">
      <c r="A149" t="s">
        <v>49</v>
      </c>
      <c r="B149">
        <v>40</v>
      </c>
      <c r="C149">
        <v>70000</v>
      </c>
      <c r="D149" t="s">
        <v>36</v>
      </c>
      <c r="E149" t="s">
        <v>19</v>
      </c>
      <c r="F149" t="s">
        <v>43</v>
      </c>
      <c r="G149">
        <v>43845</v>
      </c>
      <c r="H149" t="s">
        <v>31</v>
      </c>
      <c r="I149" t="s">
        <v>22</v>
      </c>
      <c r="J149" t="s">
        <v>33</v>
      </c>
    </row>
    <row r="150" spans="1:10" x14ac:dyDescent="0.35">
      <c r="A150" t="s">
        <v>17</v>
      </c>
      <c r="B150">
        <v>50</v>
      </c>
      <c r="C150">
        <v>55000</v>
      </c>
      <c r="D150" t="s">
        <v>18</v>
      </c>
      <c r="E150" t="s">
        <v>26</v>
      </c>
      <c r="F150" t="s">
        <v>44</v>
      </c>
      <c r="G150" t="s">
        <v>40</v>
      </c>
      <c r="H150" t="s">
        <v>21</v>
      </c>
      <c r="I150" t="s">
        <v>15</v>
      </c>
      <c r="J150" t="s">
        <v>45</v>
      </c>
    </row>
    <row r="151" spans="1:10" x14ac:dyDescent="0.35">
      <c r="A151" t="s">
        <v>49</v>
      </c>
      <c r="B151" t="s">
        <v>42</v>
      </c>
      <c r="C151" t="s">
        <v>25</v>
      </c>
      <c r="D151" t="s">
        <v>36</v>
      </c>
      <c r="E151" t="s">
        <v>12</v>
      </c>
      <c r="F151" t="s">
        <v>13</v>
      </c>
      <c r="G151">
        <v>43845</v>
      </c>
      <c r="H151" t="s">
        <v>27</v>
      </c>
      <c r="I151" t="s">
        <v>22</v>
      </c>
      <c r="J151" t="s">
        <v>16</v>
      </c>
    </row>
    <row r="152" spans="1:10" x14ac:dyDescent="0.35">
      <c r="A152" t="s">
        <v>38</v>
      </c>
      <c r="B152" t="s">
        <v>42</v>
      </c>
      <c r="C152">
        <v>70000</v>
      </c>
      <c r="D152" t="s">
        <v>11</v>
      </c>
      <c r="E152" t="s">
        <v>19</v>
      </c>
      <c r="F152" t="s">
        <v>13</v>
      </c>
      <c r="G152">
        <v>43195</v>
      </c>
      <c r="H152" t="s">
        <v>41</v>
      </c>
      <c r="I152" t="s">
        <v>22</v>
      </c>
      <c r="J152" t="s">
        <v>45</v>
      </c>
    </row>
    <row r="153" spans="1:10" x14ac:dyDescent="0.35">
      <c r="A153" t="s">
        <v>10</v>
      </c>
      <c r="B153">
        <v>25</v>
      </c>
      <c r="C153" t="s">
        <v>34</v>
      </c>
      <c r="D153" t="s">
        <v>36</v>
      </c>
      <c r="E153" t="s">
        <v>19</v>
      </c>
      <c r="F153" t="s">
        <v>43</v>
      </c>
      <c r="G153">
        <v>43549</v>
      </c>
      <c r="H153" t="s">
        <v>21</v>
      </c>
      <c r="I153" t="s">
        <v>32</v>
      </c>
      <c r="J153" t="s">
        <v>45</v>
      </c>
    </row>
    <row r="154" spans="1:10" x14ac:dyDescent="0.35">
      <c r="A154" t="s">
        <v>46</v>
      </c>
      <c r="B154">
        <v>40</v>
      </c>
      <c r="C154" t="s">
        <v>34</v>
      </c>
      <c r="D154" t="s">
        <v>36</v>
      </c>
      <c r="E154" t="s">
        <v>26</v>
      </c>
      <c r="F154" t="s">
        <v>43</v>
      </c>
      <c r="G154">
        <v>43881</v>
      </c>
      <c r="H154" t="s">
        <v>27</v>
      </c>
      <c r="J154" t="s">
        <v>16</v>
      </c>
    </row>
    <row r="155" spans="1:10" x14ac:dyDescent="0.35">
      <c r="A155" t="s">
        <v>24</v>
      </c>
      <c r="B155">
        <v>35</v>
      </c>
      <c r="C155">
        <v>70000</v>
      </c>
      <c r="D155" t="s">
        <v>11</v>
      </c>
      <c r="E155" t="s">
        <v>37</v>
      </c>
      <c r="F155" t="s">
        <v>39</v>
      </c>
      <c r="G155">
        <v>43845</v>
      </c>
      <c r="H155" t="s">
        <v>31</v>
      </c>
      <c r="I155" t="s">
        <v>22</v>
      </c>
      <c r="J155" t="s">
        <v>23</v>
      </c>
    </row>
    <row r="156" spans="1:10" x14ac:dyDescent="0.35">
      <c r="A156" t="s">
        <v>49</v>
      </c>
      <c r="B156">
        <v>40</v>
      </c>
      <c r="C156" t="s">
        <v>34</v>
      </c>
      <c r="D156" t="s">
        <v>36</v>
      </c>
      <c r="E156" t="s">
        <v>30</v>
      </c>
      <c r="F156" t="s">
        <v>44</v>
      </c>
      <c r="G156">
        <v>43881</v>
      </c>
      <c r="H156" t="s">
        <v>27</v>
      </c>
      <c r="I156" t="s">
        <v>15</v>
      </c>
      <c r="J156" t="s">
        <v>16</v>
      </c>
    </row>
    <row r="157" spans="1:10" x14ac:dyDescent="0.35">
      <c r="A157" t="s">
        <v>29</v>
      </c>
      <c r="B157">
        <v>35</v>
      </c>
      <c r="C157">
        <v>65000</v>
      </c>
      <c r="D157" t="s">
        <v>36</v>
      </c>
      <c r="E157" t="s">
        <v>26</v>
      </c>
      <c r="F157" t="s">
        <v>43</v>
      </c>
      <c r="G157" t="s">
        <v>40</v>
      </c>
      <c r="H157" t="s">
        <v>31</v>
      </c>
      <c r="I157" t="s">
        <v>16</v>
      </c>
      <c r="J157" t="s">
        <v>23</v>
      </c>
    </row>
    <row r="158" spans="1:10" x14ac:dyDescent="0.35">
      <c r="A158" t="s">
        <v>48</v>
      </c>
      <c r="B158" t="s">
        <v>16</v>
      </c>
      <c r="C158">
        <v>50000</v>
      </c>
      <c r="D158" t="s">
        <v>18</v>
      </c>
      <c r="E158" t="s">
        <v>30</v>
      </c>
      <c r="F158" t="s">
        <v>39</v>
      </c>
      <c r="G158">
        <v>43549</v>
      </c>
      <c r="H158" t="s">
        <v>21</v>
      </c>
      <c r="I158" t="s">
        <v>22</v>
      </c>
      <c r="J158" t="s">
        <v>45</v>
      </c>
    </row>
    <row r="159" spans="1:10" x14ac:dyDescent="0.35">
      <c r="A159" t="s">
        <v>38</v>
      </c>
      <c r="B159">
        <v>40</v>
      </c>
      <c r="C159">
        <v>55000</v>
      </c>
      <c r="D159" t="s">
        <v>18</v>
      </c>
      <c r="E159" t="s">
        <v>37</v>
      </c>
      <c r="F159" t="s">
        <v>39</v>
      </c>
      <c r="G159">
        <v>43549</v>
      </c>
      <c r="H159" t="s">
        <v>21</v>
      </c>
      <c r="J159" t="s">
        <v>23</v>
      </c>
    </row>
    <row r="160" spans="1:10" x14ac:dyDescent="0.35">
      <c r="A160" t="s">
        <v>35</v>
      </c>
      <c r="B160" t="s">
        <v>16</v>
      </c>
      <c r="C160">
        <v>50000</v>
      </c>
      <c r="D160" t="s">
        <v>11</v>
      </c>
      <c r="E160" t="s">
        <v>19</v>
      </c>
      <c r="F160" t="s">
        <v>43</v>
      </c>
      <c r="G160">
        <v>43845</v>
      </c>
      <c r="H160" t="s">
        <v>14</v>
      </c>
      <c r="I160" t="s">
        <v>32</v>
      </c>
      <c r="J160" t="s">
        <v>33</v>
      </c>
    </row>
    <row r="161" spans="1:10" x14ac:dyDescent="0.35">
      <c r="A161" t="s">
        <v>24</v>
      </c>
      <c r="B161" t="s">
        <v>42</v>
      </c>
      <c r="C161">
        <v>55000</v>
      </c>
      <c r="D161" t="s">
        <v>11</v>
      </c>
      <c r="E161" t="s">
        <v>30</v>
      </c>
      <c r="F161" t="s">
        <v>13</v>
      </c>
      <c r="G161">
        <v>43549</v>
      </c>
      <c r="H161" t="s">
        <v>14</v>
      </c>
      <c r="I161" t="s">
        <v>15</v>
      </c>
      <c r="J161" t="s">
        <v>16</v>
      </c>
    </row>
    <row r="162" spans="1:10" x14ac:dyDescent="0.35">
      <c r="A162" t="s">
        <v>46</v>
      </c>
      <c r="B162" t="s">
        <v>42</v>
      </c>
      <c r="C162">
        <v>55000</v>
      </c>
      <c r="D162" t="s">
        <v>11</v>
      </c>
      <c r="E162" t="s">
        <v>12</v>
      </c>
      <c r="F162" t="s">
        <v>44</v>
      </c>
      <c r="G162">
        <v>43845</v>
      </c>
      <c r="H162" t="s">
        <v>14</v>
      </c>
      <c r="I162" t="s">
        <v>32</v>
      </c>
      <c r="J162" t="s">
        <v>33</v>
      </c>
    </row>
    <row r="163" spans="1:10" x14ac:dyDescent="0.35">
      <c r="A163" t="s">
        <v>24</v>
      </c>
      <c r="B163">
        <v>25</v>
      </c>
      <c r="C163">
        <v>50000</v>
      </c>
      <c r="D163" t="s">
        <v>18</v>
      </c>
      <c r="E163" t="s">
        <v>12</v>
      </c>
      <c r="F163" t="s">
        <v>44</v>
      </c>
      <c r="G163">
        <v>43845</v>
      </c>
      <c r="H163" t="s">
        <v>21</v>
      </c>
      <c r="I163" t="s">
        <v>16</v>
      </c>
      <c r="J163" t="s">
        <v>45</v>
      </c>
    </row>
    <row r="164" spans="1:10" x14ac:dyDescent="0.35">
      <c r="A164" t="s">
        <v>49</v>
      </c>
      <c r="B164">
        <v>40</v>
      </c>
      <c r="C164">
        <v>70000</v>
      </c>
      <c r="D164" t="s">
        <v>11</v>
      </c>
      <c r="E164" t="s">
        <v>26</v>
      </c>
      <c r="F164" t="s">
        <v>13</v>
      </c>
      <c r="G164">
        <v>43881</v>
      </c>
      <c r="H164" t="s">
        <v>41</v>
      </c>
      <c r="I164" t="s">
        <v>22</v>
      </c>
      <c r="J164" t="s">
        <v>16</v>
      </c>
    </row>
    <row r="165" spans="1:10" x14ac:dyDescent="0.35">
      <c r="A165" t="s">
        <v>17</v>
      </c>
      <c r="B165" t="s">
        <v>16</v>
      </c>
      <c r="C165">
        <v>55000</v>
      </c>
      <c r="D165" t="s">
        <v>11</v>
      </c>
      <c r="E165" t="s">
        <v>37</v>
      </c>
      <c r="F165" t="s">
        <v>43</v>
      </c>
      <c r="G165">
        <v>43549</v>
      </c>
      <c r="H165" t="s">
        <v>21</v>
      </c>
      <c r="I165" t="s">
        <v>22</v>
      </c>
      <c r="J165" t="s">
        <v>45</v>
      </c>
    </row>
    <row r="166" spans="1:10" x14ac:dyDescent="0.35">
      <c r="A166" t="s">
        <v>48</v>
      </c>
      <c r="B166">
        <v>35</v>
      </c>
      <c r="C166">
        <v>50000</v>
      </c>
      <c r="D166" t="s">
        <v>11</v>
      </c>
      <c r="E166" t="s">
        <v>26</v>
      </c>
      <c r="F166" t="s">
        <v>44</v>
      </c>
      <c r="G166">
        <v>43845</v>
      </c>
      <c r="H166" t="s">
        <v>27</v>
      </c>
      <c r="J166" t="s">
        <v>33</v>
      </c>
    </row>
    <row r="167" spans="1:10" x14ac:dyDescent="0.35">
      <c r="A167" t="s">
        <v>48</v>
      </c>
      <c r="B167" t="s">
        <v>42</v>
      </c>
      <c r="C167">
        <v>55000</v>
      </c>
      <c r="D167" t="s">
        <v>18</v>
      </c>
      <c r="E167" t="s">
        <v>26</v>
      </c>
      <c r="F167" t="s">
        <v>43</v>
      </c>
      <c r="G167">
        <v>43881</v>
      </c>
      <c r="H167" t="s">
        <v>21</v>
      </c>
      <c r="I167" t="s">
        <v>22</v>
      </c>
      <c r="J167" t="s">
        <v>45</v>
      </c>
    </row>
    <row r="168" spans="1:10" x14ac:dyDescent="0.35">
      <c r="A168" t="s">
        <v>35</v>
      </c>
      <c r="B168" t="s">
        <v>42</v>
      </c>
      <c r="C168" t="s">
        <v>25</v>
      </c>
      <c r="D168" t="s">
        <v>36</v>
      </c>
      <c r="E168" t="s">
        <v>26</v>
      </c>
      <c r="F168" t="s">
        <v>43</v>
      </c>
      <c r="G168">
        <v>43195</v>
      </c>
      <c r="H168" t="s">
        <v>21</v>
      </c>
      <c r="I168" t="s">
        <v>15</v>
      </c>
      <c r="J168" t="s">
        <v>16</v>
      </c>
    </row>
    <row r="169" spans="1:10" x14ac:dyDescent="0.35">
      <c r="A169" t="s">
        <v>17</v>
      </c>
      <c r="B169">
        <v>35</v>
      </c>
      <c r="C169">
        <v>70000</v>
      </c>
      <c r="D169" t="s">
        <v>11</v>
      </c>
      <c r="E169" t="s">
        <v>12</v>
      </c>
      <c r="F169" t="s">
        <v>39</v>
      </c>
      <c r="G169">
        <v>43881</v>
      </c>
      <c r="H169" t="s">
        <v>31</v>
      </c>
      <c r="I169" t="s">
        <v>16</v>
      </c>
      <c r="J169" t="s">
        <v>16</v>
      </c>
    </row>
    <row r="170" spans="1:10" x14ac:dyDescent="0.35">
      <c r="A170" t="s">
        <v>10</v>
      </c>
      <c r="B170" t="s">
        <v>16</v>
      </c>
      <c r="C170">
        <v>65000</v>
      </c>
      <c r="D170" t="s">
        <v>36</v>
      </c>
      <c r="E170" t="s">
        <v>12</v>
      </c>
      <c r="F170" t="s">
        <v>13</v>
      </c>
      <c r="G170">
        <v>43881</v>
      </c>
      <c r="H170" t="s">
        <v>31</v>
      </c>
      <c r="I170" t="s">
        <v>32</v>
      </c>
      <c r="J170" t="s">
        <v>45</v>
      </c>
    </row>
    <row r="171" spans="1:10" x14ac:dyDescent="0.35">
      <c r="A171" t="s">
        <v>47</v>
      </c>
      <c r="B171" t="s">
        <v>16</v>
      </c>
      <c r="C171">
        <v>55000</v>
      </c>
      <c r="D171" t="s">
        <v>11</v>
      </c>
      <c r="E171" t="s">
        <v>26</v>
      </c>
      <c r="F171" t="s">
        <v>43</v>
      </c>
      <c r="G171">
        <v>43845</v>
      </c>
      <c r="H171" t="s">
        <v>31</v>
      </c>
      <c r="I171" t="s">
        <v>16</v>
      </c>
      <c r="J171" t="s">
        <v>16</v>
      </c>
    </row>
    <row r="172" spans="1:10" x14ac:dyDescent="0.35">
      <c r="A172" t="s">
        <v>38</v>
      </c>
      <c r="B172">
        <v>40</v>
      </c>
      <c r="C172" t="s">
        <v>25</v>
      </c>
      <c r="D172" t="s">
        <v>36</v>
      </c>
      <c r="E172" t="s">
        <v>12</v>
      </c>
      <c r="F172" t="s">
        <v>20</v>
      </c>
      <c r="G172" t="s">
        <v>40</v>
      </c>
      <c r="H172" t="s">
        <v>21</v>
      </c>
      <c r="I172" t="s">
        <v>22</v>
      </c>
      <c r="J172" t="s">
        <v>16</v>
      </c>
    </row>
    <row r="173" spans="1:10" x14ac:dyDescent="0.35">
      <c r="A173" t="s">
        <v>48</v>
      </c>
      <c r="B173">
        <v>40</v>
      </c>
      <c r="C173">
        <v>65000</v>
      </c>
      <c r="D173" t="s">
        <v>18</v>
      </c>
      <c r="E173" t="s">
        <v>37</v>
      </c>
      <c r="F173" t="s">
        <v>13</v>
      </c>
      <c r="G173" t="s">
        <v>40</v>
      </c>
      <c r="H173" t="s">
        <v>41</v>
      </c>
      <c r="I173" t="s">
        <v>32</v>
      </c>
      <c r="J173" t="s">
        <v>45</v>
      </c>
    </row>
    <row r="174" spans="1:10" x14ac:dyDescent="0.35">
      <c r="A174" t="s">
        <v>29</v>
      </c>
      <c r="B174">
        <v>50</v>
      </c>
      <c r="C174">
        <v>65000</v>
      </c>
      <c r="D174" t="s">
        <v>18</v>
      </c>
      <c r="E174" t="s">
        <v>26</v>
      </c>
      <c r="F174" t="s">
        <v>44</v>
      </c>
      <c r="G174" t="s">
        <v>40</v>
      </c>
      <c r="H174" t="s">
        <v>27</v>
      </c>
      <c r="J174" t="s">
        <v>33</v>
      </c>
    </row>
    <row r="175" spans="1:10" x14ac:dyDescent="0.35">
      <c r="A175" t="s">
        <v>48</v>
      </c>
      <c r="B175">
        <v>50</v>
      </c>
      <c r="C175">
        <v>55000</v>
      </c>
      <c r="D175" t="s">
        <v>11</v>
      </c>
      <c r="E175" t="s">
        <v>12</v>
      </c>
      <c r="F175" t="s">
        <v>39</v>
      </c>
      <c r="G175">
        <v>43881</v>
      </c>
      <c r="H175" t="s">
        <v>27</v>
      </c>
      <c r="I175" t="s">
        <v>16</v>
      </c>
      <c r="J175" t="s">
        <v>16</v>
      </c>
    </row>
    <row r="176" spans="1:10" x14ac:dyDescent="0.35">
      <c r="A176" t="s">
        <v>24</v>
      </c>
      <c r="B176">
        <v>25</v>
      </c>
      <c r="C176">
        <v>50000</v>
      </c>
      <c r="D176" t="s">
        <v>36</v>
      </c>
      <c r="E176" t="s">
        <v>30</v>
      </c>
      <c r="F176" t="s">
        <v>44</v>
      </c>
      <c r="G176">
        <v>43845</v>
      </c>
      <c r="H176" t="s">
        <v>41</v>
      </c>
      <c r="I176" t="s">
        <v>32</v>
      </c>
      <c r="J176" t="s">
        <v>16</v>
      </c>
    </row>
    <row r="177" spans="1:10" x14ac:dyDescent="0.35">
      <c r="A177" t="s">
        <v>48</v>
      </c>
      <c r="B177" t="s">
        <v>42</v>
      </c>
      <c r="C177">
        <v>55000</v>
      </c>
      <c r="D177" t="s">
        <v>18</v>
      </c>
      <c r="E177" t="s">
        <v>26</v>
      </c>
      <c r="F177" t="s">
        <v>44</v>
      </c>
      <c r="G177">
        <v>43549</v>
      </c>
      <c r="H177" t="s">
        <v>41</v>
      </c>
      <c r="I177" t="s">
        <v>32</v>
      </c>
      <c r="J177" t="s">
        <v>16</v>
      </c>
    </row>
    <row r="178" spans="1:10" x14ac:dyDescent="0.35">
      <c r="A178" t="s">
        <v>48</v>
      </c>
      <c r="B178">
        <v>40</v>
      </c>
      <c r="C178" t="s">
        <v>25</v>
      </c>
      <c r="D178" t="s">
        <v>11</v>
      </c>
      <c r="E178" t="s">
        <v>26</v>
      </c>
      <c r="F178" t="s">
        <v>13</v>
      </c>
      <c r="G178">
        <v>43881</v>
      </c>
      <c r="H178" t="s">
        <v>27</v>
      </c>
      <c r="I178" t="s">
        <v>32</v>
      </c>
      <c r="J178" t="s">
        <v>16</v>
      </c>
    </row>
    <row r="179" spans="1:10" x14ac:dyDescent="0.35">
      <c r="A179" t="s">
        <v>47</v>
      </c>
      <c r="B179" t="s">
        <v>16</v>
      </c>
      <c r="C179">
        <v>65000</v>
      </c>
      <c r="D179" t="s">
        <v>11</v>
      </c>
      <c r="E179" t="s">
        <v>37</v>
      </c>
      <c r="F179" t="s">
        <v>44</v>
      </c>
      <c r="G179">
        <v>43881</v>
      </c>
      <c r="H179" t="s">
        <v>14</v>
      </c>
      <c r="I179" t="s">
        <v>15</v>
      </c>
      <c r="J179" t="s">
        <v>45</v>
      </c>
    </row>
    <row r="180" spans="1:10" x14ac:dyDescent="0.35">
      <c r="A180" t="s">
        <v>47</v>
      </c>
      <c r="B180">
        <v>35</v>
      </c>
      <c r="C180">
        <v>55000</v>
      </c>
      <c r="D180" t="s">
        <v>18</v>
      </c>
      <c r="E180" t="s">
        <v>19</v>
      </c>
      <c r="F180" t="s">
        <v>43</v>
      </c>
      <c r="G180">
        <v>43845</v>
      </c>
      <c r="H180" t="s">
        <v>31</v>
      </c>
      <c r="I180" t="s">
        <v>16</v>
      </c>
      <c r="J180" t="s">
        <v>33</v>
      </c>
    </row>
    <row r="181" spans="1:10" x14ac:dyDescent="0.35">
      <c r="A181" t="s">
        <v>46</v>
      </c>
      <c r="B181" t="s">
        <v>16</v>
      </c>
      <c r="C181">
        <v>50000</v>
      </c>
      <c r="D181" t="s">
        <v>18</v>
      </c>
      <c r="E181" t="s">
        <v>19</v>
      </c>
      <c r="F181" t="s">
        <v>44</v>
      </c>
      <c r="G181">
        <v>43195</v>
      </c>
      <c r="H181" t="s">
        <v>31</v>
      </c>
      <c r="I181" t="s">
        <v>32</v>
      </c>
      <c r="J181" t="s">
        <v>33</v>
      </c>
    </row>
    <row r="182" spans="1:10" x14ac:dyDescent="0.35">
      <c r="A182" t="s">
        <v>10</v>
      </c>
      <c r="B182" t="s">
        <v>42</v>
      </c>
      <c r="C182">
        <v>55000</v>
      </c>
      <c r="D182" t="s">
        <v>11</v>
      </c>
      <c r="E182" t="s">
        <v>37</v>
      </c>
      <c r="F182" t="s">
        <v>39</v>
      </c>
      <c r="G182">
        <v>43881</v>
      </c>
      <c r="H182" t="s">
        <v>27</v>
      </c>
      <c r="I182" t="s">
        <v>16</v>
      </c>
      <c r="J182" t="s">
        <v>23</v>
      </c>
    </row>
    <row r="183" spans="1:10" x14ac:dyDescent="0.35">
      <c r="A183" t="s">
        <v>29</v>
      </c>
      <c r="B183">
        <v>50</v>
      </c>
      <c r="C183">
        <v>70000</v>
      </c>
      <c r="D183" t="s">
        <v>36</v>
      </c>
      <c r="E183" t="s">
        <v>37</v>
      </c>
      <c r="F183" t="s">
        <v>39</v>
      </c>
      <c r="G183">
        <v>43195</v>
      </c>
      <c r="H183" t="s">
        <v>41</v>
      </c>
      <c r="I183" t="s">
        <v>32</v>
      </c>
      <c r="J183" t="s">
        <v>16</v>
      </c>
    </row>
    <row r="184" spans="1:10" x14ac:dyDescent="0.35">
      <c r="A184" t="s">
        <v>48</v>
      </c>
      <c r="B184" t="s">
        <v>16</v>
      </c>
      <c r="C184">
        <v>50000</v>
      </c>
      <c r="D184" t="s">
        <v>36</v>
      </c>
      <c r="E184" t="s">
        <v>37</v>
      </c>
      <c r="F184" t="s">
        <v>20</v>
      </c>
      <c r="G184">
        <v>43195</v>
      </c>
      <c r="H184" t="s">
        <v>14</v>
      </c>
      <c r="J184" t="s">
        <v>16</v>
      </c>
    </row>
    <row r="185" spans="1:10" x14ac:dyDescent="0.35">
      <c r="A185" t="s">
        <v>48</v>
      </c>
      <c r="B185">
        <v>25</v>
      </c>
      <c r="C185" t="s">
        <v>25</v>
      </c>
      <c r="D185" t="s">
        <v>36</v>
      </c>
      <c r="E185" t="s">
        <v>19</v>
      </c>
      <c r="F185" t="s">
        <v>39</v>
      </c>
      <c r="G185" t="s">
        <v>40</v>
      </c>
      <c r="H185" t="s">
        <v>27</v>
      </c>
      <c r="J185" t="s">
        <v>23</v>
      </c>
    </row>
    <row r="186" spans="1:10" x14ac:dyDescent="0.35">
      <c r="A186" t="s">
        <v>38</v>
      </c>
      <c r="B186" t="s">
        <v>42</v>
      </c>
      <c r="C186">
        <v>65000</v>
      </c>
      <c r="D186" t="s">
        <v>11</v>
      </c>
      <c r="E186" t="s">
        <v>37</v>
      </c>
      <c r="F186" t="s">
        <v>44</v>
      </c>
      <c r="G186">
        <v>43845</v>
      </c>
      <c r="H186" t="s">
        <v>31</v>
      </c>
      <c r="J186" t="s">
        <v>33</v>
      </c>
    </row>
    <row r="187" spans="1:10" x14ac:dyDescent="0.35">
      <c r="A187" t="s">
        <v>47</v>
      </c>
      <c r="B187">
        <v>50</v>
      </c>
      <c r="C187">
        <v>55000</v>
      </c>
      <c r="D187" t="s">
        <v>18</v>
      </c>
      <c r="E187" t="s">
        <v>12</v>
      </c>
      <c r="F187" t="s">
        <v>39</v>
      </c>
      <c r="G187">
        <v>43195</v>
      </c>
      <c r="H187" t="s">
        <v>21</v>
      </c>
      <c r="I187" t="s">
        <v>22</v>
      </c>
      <c r="J187" t="s">
        <v>28</v>
      </c>
    </row>
    <row r="188" spans="1:10" x14ac:dyDescent="0.35">
      <c r="A188" t="s">
        <v>29</v>
      </c>
      <c r="B188">
        <v>35</v>
      </c>
      <c r="C188">
        <v>50000</v>
      </c>
      <c r="D188" t="s">
        <v>11</v>
      </c>
      <c r="E188" t="s">
        <v>26</v>
      </c>
      <c r="F188" t="s">
        <v>13</v>
      </c>
      <c r="G188">
        <v>43845</v>
      </c>
      <c r="H188" t="s">
        <v>41</v>
      </c>
      <c r="I188" t="s">
        <v>32</v>
      </c>
      <c r="J188" t="s">
        <v>28</v>
      </c>
    </row>
    <row r="189" spans="1:10" x14ac:dyDescent="0.35">
      <c r="A189" t="s">
        <v>35</v>
      </c>
      <c r="B189">
        <v>50</v>
      </c>
      <c r="C189">
        <v>70000</v>
      </c>
      <c r="D189" t="s">
        <v>18</v>
      </c>
      <c r="E189" t="s">
        <v>26</v>
      </c>
      <c r="F189" t="s">
        <v>39</v>
      </c>
      <c r="G189" t="s">
        <v>40</v>
      </c>
      <c r="H189" t="s">
        <v>21</v>
      </c>
      <c r="I189" t="s">
        <v>22</v>
      </c>
      <c r="J189" t="s">
        <v>33</v>
      </c>
    </row>
    <row r="190" spans="1:10" x14ac:dyDescent="0.35">
      <c r="A190" t="s">
        <v>46</v>
      </c>
      <c r="B190">
        <v>25</v>
      </c>
      <c r="C190">
        <v>50000</v>
      </c>
      <c r="D190" t="s">
        <v>36</v>
      </c>
      <c r="E190" t="s">
        <v>30</v>
      </c>
      <c r="F190" t="s">
        <v>43</v>
      </c>
      <c r="G190">
        <v>43845</v>
      </c>
      <c r="H190" t="s">
        <v>27</v>
      </c>
      <c r="I190" t="s">
        <v>16</v>
      </c>
      <c r="J190" t="s">
        <v>16</v>
      </c>
    </row>
    <row r="191" spans="1:10" x14ac:dyDescent="0.35">
      <c r="A191" t="s">
        <v>10</v>
      </c>
      <c r="B191" t="s">
        <v>42</v>
      </c>
      <c r="C191" t="s">
        <v>34</v>
      </c>
      <c r="D191" t="s">
        <v>36</v>
      </c>
      <c r="E191" t="s">
        <v>30</v>
      </c>
      <c r="F191" t="s">
        <v>13</v>
      </c>
      <c r="G191">
        <v>43881</v>
      </c>
      <c r="H191" t="s">
        <v>31</v>
      </c>
      <c r="I191" t="s">
        <v>22</v>
      </c>
      <c r="J191" t="s">
        <v>28</v>
      </c>
    </row>
    <row r="192" spans="1:10" x14ac:dyDescent="0.35">
      <c r="A192" t="s">
        <v>17</v>
      </c>
      <c r="B192">
        <v>35</v>
      </c>
      <c r="C192">
        <v>70000</v>
      </c>
      <c r="D192" t="s">
        <v>18</v>
      </c>
      <c r="E192" t="s">
        <v>26</v>
      </c>
      <c r="F192" t="s">
        <v>20</v>
      </c>
      <c r="G192">
        <v>43195</v>
      </c>
      <c r="H192" t="s">
        <v>14</v>
      </c>
      <c r="I192" t="s">
        <v>16</v>
      </c>
      <c r="J192" t="s">
        <v>45</v>
      </c>
    </row>
    <row r="193" spans="1:10" x14ac:dyDescent="0.35">
      <c r="A193" t="s">
        <v>10</v>
      </c>
      <c r="B193">
        <v>25</v>
      </c>
      <c r="C193" t="s">
        <v>25</v>
      </c>
      <c r="D193" t="s">
        <v>18</v>
      </c>
      <c r="E193" t="s">
        <v>12</v>
      </c>
      <c r="F193" t="s">
        <v>43</v>
      </c>
      <c r="G193">
        <v>43845</v>
      </c>
      <c r="H193" t="s">
        <v>21</v>
      </c>
      <c r="I193" t="s">
        <v>16</v>
      </c>
      <c r="J193" t="s">
        <v>45</v>
      </c>
    </row>
    <row r="194" spans="1:10" x14ac:dyDescent="0.35">
      <c r="A194" t="s">
        <v>24</v>
      </c>
      <c r="B194">
        <v>50</v>
      </c>
      <c r="C194">
        <v>65000</v>
      </c>
      <c r="D194" t="s">
        <v>11</v>
      </c>
      <c r="E194" t="s">
        <v>19</v>
      </c>
      <c r="F194" t="s">
        <v>44</v>
      </c>
      <c r="G194">
        <v>43549</v>
      </c>
      <c r="H194" t="s">
        <v>14</v>
      </c>
      <c r="I194" t="s">
        <v>16</v>
      </c>
      <c r="J194" t="s">
        <v>23</v>
      </c>
    </row>
    <row r="195" spans="1:10" x14ac:dyDescent="0.35">
      <c r="A195" t="s">
        <v>48</v>
      </c>
      <c r="B195">
        <v>25</v>
      </c>
      <c r="C195" t="s">
        <v>25</v>
      </c>
      <c r="D195" t="s">
        <v>36</v>
      </c>
      <c r="E195" t="s">
        <v>19</v>
      </c>
      <c r="F195" t="s">
        <v>44</v>
      </c>
      <c r="G195">
        <v>43845</v>
      </c>
      <c r="H195" t="s">
        <v>31</v>
      </c>
      <c r="I195" t="s">
        <v>22</v>
      </c>
      <c r="J195" t="s">
        <v>33</v>
      </c>
    </row>
    <row r="196" spans="1:10" x14ac:dyDescent="0.35">
      <c r="A196" t="s">
        <v>46</v>
      </c>
      <c r="B196" t="s">
        <v>42</v>
      </c>
      <c r="C196">
        <v>55000</v>
      </c>
      <c r="D196" t="s">
        <v>11</v>
      </c>
      <c r="E196" t="s">
        <v>12</v>
      </c>
      <c r="F196" t="s">
        <v>44</v>
      </c>
      <c r="G196">
        <v>43195</v>
      </c>
      <c r="H196" t="s">
        <v>21</v>
      </c>
      <c r="I196" t="s">
        <v>32</v>
      </c>
      <c r="J196" t="s">
        <v>33</v>
      </c>
    </row>
    <row r="197" spans="1:10" x14ac:dyDescent="0.35">
      <c r="A197" t="s">
        <v>24</v>
      </c>
      <c r="B197">
        <v>40</v>
      </c>
      <c r="C197">
        <v>50000</v>
      </c>
      <c r="D197" t="s">
        <v>11</v>
      </c>
      <c r="E197" t="s">
        <v>19</v>
      </c>
      <c r="F197" t="s">
        <v>43</v>
      </c>
      <c r="G197" t="s">
        <v>40</v>
      </c>
      <c r="H197" t="s">
        <v>14</v>
      </c>
      <c r="I197" t="s">
        <v>22</v>
      </c>
      <c r="J197" t="s">
        <v>28</v>
      </c>
    </row>
    <row r="198" spans="1:10" x14ac:dyDescent="0.35">
      <c r="A198" t="s">
        <v>29</v>
      </c>
      <c r="B198">
        <v>25</v>
      </c>
      <c r="C198" t="s">
        <v>34</v>
      </c>
      <c r="D198" t="s">
        <v>11</v>
      </c>
      <c r="E198" t="s">
        <v>37</v>
      </c>
      <c r="F198" t="s">
        <v>43</v>
      </c>
      <c r="G198" t="s">
        <v>40</v>
      </c>
      <c r="H198" t="s">
        <v>14</v>
      </c>
      <c r="I198" t="s">
        <v>32</v>
      </c>
      <c r="J198" t="s">
        <v>16</v>
      </c>
    </row>
    <row r="199" spans="1:10" x14ac:dyDescent="0.35">
      <c r="A199" t="s">
        <v>17</v>
      </c>
      <c r="B199">
        <v>25</v>
      </c>
      <c r="C199">
        <v>70000</v>
      </c>
      <c r="D199" t="s">
        <v>36</v>
      </c>
      <c r="E199" t="s">
        <v>26</v>
      </c>
      <c r="F199" t="s">
        <v>43</v>
      </c>
      <c r="G199">
        <v>43195</v>
      </c>
      <c r="H199" t="s">
        <v>21</v>
      </c>
      <c r="I199" t="s">
        <v>32</v>
      </c>
      <c r="J199" t="s">
        <v>33</v>
      </c>
    </row>
    <row r="200" spans="1:10" x14ac:dyDescent="0.35">
      <c r="A200" t="s">
        <v>47</v>
      </c>
      <c r="B200">
        <v>50</v>
      </c>
      <c r="C200">
        <v>70000</v>
      </c>
      <c r="D200" t="s">
        <v>11</v>
      </c>
      <c r="E200" t="s">
        <v>26</v>
      </c>
      <c r="F200" t="s">
        <v>13</v>
      </c>
      <c r="G200">
        <v>43881</v>
      </c>
      <c r="H200" t="s">
        <v>31</v>
      </c>
      <c r="I200" t="s">
        <v>16</v>
      </c>
      <c r="J200" t="s">
        <v>28</v>
      </c>
    </row>
    <row r="201" spans="1:10" x14ac:dyDescent="0.35">
      <c r="A201" t="s">
        <v>46</v>
      </c>
      <c r="B201">
        <v>50</v>
      </c>
      <c r="C201">
        <v>50000</v>
      </c>
      <c r="D201" t="s">
        <v>11</v>
      </c>
      <c r="E201" t="s">
        <v>12</v>
      </c>
      <c r="F201" t="s">
        <v>13</v>
      </c>
      <c r="G201">
        <v>43881</v>
      </c>
      <c r="H201" t="s">
        <v>14</v>
      </c>
      <c r="I201" t="s">
        <v>22</v>
      </c>
      <c r="J201" t="s">
        <v>28</v>
      </c>
    </row>
    <row r="202" spans="1:10" x14ac:dyDescent="0.35">
      <c r="A202" t="s">
        <v>46</v>
      </c>
      <c r="B202">
        <v>35</v>
      </c>
      <c r="C202" t="s">
        <v>34</v>
      </c>
      <c r="D202" t="s">
        <v>11</v>
      </c>
      <c r="E202" t="s">
        <v>19</v>
      </c>
      <c r="F202" t="s">
        <v>44</v>
      </c>
      <c r="G202" t="s">
        <v>40</v>
      </c>
      <c r="H202" t="s">
        <v>27</v>
      </c>
      <c r="I202" t="s">
        <v>32</v>
      </c>
      <c r="J202" t="s">
        <v>33</v>
      </c>
    </row>
    <row r="203" spans="1:10" x14ac:dyDescent="0.35">
      <c r="A203" t="s">
        <v>48</v>
      </c>
      <c r="B203">
        <v>50</v>
      </c>
      <c r="C203">
        <v>50000</v>
      </c>
      <c r="D203" t="s">
        <v>11</v>
      </c>
      <c r="E203" t="s">
        <v>30</v>
      </c>
      <c r="F203" t="s">
        <v>39</v>
      </c>
      <c r="G203" t="s">
        <v>40</v>
      </c>
      <c r="H203" t="s">
        <v>21</v>
      </c>
      <c r="J203" t="s">
        <v>28</v>
      </c>
    </row>
    <row r="204" spans="1:10" x14ac:dyDescent="0.35">
      <c r="A204" t="s">
        <v>49</v>
      </c>
      <c r="B204" t="s">
        <v>16</v>
      </c>
      <c r="C204">
        <v>55000</v>
      </c>
      <c r="D204" t="s">
        <v>11</v>
      </c>
      <c r="E204" t="s">
        <v>30</v>
      </c>
      <c r="F204" t="s">
        <v>44</v>
      </c>
      <c r="G204">
        <v>43195</v>
      </c>
      <c r="H204" t="s">
        <v>41</v>
      </c>
      <c r="I204" t="s">
        <v>32</v>
      </c>
      <c r="J204" t="s">
        <v>23</v>
      </c>
    </row>
    <row r="205" spans="1:10" x14ac:dyDescent="0.35">
      <c r="A205" t="s">
        <v>46</v>
      </c>
      <c r="B205" t="s">
        <v>42</v>
      </c>
      <c r="C205" t="s">
        <v>25</v>
      </c>
      <c r="D205" t="s">
        <v>11</v>
      </c>
      <c r="E205" t="s">
        <v>19</v>
      </c>
      <c r="F205" t="s">
        <v>20</v>
      </c>
      <c r="G205">
        <v>43881</v>
      </c>
      <c r="H205" t="s">
        <v>41</v>
      </c>
      <c r="J205" t="s">
        <v>23</v>
      </c>
    </row>
    <row r="206" spans="1:10" x14ac:dyDescent="0.35">
      <c r="A206" t="s">
        <v>38</v>
      </c>
      <c r="B206" t="s">
        <v>42</v>
      </c>
      <c r="C206">
        <v>70000</v>
      </c>
      <c r="D206" t="s">
        <v>36</v>
      </c>
      <c r="E206" t="s">
        <v>30</v>
      </c>
      <c r="F206" t="s">
        <v>13</v>
      </c>
      <c r="G206" t="s">
        <v>40</v>
      </c>
      <c r="H206" t="s">
        <v>31</v>
      </c>
      <c r="I206" t="s">
        <v>22</v>
      </c>
      <c r="J206" t="s">
        <v>33</v>
      </c>
    </row>
    <row r="207" spans="1:10" x14ac:dyDescent="0.35">
      <c r="A207" t="s">
        <v>17</v>
      </c>
      <c r="B207">
        <v>40</v>
      </c>
      <c r="C207">
        <v>55000</v>
      </c>
      <c r="D207" t="s">
        <v>11</v>
      </c>
      <c r="E207" t="s">
        <v>12</v>
      </c>
      <c r="F207" t="s">
        <v>43</v>
      </c>
      <c r="G207">
        <v>43881</v>
      </c>
      <c r="H207" t="s">
        <v>27</v>
      </c>
      <c r="I207" t="s">
        <v>22</v>
      </c>
      <c r="J207" t="s">
        <v>16</v>
      </c>
    </row>
    <row r="208" spans="1:10" x14ac:dyDescent="0.35">
      <c r="A208" t="s">
        <v>17</v>
      </c>
      <c r="B208">
        <v>40</v>
      </c>
      <c r="C208" t="s">
        <v>25</v>
      </c>
      <c r="D208" t="s">
        <v>18</v>
      </c>
      <c r="E208" t="s">
        <v>12</v>
      </c>
      <c r="F208" t="s">
        <v>13</v>
      </c>
      <c r="G208" t="s">
        <v>40</v>
      </c>
      <c r="H208" t="s">
        <v>14</v>
      </c>
      <c r="I208" t="s">
        <v>22</v>
      </c>
      <c r="J208" t="s">
        <v>23</v>
      </c>
    </row>
    <row r="209" spans="1:10" x14ac:dyDescent="0.35">
      <c r="A209" t="s">
        <v>38</v>
      </c>
      <c r="B209" t="s">
        <v>42</v>
      </c>
      <c r="C209">
        <v>55000</v>
      </c>
      <c r="D209" t="s">
        <v>11</v>
      </c>
      <c r="E209" t="s">
        <v>19</v>
      </c>
      <c r="F209" t="s">
        <v>43</v>
      </c>
      <c r="G209">
        <v>43845</v>
      </c>
      <c r="H209" t="s">
        <v>41</v>
      </c>
      <c r="I209" t="s">
        <v>32</v>
      </c>
      <c r="J209" t="s">
        <v>23</v>
      </c>
    </row>
    <row r="210" spans="1:10" x14ac:dyDescent="0.35">
      <c r="A210" t="s">
        <v>35</v>
      </c>
      <c r="B210">
        <v>40</v>
      </c>
      <c r="C210" t="s">
        <v>34</v>
      </c>
      <c r="D210" t="s">
        <v>11</v>
      </c>
      <c r="E210" t="s">
        <v>30</v>
      </c>
      <c r="F210" t="s">
        <v>20</v>
      </c>
      <c r="G210">
        <v>43549</v>
      </c>
      <c r="H210" t="s">
        <v>31</v>
      </c>
      <c r="I210" t="s">
        <v>15</v>
      </c>
      <c r="J210" t="s">
        <v>33</v>
      </c>
    </row>
    <row r="211" spans="1:10" x14ac:dyDescent="0.35">
      <c r="A211" t="s">
        <v>38</v>
      </c>
      <c r="B211">
        <v>35</v>
      </c>
      <c r="C211">
        <v>70000</v>
      </c>
      <c r="D211" t="s">
        <v>36</v>
      </c>
      <c r="E211" t="s">
        <v>12</v>
      </c>
      <c r="F211" t="s">
        <v>20</v>
      </c>
      <c r="G211">
        <v>43845</v>
      </c>
      <c r="H211" t="s">
        <v>27</v>
      </c>
      <c r="I211" t="s">
        <v>32</v>
      </c>
      <c r="J211" t="s">
        <v>45</v>
      </c>
    </row>
    <row r="212" spans="1:10" x14ac:dyDescent="0.35">
      <c r="A212" t="s">
        <v>38</v>
      </c>
      <c r="B212">
        <v>50</v>
      </c>
      <c r="C212">
        <v>50000</v>
      </c>
      <c r="D212" t="s">
        <v>36</v>
      </c>
      <c r="E212" t="s">
        <v>12</v>
      </c>
      <c r="F212" t="s">
        <v>13</v>
      </c>
      <c r="G212" t="s">
        <v>40</v>
      </c>
      <c r="H212" t="s">
        <v>27</v>
      </c>
      <c r="I212" t="s">
        <v>32</v>
      </c>
      <c r="J212" t="s">
        <v>28</v>
      </c>
    </row>
    <row r="213" spans="1:10" x14ac:dyDescent="0.35">
      <c r="A213" t="s">
        <v>17</v>
      </c>
      <c r="B213" t="s">
        <v>42</v>
      </c>
      <c r="C213">
        <v>50000</v>
      </c>
      <c r="D213" t="s">
        <v>18</v>
      </c>
      <c r="E213" t="s">
        <v>37</v>
      </c>
      <c r="F213" t="s">
        <v>43</v>
      </c>
      <c r="G213">
        <v>43549</v>
      </c>
      <c r="H213" t="s">
        <v>31</v>
      </c>
      <c r="I213" t="s">
        <v>16</v>
      </c>
      <c r="J213" t="s">
        <v>23</v>
      </c>
    </row>
    <row r="214" spans="1:10" x14ac:dyDescent="0.35">
      <c r="A214" t="s">
        <v>10</v>
      </c>
      <c r="B214">
        <v>40</v>
      </c>
      <c r="C214" t="s">
        <v>25</v>
      </c>
      <c r="D214" t="s">
        <v>18</v>
      </c>
      <c r="E214" t="s">
        <v>37</v>
      </c>
      <c r="F214" t="s">
        <v>20</v>
      </c>
      <c r="G214">
        <v>43549</v>
      </c>
      <c r="H214" t="s">
        <v>31</v>
      </c>
      <c r="I214" t="s">
        <v>16</v>
      </c>
      <c r="J214" t="s">
        <v>45</v>
      </c>
    </row>
    <row r="215" spans="1:10" x14ac:dyDescent="0.35">
      <c r="A215" t="s">
        <v>17</v>
      </c>
      <c r="B215" t="s">
        <v>42</v>
      </c>
      <c r="C215">
        <v>65000</v>
      </c>
      <c r="D215" t="s">
        <v>36</v>
      </c>
      <c r="E215" t="s">
        <v>12</v>
      </c>
      <c r="F215" t="s">
        <v>44</v>
      </c>
      <c r="G215" t="s">
        <v>40</v>
      </c>
      <c r="H215" t="s">
        <v>14</v>
      </c>
      <c r="I215" t="s">
        <v>32</v>
      </c>
      <c r="J215" t="s">
        <v>16</v>
      </c>
    </row>
    <row r="216" spans="1:10" x14ac:dyDescent="0.35">
      <c r="A216" t="s">
        <v>49</v>
      </c>
      <c r="B216" t="s">
        <v>16</v>
      </c>
      <c r="C216" t="s">
        <v>34</v>
      </c>
      <c r="D216" t="s">
        <v>36</v>
      </c>
      <c r="E216" t="s">
        <v>19</v>
      </c>
      <c r="F216" t="s">
        <v>44</v>
      </c>
      <c r="G216" t="s">
        <v>40</v>
      </c>
      <c r="H216" t="s">
        <v>31</v>
      </c>
      <c r="J216" t="s">
        <v>45</v>
      </c>
    </row>
    <row r="217" spans="1:10" x14ac:dyDescent="0.35">
      <c r="A217" t="s">
        <v>48</v>
      </c>
      <c r="B217">
        <v>25</v>
      </c>
      <c r="C217" t="s">
        <v>25</v>
      </c>
      <c r="D217" t="s">
        <v>11</v>
      </c>
      <c r="E217" t="s">
        <v>26</v>
      </c>
      <c r="F217" t="s">
        <v>43</v>
      </c>
      <c r="G217">
        <v>43881</v>
      </c>
      <c r="H217" t="s">
        <v>14</v>
      </c>
      <c r="I217" t="s">
        <v>16</v>
      </c>
      <c r="J217" t="s">
        <v>33</v>
      </c>
    </row>
    <row r="218" spans="1:10" x14ac:dyDescent="0.35">
      <c r="A218" t="s">
        <v>24</v>
      </c>
      <c r="B218">
        <v>50</v>
      </c>
      <c r="C218">
        <v>65000</v>
      </c>
      <c r="D218" t="s">
        <v>36</v>
      </c>
      <c r="E218" t="s">
        <v>26</v>
      </c>
      <c r="F218" t="s">
        <v>13</v>
      </c>
      <c r="G218" t="s">
        <v>40</v>
      </c>
      <c r="H218" t="s">
        <v>14</v>
      </c>
      <c r="I218" t="s">
        <v>32</v>
      </c>
      <c r="J218" t="s">
        <v>16</v>
      </c>
    </row>
    <row r="219" spans="1:10" x14ac:dyDescent="0.35">
      <c r="A219" t="s">
        <v>10</v>
      </c>
      <c r="B219" t="s">
        <v>42</v>
      </c>
      <c r="C219">
        <v>55000</v>
      </c>
      <c r="D219" t="s">
        <v>18</v>
      </c>
      <c r="E219" t="s">
        <v>12</v>
      </c>
      <c r="F219" t="s">
        <v>20</v>
      </c>
      <c r="G219">
        <v>43195</v>
      </c>
      <c r="H219" t="s">
        <v>21</v>
      </c>
      <c r="I219" t="s">
        <v>15</v>
      </c>
      <c r="J219" t="s">
        <v>16</v>
      </c>
    </row>
    <row r="220" spans="1:10" x14ac:dyDescent="0.35">
      <c r="A220" t="s">
        <v>47</v>
      </c>
      <c r="B220">
        <v>25</v>
      </c>
      <c r="C220" t="s">
        <v>34</v>
      </c>
      <c r="D220" t="s">
        <v>11</v>
      </c>
      <c r="E220" t="s">
        <v>12</v>
      </c>
      <c r="F220" t="s">
        <v>13</v>
      </c>
      <c r="G220" t="s">
        <v>40</v>
      </c>
      <c r="H220" t="s">
        <v>27</v>
      </c>
      <c r="J220" t="s">
        <v>45</v>
      </c>
    </row>
    <row r="221" spans="1:10" x14ac:dyDescent="0.35">
      <c r="A221" t="s">
        <v>24</v>
      </c>
      <c r="B221">
        <v>40</v>
      </c>
      <c r="C221">
        <v>55000</v>
      </c>
      <c r="D221" t="s">
        <v>18</v>
      </c>
      <c r="E221" t="s">
        <v>12</v>
      </c>
      <c r="F221" t="s">
        <v>44</v>
      </c>
      <c r="G221">
        <v>43195</v>
      </c>
      <c r="H221" t="s">
        <v>27</v>
      </c>
      <c r="I221" t="s">
        <v>22</v>
      </c>
      <c r="J221" t="s">
        <v>33</v>
      </c>
    </row>
    <row r="222" spans="1:10" x14ac:dyDescent="0.35">
      <c r="A222" t="s">
        <v>48</v>
      </c>
      <c r="B222">
        <v>25</v>
      </c>
      <c r="C222">
        <v>70000</v>
      </c>
      <c r="D222" t="s">
        <v>11</v>
      </c>
      <c r="E222" t="s">
        <v>19</v>
      </c>
      <c r="F222" t="s">
        <v>20</v>
      </c>
      <c r="G222" t="s">
        <v>40</v>
      </c>
      <c r="H222" t="s">
        <v>27</v>
      </c>
      <c r="I222" t="s">
        <v>32</v>
      </c>
      <c r="J222" t="s">
        <v>23</v>
      </c>
    </row>
    <row r="223" spans="1:10" x14ac:dyDescent="0.35">
      <c r="A223" t="s">
        <v>49</v>
      </c>
      <c r="B223">
        <v>50</v>
      </c>
      <c r="C223" t="s">
        <v>34</v>
      </c>
      <c r="D223" t="s">
        <v>36</v>
      </c>
      <c r="E223" t="s">
        <v>37</v>
      </c>
      <c r="F223" t="s">
        <v>13</v>
      </c>
      <c r="G223">
        <v>43881</v>
      </c>
      <c r="H223" t="s">
        <v>21</v>
      </c>
      <c r="I223" t="s">
        <v>32</v>
      </c>
      <c r="J223" t="s">
        <v>45</v>
      </c>
    </row>
    <row r="224" spans="1:10" x14ac:dyDescent="0.35">
      <c r="A224" t="s">
        <v>49</v>
      </c>
      <c r="B224" t="s">
        <v>42</v>
      </c>
      <c r="C224">
        <v>65000</v>
      </c>
      <c r="D224" t="s">
        <v>18</v>
      </c>
      <c r="E224" t="s">
        <v>12</v>
      </c>
      <c r="F224" t="s">
        <v>39</v>
      </c>
      <c r="G224">
        <v>43195</v>
      </c>
      <c r="H224" t="s">
        <v>14</v>
      </c>
      <c r="J224" t="s">
        <v>23</v>
      </c>
    </row>
    <row r="225" spans="1:10" x14ac:dyDescent="0.35">
      <c r="A225" t="s">
        <v>47</v>
      </c>
      <c r="B225" t="s">
        <v>16</v>
      </c>
      <c r="C225">
        <v>70000</v>
      </c>
      <c r="D225" t="s">
        <v>11</v>
      </c>
      <c r="E225" t="s">
        <v>12</v>
      </c>
      <c r="F225" t="s">
        <v>43</v>
      </c>
      <c r="G225">
        <v>43845</v>
      </c>
      <c r="H225" t="s">
        <v>14</v>
      </c>
      <c r="I225" t="s">
        <v>16</v>
      </c>
      <c r="J225" t="s">
        <v>45</v>
      </c>
    </row>
    <row r="226" spans="1:10" x14ac:dyDescent="0.35">
      <c r="A226" t="s">
        <v>10</v>
      </c>
      <c r="B226">
        <v>40</v>
      </c>
      <c r="C226">
        <v>50000</v>
      </c>
      <c r="D226" t="s">
        <v>11</v>
      </c>
      <c r="E226" t="s">
        <v>30</v>
      </c>
      <c r="F226" t="s">
        <v>43</v>
      </c>
      <c r="G226">
        <v>43195</v>
      </c>
      <c r="H226" t="s">
        <v>31</v>
      </c>
      <c r="I226" t="s">
        <v>16</v>
      </c>
      <c r="J226" t="s">
        <v>23</v>
      </c>
    </row>
    <row r="227" spans="1:10" x14ac:dyDescent="0.35">
      <c r="A227" t="s">
        <v>35</v>
      </c>
      <c r="B227" t="s">
        <v>42</v>
      </c>
      <c r="C227">
        <v>65000</v>
      </c>
      <c r="D227" t="s">
        <v>36</v>
      </c>
      <c r="E227" t="s">
        <v>19</v>
      </c>
      <c r="F227" t="s">
        <v>39</v>
      </c>
      <c r="G227">
        <v>43881</v>
      </c>
      <c r="H227" t="s">
        <v>21</v>
      </c>
      <c r="I227" t="s">
        <v>16</v>
      </c>
      <c r="J227" t="s">
        <v>45</v>
      </c>
    </row>
    <row r="228" spans="1:10" x14ac:dyDescent="0.35">
      <c r="A228" t="s">
        <v>38</v>
      </c>
      <c r="B228">
        <v>50</v>
      </c>
      <c r="C228" t="s">
        <v>25</v>
      </c>
      <c r="D228" t="s">
        <v>36</v>
      </c>
      <c r="E228" t="s">
        <v>12</v>
      </c>
      <c r="F228" t="s">
        <v>44</v>
      </c>
      <c r="G228">
        <v>43195</v>
      </c>
      <c r="H228" t="s">
        <v>31</v>
      </c>
      <c r="I228" t="s">
        <v>22</v>
      </c>
      <c r="J228" t="s">
        <v>16</v>
      </c>
    </row>
    <row r="229" spans="1:10" x14ac:dyDescent="0.35">
      <c r="A229" t="s">
        <v>10</v>
      </c>
      <c r="B229">
        <v>40</v>
      </c>
      <c r="C229">
        <v>50000</v>
      </c>
      <c r="D229" t="s">
        <v>36</v>
      </c>
      <c r="E229" t="s">
        <v>30</v>
      </c>
      <c r="F229" t="s">
        <v>20</v>
      </c>
      <c r="G229" t="s">
        <v>40</v>
      </c>
      <c r="H229" t="s">
        <v>21</v>
      </c>
      <c r="J229" t="s">
        <v>28</v>
      </c>
    </row>
    <row r="230" spans="1:10" x14ac:dyDescent="0.35">
      <c r="A230" t="s">
        <v>35</v>
      </c>
      <c r="B230">
        <v>35</v>
      </c>
      <c r="C230">
        <v>50000</v>
      </c>
      <c r="D230" t="s">
        <v>18</v>
      </c>
      <c r="E230" t="s">
        <v>26</v>
      </c>
      <c r="F230" t="s">
        <v>43</v>
      </c>
      <c r="G230" t="s">
        <v>40</v>
      </c>
      <c r="H230" t="s">
        <v>31</v>
      </c>
      <c r="J230" t="s">
        <v>16</v>
      </c>
    </row>
    <row r="231" spans="1:10" x14ac:dyDescent="0.35">
      <c r="A231" t="s">
        <v>49</v>
      </c>
      <c r="B231">
        <v>25</v>
      </c>
      <c r="C231" t="s">
        <v>25</v>
      </c>
      <c r="D231" t="s">
        <v>11</v>
      </c>
      <c r="E231" t="s">
        <v>12</v>
      </c>
      <c r="F231" t="s">
        <v>39</v>
      </c>
      <c r="G231">
        <v>43881</v>
      </c>
      <c r="H231" t="s">
        <v>41</v>
      </c>
      <c r="I231" t="s">
        <v>16</v>
      </c>
      <c r="J231" t="s">
        <v>23</v>
      </c>
    </row>
    <row r="232" spans="1:10" x14ac:dyDescent="0.35">
      <c r="A232" t="s">
        <v>17</v>
      </c>
      <c r="B232">
        <v>50</v>
      </c>
      <c r="C232" t="s">
        <v>34</v>
      </c>
      <c r="D232" t="s">
        <v>36</v>
      </c>
      <c r="E232" t="s">
        <v>12</v>
      </c>
      <c r="F232" t="s">
        <v>39</v>
      </c>
      <c r="G232">
        <v>43549</v>
      </c>
      <c r="H232" t="s">
        <v>27</v>
      </c>
      <c r="I232" t="s">
        <v>16</v>
      </c>
      <c r="J232" t="s">
        <v>33</v>
      </c>
    </row>
    <row r="233" spans="1:10" x14ac:dyDescent="0.35">
      <c r="A233" t="s">
        <v>48</v>
      </c>
      <c r="B233">
        <v>35</v>
      </c>
      <c r="C233">
        <v>50000</v>
      </c>
      <c r="D233" t="s">
        <v>18</v>
      </c>
      <c r="E233" t="s">
        <v>30</v>
      </c>
      <c r="F233" t="s">
        <v>44</v>
      </c>
      <c r="G233" t="s">
        <v>40</v>
      </c>
      <c r="H233" t="s">
        <v>27</v>
      </c>
      <c r="I233" t="s">
        <v>15</v>
      </c>
      <c r="J233" t="s">
        <v>16</v>
      </c>
    </row>
    <row r="234" spans="1:10" x14ac:dyDescent="0.35">
      <c r="A234" t="s">
        <v>47</v>
      </c>
      <c r="B234" t="s">
        <v>42</v>
      </c>
      <c r="C234">
        <v>65000</v>
      </c>
      <c r="D234" t="s">
        <v>18</v>
      </c>
      <c r="E234" t="s">
        <v>19</v>
      </c>
      <c r="F234" t="s">
        <v>44</v>
      </c>
      <c r="G234">
        <v>43845</v>
      </c>
      <c r="H234" t="s">
        <v>14</v>
      </c>
      <c r="I234" t="s">
        <v>15</v>
      </c>
      <c r="J234" t="s">
        <v>28</v>
      </c>
    </row>
    <row r="235" spans="1:10" x14ac:dyDescent="0.35">
      <c r="A235" t="s">
        <v>48</v>
      </c>
      <c r="B235" t="s">
        <v>16</v>
      </c>
      <c r="C235">
        <v>70000</v>
      </c>
      <c r="D235" t="s">
        <v>18</v>
      </c>
      <c r="E235" t="s">
        <v>12</v>
      </c>
      <c r="F235" t="s">
        <v>13</v>
      </c>
      <c r="G235">
        <v>43881</v>
      </c>
      <c r="H235" t="s">
        <v>41</v>
      </c>
      <c r="I235" t="s">
        <v>32</v>
      </c>
      <c r="J235" t="s">
        <v>23</v>
      </c>
    </row>
    <row r="236" spans="1:10" x14ac:dyDescent="0.35">
      <c r="A236" t="s">
        <v>29</v>
      </c>
      <c r="B236">
        <v>40</v>
      </c>
      <c r="C236">
        <v>50000</v>
      </c>
      <c r="D236" t="s">
        <v>36</v>
      </c>
      <c r="E236" t="s">
        <v>26</v>
      </c>
      <c r="F236" t="s">
        <v>43</v>
      </c>
      <c r="G236">
        <v>43195</v>
      </c>
      <c r="H236" t="s">
        <v>27</v>
      </c>
      <c r="I236" t="s">
        <v>32</v>
      </c>
      <c r="J236" t="s">
        <v>16</v>
      </c>
    </row>
    <row r="237" spans="1:10" x14ac:dyDescent="0.35">
      <c r="A237" t="s">
        <v>29</v>
      </c>
      <c r="B237">
        <v>25</v>
      </c>
      <c r="C237">
        <v>65000</v>
      </c>
      <c r="D237" t="s">
        <v>36</v>
      </c>
      <c r="E237" t="s">
        <v>12</v>
      </c>
      <c r="F237" t="s">
        <v>13</v>
      </c>
      <c r="G237">
        <v>43195</v>
      </c>
      <c r="H237" t="s">
        <v>14</v>
      </c>
      <c r="J237" t="s">
        <v>45</v>
      </c>
    </row>
    <row r="238" spans="1:10" x14ac:dyDescent="0.35">
      <c r="A238" t="s">
        <v>10</v>
      </c>
      <c r="B238">
        <v>40</v>
      </c>
      <c r="C238">
        <v>55000</v>
      </c>
      <c r="D238" t="s">
        <v>11</v>
      </c>
      <c r="E238" t="s">
        <v>26</v>
      </c>
      <c r="F238" t="s">
        <v>39</v>
      </c>
      <c r="G238">
        <v>43845</v>
      </c>
      <c r="H238" t="s">
        <v>41</v>
      </c>
      <c r="J238" t="s">
        <v>33</v>
      </c>
    </row>
    <row r="239" spans="1:10" x14ac:dyDescent="0.35">
      <c r="A239" t="s">
        <v>49</v>
      </c>
      <c r="B239" t="s">
        <v>42</v>
      </c>
      <c r="C239">
        <v>65000</v>
      </c>
      <c r="D239" t="s">
        <v>11</v>
      </c>
      <c r="E239" t="s">
        <v>37</v>
      </c>
      <c r="F239" t="s">
        <v>20</v>
      </c>
      <c r="G239" t="s">
        <v>40</v>
      </c>
      <c r="H239" t="s">
        <v>27</v>
      </c>
      <c r="I239" t="s">
        <v>22</v>
      </c>
      <c r="J239" t="s">
        <v>23</v>
      </c>
    </row>
    <row r="240" spans="1:10" x14ac:dyDescent="0.35">
      <c r="A240" t="s">
        <v>49</v>
      </c>
      <c r="B240">
        <v>40</v>
      </c>
      <c r="C240">
        <v>70000</v>
      </c>
      <c r="D240" t="s">
        <v>36</v>
      </c>
      <c r="E240" t="s">
        <v>37</v>
      </c>
      <c r="F240" t="s">
        <v>20</v>
      </c>
      <c r="G240">
        <v>43881</v>
      </c>
      <c r="H240" t="s">
        <v>31</v>
      </c>
      <c r="I240" t="s">
        <v>22</v>
      </c>
      <c r="J240" t="s">
        <v>16</v>
      </c>
    </row>
    <row r="241" spans="1:10" x14ac:dyDescent="0.35">
      <c r="A241" t="s">
        <v>38</v>
      </c>
      <c r="B241">
        <v>25</v>
      </c>
      <c r="C241">
        <v>65000</v>
      </c>
      <c r="D241" t="s">
        <v>18</v>
      </c>
      <c r="E241" t="s">
        <v>26</v>
      </c>
      <c r="F241" t="s">
        <v>44</v>
      </c>
      <c r="G241">
        <v>43845</v>
      </c>
      <c r="H241" t="s">
        <v>21</v>
      </c>
      <c r="I241" t="s">
        <v>15</v>
      </c>
      <c r="J241" t="s">
        <v>23</v>
      </c>
    </row>
    <row r="242" spans="1:10" x14ac:dyDescent="0.35">
      <c r="A242" t="s">
        <v>38</v>
      </c>
      <c r="B242" t="s">
        <v>42</v>
      </c>
      <c r="C242" t="s">
        <v>25</v>
      </c>
      <c r="D242" t="s">
        <v>18</v>
      </c>
      <c r="E242" t="s">
        <v>19</v>
      </c>
      <c r="F242" t="s">
        <v>20</v>
      </c>
      <c r="G242" t="s">
        <v>40</v>
      </c>
      <c r="H242" t="s">
        <v>41</v>
      </c>
      <c r="I242" t="s">
        <v>32</v>
      </c>
      <c r="J242" t="s">
        <v>45</v>
      </c>
    </row>
    <row r="243" spans="1:10" x14ac:dyDescent="0.35">
      <c r="A243" t="s">
        <v>38</v>
      </c>
      <c r="B243">
        <v>40</v>
      </c>
      <c r="C243">
        <v>70000</v>
      </c>
      <c r="D243" t="s">
        <v>18</v>
      </c>
      <c r="E243" t="s">
        <v>12</v>
      </c>
      <c r="F243" t="s">
        <v>20</v>
      </c>
      <c r="G243">
        <v>43881</v>
      </c>
      <c r="H243" t="s">
        <v>14</v>
      </c>
      <c r="I243" t="s">
        <v>15</v>
      </c>
      <c r="J243" t="s">
        <v>28</v>
      </c>
    </row>
    <row r="244" spans="1:10" x14ac:dyDescent="0.35">
      <c r="A244" t="s">
        <v>17</v>
      </c>
      <c r="B244" t="s">
        <v>16</v>
      </c>
      <c r="C244" t="s">
        <v>34</v>
      </c>
      <c r="D244" t="s">
        <v>11</v>
      </c>
      <c r="E244" t="s">
        <v>12</v>
      </c>
      <c r="F244" t="s">
        <v>20</v>
      </c>
      <c r="G244">
        <v>43195</v>
      </c>
      <c r="H244" t="s">
        <v>41</v>
      </c>
      <c r="I244" t="s">
        <v>15</v>
      </c>
      <c r="J244" t="s">
        <v>16</v>
      </c>
    </row>
    <row r="245" spans="1:10" x14ac:dyDescent="0.35">
      <c r="A245" t="s">
        <v>24</v>
      </c>
      <c r="B245">
        <v>50</v>
      </c>
      <c r="C245">
        <v>55000</v>
      </c>
      <c r="D245" t="s">
        <v>18</v>
      </c>
      <c r="E245" t="s">
        <v>37</v>
      </c>
      <c r="F245" t="s">
        <v>39</v>
      </c>
      <c r="G245">
        <v>43881</v>
      </c>
      <c r="H245" t="s">
        <v>14</v>
      </c>
      <c r="I245" t="s">
        <v>32</v>
      </c>
      <c r="J245" t="s">
        <v>23</v>
      </c>
    </row>
    <row r="246" spans="1:10" x14ac:dyDescent="0.35">
      <c r="A246" t="s">
        <v>46</v>
      </c>
      <c r="B246" t="s">
        <v>42</v>
      </c>
      <c r="C246" t="s">
        <v>25</v>
      </c>
      <c r="D246" t="s">
        <v>11</v>
      </c>
      <c r="E246" t="s">
        <v>26</v>
      </c>
      <c r="F246" t="s">
        <v>20</v>
      </c>
      <c r="G246">
        <v>43549</v>
      </c>
      <c r="H246" t="s">
        <v>41</v>
      </c>
      <c r="I246" t="s">
        <v>22</v>
      </c>
      <c r="J246" t="s">
        <v>23</v>
      </c>
    </row>
    <row r="247" spans="1:10" x14ac:dyDescent="0.35">
      <c r="A247" t="s">
        <v>24</v>
      </c>
      <c r="B247">
        <v>50</v>
      </c>
      <c r="C247" t="s">
        <v>34</v>
      </c>
      <c r="D247" t="s">
        <v>11</v>
      </c>
      <c r="E247" t="s">
        <v>12</v>
      </c>
      <c r="F247" t="s">
        <v>20</v>
      </c>
      <c r="G247">
        <v>43881</v>
      </c>
      <c r="H247" t="s">
        <v>14</v>
      </c>
      <c r="I247" t="s">
        <v>32</v>
      </c>
      <c r="J247" t="s">
        <v>23</v>
      </c>
    </row>
    <row r="248" spans="1:10" x14ac:dyDescent="0.35">
      <c r="A248" t="s">
        <v>48</v>
      </c>
      <c r="B248" t="s">
        <v>42</v>
      </c>
      <c r="C248">
        <v>65000</v>
      </c>
      <c r="D248" t="s">
        <v>18</v>
      </c>
      <c r="E248" t="s">
        <v>12</v>
      </c>
      <c r="F248" t="s">
        <v>20</v>
      </c>
      <c r="G248">
        <v>43549</v>
      </c>
      <c r="H248" t="s">
        <v>27</v>
      </c>
      <c r="I248" t="s">
        <v>16</v>
      </c>
      <c r="J248" t="s">
        <v>28</v>
      </c>
    </row>
    <row r="249" spans="1:10" x14ac:dyDescent="0.35">
      <c r="A249" t="s">
        <v>24</v>
      </c>
      <c r="B249" t="s">
        <v>16</v>
      </c>
      <c r="C249">
        <v>70000</v>
      </c>
      <c r="D249" t="s">
        <v>18</v>
      </c>
      <c r="E249" t="s">
        <v>19</v>
      </c>
      <c r="F249" t="s">
        <v>13</v>
      </c>
      <c r="G249">
        <v>43881</v>
      </c>
      <c r="H249" t="s">
        <v>31</v>
      </c>
      <c r="I249" t="s">
        <v>16</v>
      </c>
      <c r="J249" t="s">
        <v>23</v>
      </c>
    </row>
    <row r="250" spans="1:10" x14ac:dyDescent="0.35">
      <c r="A250" t="s">
        <v>17</v>
      </c>
      <c r="B250">
        <v>50</v>
      </c>
      <c r="C250">
        <v>55000</v>
      </c>
      <c r="D250" t="s">
        <v>36</v>
      </c>
      <c r="E250" t="s">
        <v>30</v>
      </c>
      <c r="F250" t="s">
        <v>39</v>
      </c>
      <c r="G250">
        <v>43549</v>
      </c>
      <c r="H250" t="s">
        <v>27</v>
      </c>
      <c r="I250" t="s">
        <v>16</v>
      </c>
      <c r="J250" t="s">
        <v>33</v>
      </c>
    </row>
    <row r="251" spans="1:10" x14ac:dyDescent="0.35">
      <c r="A251" t="s">
        <v>48</v>
      </c>
      <c r="B251">
        <v>35</v>
      </c>
      <c r="C251" t="s">
        <v>25</v>
      </c>
      <c r="D251" t="s">
        <v>36</v>
      </c>
      <c r="E251" t="s">
        <v>37</v>
      </c>
      <c r="F251" t="s">
        <v>44</v>
      </c>
      <c r="G251">
        <v>43195</v>
      </c>
      <c r="H251" t="s">
        <v>31</v>
      </c>
      <c r="J251" t="s">
        <v>33</v>
      </c>
    </row>
    <row r="252" spans="1:10" x14ac:dyDescent="0.35">
      <c r="A252" t="s">
        <v>24</v>
      </c>
      <c r="B252">
        <v>25</v>
      </c>
      <c r="C252" t="s">
        <v>34</v>
      </c>
      <c r="D252" t="s">
        <v>18</v>
      </c>
      <c r="E252" t="s">
        <v>37</v>
      </c>
      <c r="F252" t="s">
        <v>13</v>
      </c>
      <c r="G252" t="s">
        <v>40</v>
      </c>
      <c r="H252" t="s">
        <v>27</v>
      </c>
      <c r="I252" t="s">
        <v>22</v>
      </c>
      <c r="J252" t="s">
        <v>23</v>
      </c>
    </row>
    <row r="253" spans="1:10" x14ac:dyDescent="0.35">
      <c r="A253" t="s">
        <v>17</v>
      </c>
      <c r="B253">
        <v>35</v>
      </c>
      <c r="C253" t="s">
        <v>34</v>
      </c>
      <c r="D253" t="s">
        <v>11</v>
      </c>
      <c r="E253" t="s">
        <v>30</v>
      </c>
      <c r="F253" t="s">
        <v>43</v>
      </c>
      <c r="G253">
        <v>43549</v>
      </c>
      <c r="H253" t="s">
        <v>27</v>
      </c>
      <c r="I253" t="s">
        <v>22</v>
      </c>
      <c r="J253" t="s">
        <v>33</v>
      </c>
    </row>
    <row r="254" spans="1:10" x14ac:dyDescent="0.35">
      <c r="A254" t="s">
        <v>46</v>
      </c>
      <c r="B254">
        <v>40</v>
      </c>
      <c r="C254">
        <v>55000</v>
      </c>
      <c r="D254" t="s">
        <v>11</v>
      </c>
      <c r="E254" t="s">
        <v>12</v>
      </c>
      <c r="F254" t="s">
        <v>39</v>
      </c>
      <c r="G254">
        <v>43549</v>
      </c>
      <c r="H254" t="s">
        <v>41</v>
      </c>
      <c r="J254" t="s">
        <v>16</v>
      </c>
    </row>
    <row r="255" spans="1:10" x14ac:dyDescent="0.35">
      <c r="A255" t="s">
        <v>24</v>
      </c>
      <c r="B255" t="s">
        <v>16</v>
      </c>
      <c r="C255">
        <v>65000</v>
      </c>
      <c r="D255" t="s">
        <v>11</v>
      </c>
      <c r="E255" t="s">
        <v>19</v>
      </c>
      <c r="F255" t="s">
        <v>39</v>
      </c>
      <c r="G255">
        <v>43195</v>
      </c>
      <c r="H255" t="s">
        <v>21</v>
      </c>
      <c r="I255" t="s">
        <v>15</v>
      </c>
      <c r="J255" t="s">
        <v>33</v>
      </c>
    </row>
    <row r="256" spans="1:10" x14ac:dyDescent="0.35">
      <c r="A256" t="s">
        <v>17</v>
      </c>
      <c r="B256">
        <v>35</v>
      </c>
      <c r="C256">
        <v>55000</v>
      </c>
      <c r="D256" t="s">
        <v>11</v>
      </c>
      <c r="E256" t="s">
        <v>19</v>
      </c>
      <c r="F256" t="s">
        <v>43</v>
      </c>
      <c r="G256">
        <v>43549</v>
      </c>
      <c r="H256" t="s">
        <v>14</v>
      </c>
      <c r="I256" t="s">
        <v>16</v>
      </c>
      <c r="J256" t="s">
        <v>23</v>
      </c>
    </row>
    <row r="257" spans="1:10" x14ac:dyDescent="0.35">
      <c r="A257" t="s">
        <v>38</v>
      </c>
      <c r="B257" t="s">
        <v>42</v>
      </c>
      <c r="C257" t="s">
        <v>34</v>
      </c>
      <c r="D257" t="s">
        <v>11</v>
      </c>
      <c r="E257" t="s">
        <v>37</v>
      </c>
      <c r="F257" t="s">
        <v>43</v>
      </c>
      <c r="G257">
        <v>43845</v>
      </c>
      <c r="H257" t="s">
        <v>14</v>
      </c>
      <c r="I257" t="s">
        <v>16</v>
      </c>
      <c r="J257" t="s">
        <v>45</v>
      </c>
    </row>
    <row r="258" spans="1:10" x14ac:dyDescent="0.35">
      <c r="A258" t="s">
        <v>49</v>
      </c>
      <c r="B258">
        <v>40</v>
      </c>
      <c r="C258">
        <v>50000</v>
      </c>
      <c r="D258" t="s">
        <v>36</v>
      </c>
      <c r="E258" t="s">
        <v>19</v>
      </c>
      <c r="F258" t="s">
        <v>43</v>
      </c>
      <c r="G258">
        <v>43195</v>
      </c>
      <c r="H258" t="s">
        <v>14</v>
      </c>
      <c r="I258" t="s">
        <v>15</v>
      </c>
      <c r="J258" t="s">
        <v>16</v>
      </c>
    </row>
    <row r="259" spans="1:10" x14ac:dyDescent="0.35">
      <c r="A259" t="s">
        <v>38</v>
      </c>
      <c r="B259">
        <v>40</v>
      </c>
      <c r="C259" t="s">
        <v>25</v>
      </c>
      <c r="D259" t="s">
        <v>18</v>
      </c>
      <c r="E259" t="s">
        <v>30</v>
      </c>
      <c r="F259" t="s">
        <v>44</v>
      </c>
      <c r="G259">
        <v>43845</v>
      </c>
      <c r="H259" t="s">
        <v>31</v>
      </c>
      <c r="I259" t="s">
        <v>32</v>
      </c>
      <c r="J259" t="s">
        <v>28</v>
      </c>
    </row>
    <row r="260" spans="1:10" x14ac:dyDescent="0.35">
      <c r="A260" t="s">
        <v>49</v>
      </c>
      <c r="B260">
        <v>35</v>
      </c>
      <c r="C260">
        <v>55000</v>
      </c>
      <c r="D260" t="s">
        <v>36</v>
      </c>
      <c r="E260" t="s">
        <v>12</v>
      </c>
      <c r="F260" t="s">
        <v>20</v>
      </c>
      <c r="G260">
        <v>43195</v>
      </c>
      <c r="H260" t="s">
        <v>14</v>
      </c>
      <c r="I260" t="s">
        <v>32</v>
      </c>
      <c r="J260" t="s">
        <v>23</v>
      </c>
    </row>
    <row r="261" spans="1:10" x14ac:dyDescent="0.35">
      <c r="A261" t="s">
        <v>47</v>
      </c>
      <c r="B261">
        <v>35</v>
      </c>
      <c r="C261" t="s">
        <v>34</v>
      </c>
      <c r="D261" t="s">
        <v>11</v>
      </c>
      <c r="E261" t="s">
        <v>30</v>
      </c>
      <c r="F261" t="s">
        <v>39</v>
      </c>
      <c r="G261">
        <v>43549</v>
      </c>
      <c r="H261" t="s">
        <v>14</v>
      </c>
      <c r="I261" t="s">
        <v>22</v>
      </c>
      <c r="J261" t="s">
        <v>28</v>
      </c>
    </row>
    <row r="262" spans="1:10" x14ac:dyDescent="0.35">
      <c r="A262" t="s">
        <v>47</v>
      </c>
      <c r="B262" t="s">
        <v>16</v>
      </c>
      <c r="C262">
        <v>65000</v>
      </c>
      <c r="D262" t="s">
        <v>11</v>
      </c>
      <c r="E262" t="s">
        <v>26</v>
      </c>
      <c r="F262" t="s">
        <v>20</v>
      </c>
      <c r="G262">
        <v>43845</v>
      </c>
      <c r="H262" t="s">
        <v>41</v>
      </c>
      <c r="J262" t="s">
        <v>45</v>
      </c>
    </row>
    <row r="263" spans="1:10" x14ac:dyDescent="0.35">
      <c r="A263" t="s">
        <v>47</v>
      </c>
      <c r="B263">
        <v>25</v>
      </c>
      <c r="C263" t="s">
        <v>34</v>
      </c>
      <c r="D263" t="s">
        <v>11</v>
      </c>
      <c r="E263" t="s">
        <v>37</v>
      </c>
      <c r="F263" t="s">
        <v>20</v>
      </c>
      <c r="G263">
        <v>43549</v>
      </c>
      <c r="H263" t="s">
        <v>27</v>
      </c>
      <c r="I263" t="s">
        <v>22</v>
      </c>
      <c r="J263" t="s">
        <v>28</v>
      </c>
    </row>
    <row r="264" spans="1:10" x14ac:dyDescent="0.35">
      <c r="A264" t="s">
        <v>46</v>
      </c>
      <c r="B264">
        <v>35</v>
      </c>
      <c r="C264">
        <v>65000</v>
      </c>
      <c r="D264" t="s">
        <v>11</v>
      </c>
      <c r="E264" t="s">
        <v>19</v>
      </c>
      <c r="F264" t="s">
        <v>43</v>
      </c>
      <c r="G264">
        <v>43195</v>
      </c>
      <c r="H264" t="s">
        <v>14</v>
      </c>
      <c r="I264" t="s">
        <v>32</v>
      </c>
      <c r="J264" t="s">
        <v>23</v>
      </c>
    </row>
    <row r="265" spans="1:10" x14ac:dyDescent="0.35">
      <c r="A265" t="s">
        <v>38</v>
      </c>
      <c r="B265">
        <v>35</v>
      </c>
      <c r="C265">
        <v>55000</v>
      </c>
      <c r="D265" t="s">
        <v>18</v>
      </c>
      <c r="E265" t="s">
        <v>26</v>
      </c>
      <c r="F265" t="s">
        <v>44</v>
      </c>
      <c r="G265">
        <v>43549</v>
      </c>
      <c r="H265" t="s">
        <v>21</v>
      </c>
      <c r="I265" t="s">
        <v>15</v>
      </c>
      <c r="J265" t="s">
        <v>23</v>
      </c>
    </row>
    <row r="266" spans="1:10" x14ac:dyDescent="0.35">
      <c r="A266" t="s">
        <v>49</v>
      </c>
      <c r="B266">
        <v>50</v>
      </c>
      <c r="C266">
        <v>65000</v>
      </c>
      <c r="D266" t="s">
        <v>11</v>
      </c>
      <c r="E266" t="s">
        <v>19</v>
      </c>
      <c r="F266" t="s">
        <v>13</v>
      </c>
      <c r="G266">
        <v>43845</v>
      </c>
      <c r="H266" t="s">
        <v>14</v>
      </c>
      <c r="I266" t="s">
        <v>22</v>
      </c>
      <c r="J266" t="s">
        <v>45</v>
      </c>
    </row>
    <row r="267" spans="1:10" x14ac:dyDescent="0.35">
      <c r="A267" t="s">
        <v>17</v>
      </c>
      <c r="B267" t="s">
        <v>42</v>
      </c>
      <c r="C267">
        <v>70000</v>
      </c>
      <c r="D267" t="s">
        <v>18</v>
      </c>
      <c r="E267" t="s">
        <v>12</v>
      </c>
      <c r="F267" t="s">
        <v>44</v>
      </c>
      <c r="G267">
        <v>43845</v>
      </c>
      <c r="H267" t="s">
        <v>31</v>
      </c>
      <c r="I267" t="s">
        <v>16</v>
      </c>
      <c r="J267" t="s">
        <v>23</v>
      </c>
    </row>
    <row r="268" spans="1:10" x14ac:dyDescent="0.35">
      <c r="A268" t="s">
        <v>48</v>
      </c>
      <c r="B268">
        <v>50</v>
      </c>
      <c r="C268">
        <v>70000</v>
      </c>
      <c r="D268" t="s">
        <v>11</v>
      </c>
      <c r="E268" t="s">
        <v>12</v>
      </c>
      <c r="F268" t="s">
        <v>20</v>
      </c>
      <c r="G268">
        <v>43549</v>
      </c>
      <c r="H268" t="s">
        <v>31</v>
      </c>
      <c r="I268" t="s">
        <v>16</v>
      </c>
      <c r="J268" t="s">
        <v>45</v>
      </c>
    </row>
    <row r="269" spans="1:10" x14ac:dyDescent="0.35">
      <c r="A269" t="s">
        <v>17</v>
      </c>
      <c r="B269">
        <v>50</v>
      </c>
      <c r="C269">
        <v>70000</v>
      </c>
      <c r="D269" t="s">
        <v>18</v>
      </c>
      <c r="E269" t="s">
        <v>12</v>
      </c>
      <c r="F269" t="s">
        <v>44</v>
      </c>
      <c r="G269">
        <v>43881</v>
      </c>
      <c r="H269" t="s">
        <v>31</v>
      </c>
      <c r="I269" t="s">
        <v>15</v>
      </c>
      <c r="J269" t="s">
        <v>45</v>
      </c>
    </row>
    <row r="270" spans="1:10" x14ac:dyDescent="0.35">
      <c r="A270" t="s">
        <v>48</v>
      </c>
      <c r="B270">
        <v>40</v>
      </c>
      <c r="C270">
        <v>50000</v>
      </c>
      <c r="D270" t="s">
        <v>36</v>
      </c>
      <c r="E270" t="s">
        <v>19</v>
      </c>
      <c r="F270" t="s">
        <v>43</v>
      </c>
      <c r="G270">
        <v>43195</v>
      </c>
      <c r="H270" t="s">
        <v>14</v>
      </c>
      <c r="I270" t="s">
        <v>32</v>
      </c>
      <c r="J270" t="s">
        <v>23</v>
      </c>
    </row>
    <row r="271" spans="1:10" x14ac:dyDescent="0.35">
      <c r="A271" t="s">
        <v>29</v>
      </c>
      <c r="B271">
        <v>25</v>
      </c>
      <c r="C271">
        <v>55000</v>
      </c>
      <c r="D271" t="s">
        <v>11</v>
      </c>
      <c r="E271" t="s">
        <v>26</v>
      </c>
      <c r="F271" t="s">
        <v>13</v>
      </c>
      <c r="G271">
        <v>43195</v>
      </c>
      <c r="H271" t="s">
        <v>41</v>
      </c>
      <c r="I271" t="s">
        <v>16</v>
      </c>
      <c r="J271" t="s">
        <v>33</v>
      </c>
    </row>
    <row r="272" spans="1:10" x14ac:dyDescent="0.35">
      <c r="A272" t="s">
        <v>17</v>
      </c>
      <c r="B272" t="s">
        <v>42</v>
      </c>
      <c r="C272" t="s">
        <v>34</v>
      </c>
      <c r="D272" t="s">
        <v>18</v>
      </c>
      <c r="E272" t="s">
        <v>12</v>
      </c>
      <c r="F272" t="s">
        <v>43</v>
      </c>
      <c r="G272">
        <v>43549</v>
      </c>
      <c r="H272" t="s">
        <v>21</v>
      </c>
      <c r="I272" t="s">
        <v>16</v>
      </c>
      <c r="J272" t="s">
        <v>45</v>
      </c>
    </row>
    <row r="273" spans="1:10" x14ac:dyDescent="0.35">
      <c r="A273" t="s">
        <v>24</v>
      </c>
      <c r="B273" t="s">
        <v>16</v>
      </c>
      <c r="C273" t="s">
        <v>34</v>
      </c>
      <c r="D273" t="s">
        <v>36</v>
      </c>
      <c r="E273" t="s">
        <v>26</v>
      </c>
      <c r="F273" t="s">
        <v>13</v>
      </c>
      <c r="G273">
        <v>43881</v>
      </c>
      <c r="H273" t="s">
        <v>14</v>
      </c>
      <c r="J273" t="s">
        <v>23</v>
      </c>
    </row>
    <row r="274" spans="1:10" x14ac:dyDescent="0.35">
      <c r="A274" t="s">
        <v>24</v>
      </c>
      <c r="B274" t="s">
        <v>16</v>
      </c>
      <c r="C274">
        <v>50000</v>
      </c>
      <c r="D274" t="s">
        <v>11</v>
      </c>
      <c r="E274" t="s">
        <v>19</v>
      </c>
      <c r="F274" t="s">
        <v>20</v>
      </c>
      <c r="G274">
        <v>43845</v>
      </c>
      <c r="H274" t="s">
        <v>41</v>
      </c>
      <c r="I274" t="s">
        <v>22</v>
      </c>
      <c r="J274" t="s">
        <v>33</v>
      </c>
    </row>
    <row r="275" spans="1:10" x14ac:dyDescent="0.35">
      <c r="A275" t="s">
        <v>10</v>
      </c>
      <c r="B275">
        <v>35</v>
      </c>
      <c r="C275">
        <v>65000</v>
      </c>
      <c r="D275" t="s">
        <v>11</v>
      </c>
      <c r="E275" t="s">
        <v>26</v>
      </c>
      <c r="F275" t="s">
        <v>13</v>
      </c>
      <c r="G275" t="s">
        <v>40</v>
      </c>
      <c r="H275" t="s">
        <v>41</v>
      </c>
      <c r="I275" t="s">
        <v>32</v>
      </c>
      <c r="J275" t="s">
        <v>45</v>
      </c>
    </row>
    <row r="276" spans="1:10" x14ac:dyDescent="0.35">
      <c r="A276" t="s">
        <v>38</v>
      </c>
      <c r="B276">
        <v>35</v>
      </c>
      <c r="C276">
        <v>50000</v>
      </c>
      <c r="D276" t="s">
        <v>11</v>
      </c>
      <c r="E276" t="s">
        <v>19</v>
      </c>
      <c r="F276" t="s">
        <v>13</v>
      </c>
      <c r="G276" t="s">
        <v>40</v>
      </c>
      <c r="H276" t="s">
        <v>14</v>
      </c>
      <c r="I276" t="s">
        <v>22</v>
      </c>
      <c r="J276" t="s">
        <v>33</v>
      </c>
    </row>
    <row r="277" spans="1:10" x14ac:dyDescent="0.35">
      <c r="A277" t="s">
        <v>48</v>
      </c>
      <c r="B277" t="s">
        <v>16</v>
      </c>
      <c r="C277">
        <v>65000</v>
      </c>
      <c r="D277" t="s">
        <v>18</v>
      </c>
      <c r="E277" t="s">
        <v>19</v>
      </c>
      <c r="F277" t="s">
        <v>13</v>
      </c>
      <c r="G277">
        <v>43549</v>
      </c>
      <c r="H277" t="s">
        <v>14</v>
      </c>
      <c r="I277" t="s">
        <v>32</v>
      </c>
      <c r="J277" t="s">
        <v>16</v>
      </c>
    </row>
    <row r="278" spans="1:10" x14ac:dyDescent="0.35">
      <c r="A278" t="s">
        <v>48</v>
      </c>
      <c r="B278">
        <v>35</v>
      </c>
      <c r="C278">
        <v>65000</v>
      </c>
      <c r="D278" t="s">
        <v>18</v>
      </c>
      <c r="E278" t="s">
        <v>37</v>
      </c>
      <c r="F278" t="s">
        <v>44</v>
      </c>
      <c r="G278">
        <v>43881</v>
      </c>
      <c r="H278" t="s">
        <v>41</v>
      </c>
      <c r="I278" t="s">
        <v>16</v>
      </c>
      <c r="J278" t="s">
        <v>16</v>
      </c>
    </row>
    <row r="279" spans="1:10" x14ac:dyDescent="0.35">
      <c r="A279" t="s">
        <v>38</v>
      </c>
      <c r="B279">
        <v>25</v>
      </c>
      <c r="C279" t="s">
        <v>25</v>
      </c>
      <c r="D279" t="s">
        <v>36</v>
      </c>
      <c r="E279" t="s">
        <v>19</v>
      </c>
      <c r="F279" t="s">
        <v>44</v>
      </c>
      <c r="G279">
        <v>43881</v>
      </c>
      <c r="H279" t="s">
        <v>41</v>
      </c>
      <c r="J279" t="s">
        <v>33</v>
      </c>
    </row>
    <row r="280" spans="1:10" x14ac:dyDescent="0.35">
      <c r="A280" t="s">
        <v>46</v>
      </c>
      <c r="B280">
        <v>50</v>
      </c>
      <c r="C280" t="s">
        <v>34</v>
      </c>
      <c r="D280" t="s">
        <v>18</v>
      </c>
      <c r="E280" t="s">
        <v>19</v>
      </c>
      <c r="F280" t="s">
        <v>20</v>
      </c>
      <c r="G280">
        <v>43195</v>
      </c>
      <c r="H280" t="s">
        <v>41</v>
      </c>
      <c r="I280" t="s">
        <v>22</v>
      </c>
      <c r="J280" t="s">
        <v>45</v>
      </c>
    </row>
    <row r="281" spans="1:10" x14ac:dyDescent="0.35">
      <c r="A281" t="s">
        <v>10</v>
      </c>
      <c r="B281">
        <v>35</v>
      </c>
      <c r="C281">
        <v>70000</v>
      </c>
      <c r="D281" t="s">
        <v>18</v>
      </c>
      <c r="E281" t="s">
        <v>30</v>
      </c>
      <c r="F281" t="s">
        <v>13</v>
      </c>
      <c r="G281">
        <v>43845</v>
      </c>
      <c r="H281" t="s">
        <v>14</v>
      </c>
      <c r="I281" t="s">
        <v>16</v>
      </c>
      <c r="J281" t="s">
        <v>23</v>
      </c>
    </row>
    <row r="282" spans="1:10" x14ac:dyDescent="0.35">
      <c r="A282" t="s">
        <v>46</v>
      </c>
      <c r="B282">
        <v>40</v>
      </c>
      <c r="C282">
        <v>65000</v>
      </c>
      <c r="D282" t="s">
        <v>11</v>
      </c>
      <c r="E282" t="s">
        <v>12</v>
      </c>
      <c r="F282" t="s">
        <v>39</v>
      </c>
      <c r="G282">
        <v>43881</v>
      </c>
      <c r="H282" t="s">
        <v>41</v>
      </c>
      <c r="I282" t="s">
        <v>32</v>
      </c>
      <c r="J282" t="s">
        <v>28</v>
      </c>
    </row>
    <row r="283" spans="1:10" x14ac:dyDescent="0.35">
      <c r="A283" t="s">
        <v>46</v>
      </c>
      <c r="B283">
        <v>35</v>
      </c>
      <c r="C283" t="s">
        <v>25</v>
      </c>
      <c r="D283" t="s">
        <v>11</v>
      </c>
      <c r="E283" t="s">
        <v>37</v>
      </c>
      <c r="F283" t="s">
        <v>20</v>
      </c>
      <c r="G283" t="s">
        <v>40</v>
      </c>
      <c r="H283" t="s">
        <v>31</v>
      </c>
      <c r="I283" t="s">
        <v>22</v>
      </c>
      <c r="J283" t="s">
        <v>23</v>
      </c>
    </row>
    <row r="284" spans="1:10" x14ac:dyDescent="0.35">
      <c r="A284" t="s">
        <v>46</v>
      </c>
      <c r="B284" t="s">
        <v>42</v>
      </c>
      <c r="C284" t="s">
        <v>34</v>
      </c>
      <c r="D284" t="s">
        <v>11</v>
      </c>
      <c r="E284" t="s">
        <v>37</v>
      </c>
      <c r="F284" t="s">
        <v>13</v>
      </c>
      <c r="G284">
        <v>43845</v>
      </c>
      <c r="H284" t="s">
        <v>14</v>
      </c>
      <c r="I284" t="s">
        <v>22</v>
      </c>
      <c r="J284" t="s">
        <v>28</v>
      </c>
    </row>
    <row r="285" spans="1:10" x14ac:dyDescent="0.35">
      <c r="A285" t="s">
        <v>38</v>
      </c>
      <c r="B285">
        <v>25</v>
      </c>
      <c r="C285">
        <v>70000</v>
      </c>
      <c r="D285" t="s">
        <v>11</v>
      </c>
      <c r="E285" t="s">
        <v>37</v>
      </c>
      <c r="F285" t="s">
        <v>13</v>
      </c>
      <c r="G285">
        <v>43845</v>
      </c>
      <c r="H285" t="s">
        <v>31</v>
      </c>
      <c r="I285" t="s">
        <v>16</v>
      </c>
      <c r="J285" t="s">
        <v>28</v>
      </c>
    </row>
    <row r="286" spans="1:10" x14ac:dyDescent="0.35">
      <c r="A286" t="s">
        <v>46</v>
      </c>
      <c r="B286" t="s">
        <v>42</v>
      </c>
      <c r="C286">
        <v>65000</v>
      </c>
      <c r="D286" t="s">
        <v>11</v>
      </c>
      <c r="E286" t="s">
        <v>30</v>
      </c>
      <c r="F286" t="s">
        <v>44</v>
      </c>
      <c r="G286">
        <v>43549</v>
      </c>
      <c r="H286" t="s">
        <v>27</v>
      </c>
      <c r="I286" t="s">
        <v>22</v>
      </c>
      <c r="J286" t="s">
        <v>45</v>
      </c>
    </row>
    <row r="287" spans="1:10" x14ac:dyDescent="0.35">
      <c r="A287" t="s">
        <v>24</v>
      </c>
      <c r="B287" t="s">
        <v>42</v>
      </c>
      <c r="C287">
        <v>65000</v>
      </c>
      <c r="D287" t="s">
        <v>11</v>
      </c>
      <c r="E287" t="s">
        <v>19</v>
      </c>
      <c r="F287" t="s">
        <v>20</v>
      </c>
      <c r="G287">
        <v>43881</v>
      </c>
      <c r="H287" t="s">
        <v>14</v>
      </c>
      <c r="J287" t="s">
        <v>33</v>
      </c>
    </row>
    <row r="288" spans="1:10" x14ac:dyDescent="0.35">
      <c r="A288" t="s">
        <v>47</v>
      </c>
      <c r="B288">
        <v>40</v>
      </c>
      <c r="C288">
        <v>50000</v>
      </c>
      <c r="D288" t="s">
        <v>11</v>
      </c>
      <c r="E288" t="s">
        <v>12</v>
      </c>
      <c r="F288" t="s">
        <v>13</v>
      </c>
      <c r="G288">
        <v>43549</v>
      </c>
      <c r="H288" t="s">
        <v>27</v>
      </c>
      <c r="J288" t="s">
        <v>23</v>
      </c>
    </row>
    <row r="289" spans="1:10" x14ac:dyDescent="0.35">
      <c r="A289" t="s">
        <v>29</v>
      </c>
      <c r="B289">
        <v>25</v>
      </c>
      <c r="C289">
        <v>50000</v>
      </c>
      <c r="D289" t="s">
        <v>36</v>
      </c>
      <c r="E289" t="s">
        <v>26</v>
      </c>
      <c r="F289" t="s">
        <v>13</v>
      </c>
      <c r="G289">
        <v>43881</v>
      </c>
      <c r="H289" t="s">
        <v>41</v>
      </c>
      <c r="I289" t="s">
        <v>16</v>
      </c>
      <c r="J289" t="s">
        <v>33</v>
      </c>
    </row>
    <row r="290" spans="1:10" x14ac:dyDescent="0.35">
      <c r="A290" t="s">
        <v>48</v>
      </c>
      <c r="B290">
        <v>25</v>
      </c>
      <c r="C290" t="s">
        <v>34</v>
      </c>
      <c r="D290" t="s">
        <v>36</v>
      </c>
      <c r="E290" t="s">
        <v>19</v>
      </c>
      <c r="F290" t="s">
        <v>20</v>
      </c>
      <c r="G290">
        <v>43195</v>
      </c>
      <c r="H290" t="s">
        <v>41</v>
      </c>
      <c r="I290" t="s">
        <v>32</v>
      </c>
      <c r="J290" t="s">
        <v>16</v>
      </c>
    </row>
    <row r="291" spans="1:10" x14ac:dyDescent="0.35">
      <c r="A291" t="s">
        <v>48</v>
      </c>
      <c r="B291">
        <v>25</v>
      </c>
      <c r="C291">
        <v>70000</v>
      </c>
      <c r="D291" t="s">
        <v>36</v>
      </c>
      <c r="E291" t="s">
        <v>30</v>
      </c>
      <c r="F291" t="s">
        <v>39</v>
      </c>
      <c r="G291">
        <v>43549</v>
      </c>
      <c r="H291" t="s">
        <v>21</v>
      </c>
      <c r="I291" t="s">
        <v>16</v>
      </c>
      <c r="J291" t="s">
        <v>45</v>
      </c>
    </row>
    <row r="292" spans="1:10" x14ac:dyDescent="0.35">
      <c r="A292" t="s">
        <v>29</v>
      </c>
      <c r="B292">
        <v>25</v>
      </c>
      <c r="C292">
        <v>65000</v>
      </c>
      <c r="D292" t="s">
        <v>36</v>
      </c>
      <c r="E292" t="s">
        <v>19</v>
      </c>
      <c r="F292" t="s">
        <v>20</v>
      </c>
      <c r="G292">
        <v>43549</v>
      </c>
      <c r="H292" t="s">
        <v>41</v>
      </c>
      <c r="J292" t="s">
        <v>45</v>
      </c>
    </row>
    <row r="293" spans="1:10" x14ac:dyDescent="0.35">
      <c r="A293" t="s">
        <v>38</v>
      </c>
      <c r="B293">
        <v>25</v>
      </c>
      <c r="C293" t="s">
        <v>34</v>
      </c>
      <c r="D293" t="s">
        <v>11</v>
      </c>
      <c r="E293" t="s">
        <v>19</v>
      </c>
      <c r="F293" t="s">
        <v>20</v>
      </c>
      <c r="G293" t="s">
        <v>40</v>
      </c>
      <c r="H293" t="s">
        <v>27</v>
      </c>
      <c r="I293" t="s">
        <v>15</v>
      </c>
      <c r="J293" t="s">
        <v>16</v>
      </c>
    </row>
    <row r="294" spans="1:10" x14ac:dyDescent="0.35">
      <c r="A294" t="s">
        <v>17</v>
      </c>
      <c r="B294">
        <v>40</v>
      </c>
      <c r="C294" t="s">
        <v>34</v>
      </c>
      <c r="D294" t="s">
        <v>36</v>
      </c>
      <c r="E294" t="s">
        <v>30</v>
      </c>
      <c r="F294" t="s">
        <v>39</v>
      </c>
      <c r="G294">
        <v>43549</v>
      </c>
      <c r="H294" t="s">
        <v>41</v>
      </c>
      <c r="I294" t="s">
        <v>15</v>
      </c>
      <c r="J294" t="s">
        <v>23</v>
      </c>
    </row>
    <row r="295" spans="1:10" x14ac:dyDescent="0.35">
      <c r="A295" t="s">
        <v>38</v>
      </c>
      <c r="B295">
        <v>35</v>
      </c>
      <c r="C295">
        <v>55000</v>
      </c>
      <c r="D295" t="s">
        <v>11</v>
      </c>
      <c r="E295" t="s">
        <v>37</v>
      </c>
      <c r="F295" t="s">
        <v>20</v>
      </c>
      <c r="G295">
        <v>43881</v>
      </c>
      <c r="H295" t="s">
        <v>14</v>
      </c>
      <c r="I295" t="s">
        <v>22</v>
      </c>
      <c r="J295" t="s">
        <v>16</v>
      </c>
    </row>
    <row r="296" spans="1:10" x14ac:dyDescent="0.35">
      <c r="A296" t="s">
        <v>48</v>
      </c>
      <c r="B296" t="s">
        <v>42</v>
      </c>
      <c r="C296">
        <v>50000</v>
      </c>
      <c r="D296" t="s">
        <v>36</v>
      </c>
      <c r="E296" t="s">
        <v>37</v>
      </c>
      <c r="F296" t="s">
        <v>13</v>
      </c>
      <c r="G296" t="s">
        <v>40</v>
      </c>
      <c r="H296" t="s">
        <v>41</v>
      </c>
      <c r="I296" t="s">
        <v>22</v>
      </c>
      <c r="J296" t="s">
        <v>23</v>
      </c>
    </row>
    <row r="297" spans="1:10" x14ac:dyDescent="0.35">
      <c r="A297" t="s">
        <v>48</v>
      </c>
      <c r="B297">
        <v>25</v>
      </c>
      <c r="C297">
        <v>70000</v>
      </c>
      <c r="D297" t="s">
        <v>18</v>
      </c>
      <c r="E297" t="s">
        <v>12</v>
      </c>
      <c r="F297" t="s">
        <v>20</v>
      </c>
      <c r="G297">
        <v>43549</v>
      </c>
      <c r="H297" t="s">
        <v>21</v>
      </c>
      <c r="I297" t="s">
        <v>15</v>
      </c>
      <c r="J297" t="s">
        <v>28</v>
      </c>
    </row>
    <row r="298" spans="1:10" x14ac:dyDescent="0.35">
      <c r="A298" t="s">
        <v>29</v>
      </c>
      <c r="B298">
        <v>35</v>
      </c>
      <c r="C298">
        <v>65000</v>
      </c>
      <c r="D298" t="s">
        <v>36</v>
      </c>
      <c r="E298" t="s">
        <v>12</v>
      </c>
      <c r="F298" t="s">
        <v>39</v>
      </c>
      <c r="G298">
        <v>43549</v>
      </c>
      <c r="H298" t="s">
        <v>41</v>
      </c>
      <c r="J298" t="s">
        <v>45</v>
      </c>
    </row>
    <row r="299" spans="1:10" x14ac:dyDescent="0.35">
      <c r="A299" t="s">
        <v>46</v>
      </c>
      <c r="B299">
        <v>35</v>
      </c>
      <c r="C299" t="s">
        <v>34</v>
      </c>
      <c r="D299" t="s">
        <v>36</v>
      </c>
      <c r="E299" t="s">
        <v>37</v>
      </c>
      <c r="F299" t="s">
        <v>43</v>
      </c>
      <c r="G299">
        <v>43195</v>
      </c>
      <c r="H299" t="s">
        <v>27</v>
      </c>
      <c r="I299" t="s">
        <v>22</v>
      </c>
      <c r="J299" t="s">
        <v>23</v>
      </c>
    </row>
    <row r="300" spans="1:10" x14ac:dyDescent="0.35">
      <c r="A300" t="s">
        <v>38</v>
      </c>
      <c r="B300" t="s">
        <v>42</v>
      </c>
      <c r="C300">
        <v>65000</v>
      </c>
      <c r="D300" t="s">
        <v>11</v>
      </c>
      <c r="E300" t="s">
        <v>26</v>
      </c>
      <c r="F300" t="s">
        <v>20</v>
      </c>
      <c r="G300">
        <v>43549</v>
      </c>
      <c r="H300" t="s">
        <v>27</v>
      </c>
      <c r="I300" t="s">
        <v>16</v>
      </c>
      <c r="J300" t="s">
        <v>33</v>
      </c>
    </row>
    <row r="301" spans="1:10" x14ac:dyDescent="0.35">
      <c r="A301" t="s">
        <v>49</v>
      </c>
      <c r="B301">
        <v>40</v>
      </c>
      <c r="C301">
        <v>55000</v>
      </c>
      <c r="D301" t="s">
        <v>36</v>
      </c>
      <c r="E301" t="s">
        <v>19</v>
      </c>
      <c r="F301" t="s">
        <v>44</v>
      </c>
      <c r="G301">
        <v>43845</v>
      </c>
      <c r="H301" t="s">
        <v>41</v>
      </c>
      <c r="I301" t="s">
        <v>16</v>
      </c>
      <c r="J301" t="s">
        <v>33</v>
      </c>
    </row>
    <row r="302" spans="1:10" x14ac:dyDescent="0.35">
      <c r="A302" t="s">
        <v>29</v>
      </c>
      <c r="B302" t="s">
        <v>16</v>
      </c>
      <c r="C302">
        <v>70000</v>
      </c>
      <c r="D302" t="s">
        <v>18</v>
      </c>
      <c r="E302" t="s">
        <v>26</v>
      </c>
      <c r="F302" t="s">
        <v>13</v>
      </c>
      <c r="G302" t="s">
        <v>40</v>
      </c>
      <c r="H302" t="s">
        <v>27</v>
      </c>
      <c r="J302" t="s">
        <v>45</v>
      </c>
    </row>
    <row r="303" spans="1:10" x14ac:dyDescent="0.35">
      <c r="A303" t="s">
        <v>24</v>
      </c>
      <c r="B303" t="s">
        <v>16</v>
      </c>
      <c r="C303" t="s">
        <v>34</v>
      </c>
      <c r="D303" t="s">
        <v>11</v>
      </c>
      <c r="E303" t="s">
        <v>19</v>
      </c>
      <c r="F303" t="s">
        <v>13</v>
      </c>
      <c r="G303">
        <v>43845</v>
      </c>
      <c r="H303" t="s">
        <v>27</v>
      </c>
      <c r="I303" t="s">
        <v>22</v>
      </c>
      <c r="J303" t="s">
        <v>16</v>
      </c>
    </row>
    <row r="304" spans="1:10" x14ac:dyDescent="0.35">
      <c r="A304" t="s">
        <v>48</v>
      </c>
      <c r="B304">
        <v>35</v>
      </c>
      <c r="C304">
        <v>65000</v>
      </c>
      <c r="D304" t="s">
        <v>11</v>
      </c>
      <c r="E304" t="s">
        <v>37</v>
      </c>
      <c r="F304" t="s">
        <v>44</v>
      </c>
      <c r="G304" t="s">
        <v>40</v>
      </c>
      <c r="H304" t="s">
        <v>21</v>
      </c>
      <c r="I304" t="s">
        <v>16</v>
      </c>
      <c r="J304" t="s">
        <v>16</v>
      </c>
    </row>
    <row r="305" spans="1:10" x14ac:dyDescent="0.35">
      <c r="A305" t="s">
        <v>29</v>
      </c>
      <c r="B305">
        <v>50</v>
      </c>
      <c r="C305">
        <v>50000</v>
      </c>
      <c r="D305" t="s">
        <v>36</v>
      </c>
      <c r="E305" t="s">
        <v>12</v>
      </c>
      <c r="F305" t="s">
        <v>44</v>
      </c>
      <c r="G305">
        <v>43195</v>
      </c>
      <c r="H305" t="s">
        <v>14</v>
      </c>
      <c r="I305" t="s">
        <v>22</v>
      </c>
      <c r="J305" t="s">
        <v>23</v>
      </c>
    </row>
    <row r="306" spans="1:10" x14ac:dyDescent="0.35">
      <c r="A306" t="s">
        <v>38</v>
      </c>
      <c r="B306">
        <v>50</v>
      </c>
      <c r="C306">
        <v>55000</v>
      </c>
      <c r="D306" t="s">
        <v>11</v>
      </c>
      <c r="E306" t="s">
        <v>12</v>
      </c>
      <c r="F306" t="s">
        <v>20</v>
      </c>
      <c r="G306">
        <v>43549</v>
      </c>
      <c r="H306" t="s">
        <v>21</v>
      </c>
      <c r="I306" t="s">
        <v>22</v>
      </c>
      <c r="J306" t="s">
        <v>16</v>
      </c>
    </row>
    <row r="307" spans="1:10" x14ac:dyDescent="0.35">
      <c r="A307" t="s">
        <v>48</v>
      </c>
      <c r="B307" t="s">
        <v>42</v>
      </c>
      <c r="C307">
        <v>70000</v>
      </c>
      <c r="D307" t="s">
        <v>11</v>
      </c>
      <c r="E307" t="s">
        <v>26</v>
      </c>
      <c r="F307" t="s">
        <v>44</v>
      </c>
      <c r="G307">
        <v>43549</v>
      </c>
      <c r="H307" t="s">
        <v>31</v>
      </c>
      <c r="I307" t="s">
        <v>16</v>
      </c>
      <c r="J307" t="s">
        <v>45</v>
      </c>
    </row>
    <row r="308" spans="1:10" x14ac:dyDescent="0.35">
      <c r="A308" t="s">
        <v>17</v>
      </c>
      <c r="B308" t="s">
        <v>16</v>
      </c>
      <c r="C308">
        <v>55000</v>
      </c>
      <c r="D308" t="s">
        <v>11</v>
      </c>
      <c r="E308" t="s">
        <v>12</v>
      </c>
      <c r="F308" t="s">
        <v>43</v>
      </c>
      <c r="G308">
        <v>43549</v>
      </c>
      <c r="H308" t="s">
        <v>21</v>
      </c>
      <c r="I308" t="s">
        <v>15</v>
      </c>
      <c r="J308" t="s">
        <v>23</v>
      </c>
    </row>
    <row r="309" spans="1:10" x14ac:dyDescent="0.35">
      <c r="A309" t="s">
        <v>29</v>
      </c>
      <c r="B309">
        <v>35</v>
      </c>
      <c r="C309">
        <v>50000</v>
      </c>
      <c r="D309" t="s">
        <v>11</v>
      </c>
      <c r="E309" t="s">
        <v>37</v>
      </c>
      <c r="F309" t="s">
        <v>39</v>
      </c>
      <c r="G309" t="s">
        <v>40</v>
      </c>
      <c r="H309" t="s">
        <v>41</v>
      </c>
      <c r="I309" t="s">
        <v>16</v>
      </c>
      <c r="J309" t="s">
        <v>28</v>
      </c>
    </row>
    <row r="310" spans="1:10" x14ac:dyDescent="0.35">
      <c r="A310" t="s">
        <v>10</v>
      </c>
      <c r="B310">
        <v>40</v>
      </c>
      <c r="C310">
        <v>70000</v>
      </c>
      <c r="D310" t="s">
        <v>11</v>
      </c>
      <c r="E310" t="s">
        <v>26</v>
      </c>
      <c r="F310" t="s">
        <v>44</v>
      </c>
      <c r="G310">
        <v>43549</v>
      </c>
      <c r="H310" t="s">
        <v>14</v>
      </c>
      <c r="J310" t="s">
        <v>16</v>
      </c>
    </row>
    <row r="311" spans="1:10" x14ac:dyDescent="0.35">
      <c r="A311" t="s">
        <v>48</v>
      </c>
      <c r="B311" t="s">
        <v>16</v>
      </c>
      <c r="C311">
        <v>55000</v>
      </c>
      <c r="D311" t="s">
        <v>11</v>
      </c>
      <c r="E311" t="s">
        <v>19</v>
      </c>
      <c r="F311" t="s">
        <v>44</v>
      </c>
      <c r="G311">
        <v>43845</v>
      </c>
      <c r="H311" t="s">
        <v>41</v>
      </c>
      <c r="I311" t="s">
        <v>32</v>
      </c>
      <c r="J311" t="s">
        <v>16</v>
      </c>
    </row>
    <row r="312" spans="1:10" x14ac:dyDescent="0.35">
      <c r="A312" t="s">
        <v>38</v>
      </c>
      <c r="B312">
        <v>35</v>
      </c>
      <c r="C312" t="s">
        <v>25</v>
      </c>
      <c r="D312" t="s">
        <v>18</v>
      </c>
      <c r="E312" t="s">
        <v>12</v>
      </c>
      <c r="F312" t="s">
        <v>43</v>
      </c>
      <c r="G312">
        <v>43549</v>
      </c>
      <c r="H312" t="s">
        <v>31</v>
      </c>
      <c r="I312" t="s">
        <v>16</v>
      </c>
      <c r="J312" t="s">
        <v>23</v>
      </c>
    </row>
    <row r="313" spans="1:10" x14ac:dyDescent="0.35">
      <c r="A313" t="s">
        <v>47</v>
      </c>
      <c r="B313">
        <v>35</v>
      </c>
      <c r="C313">
        <v>50000</v>
      </c>
      <c r="D313" t="s">
        <v>36</v>
      </c>
      <c r="E313" t="s">
        <v>30</v>
      </c>
      <c r="F313" t="s">
        <v>13</v>
      </c>
      <c r="G313">
        <v>43195</v>
      </c>
      <c r="H313" t="s">
        <v>14</v>
      </c>
      <c r="I313" t="s">
        <v>22</v>
      </c>
      <c r="J313" t="s">
        <v>33</v>
      </c>
    </row>
    <row r="314" spans="1:10" x14ac:dyDescent="0.35">
      <c r="A314" t="s">
        <v>49</v>
      </c>
      <c r="B314">
        <v>25</v>
      </c>
      <c r="C314">
        <v>50000</v>
      </c>
      <c r="D314" t="s">
        <v>18</v>
      </c>
      <c r="E314" t="s">
        <v>12</v>
      </c>
      <c r="F314" t="s">
        <v>13</v>
      </c>
      <c r="G314">
        <v>43845</v>
      </c>
      <c r="H314" t="s">
        <v>27</v>
      </c>
      <c r="I314" t="s">
        <v>22</v>
      </c>
      <c r="J314" t="s">
        <v>16</v>
      </c>
    </row>
    <row r="315" spans="1:10" x14ac:dyDescent="0.35">
      <c r="A315" t="s">
        <v>35</v>
      </c>
      <c r="B315">
        <v>40</v>
      </c>
      <c r="C315">
        <v>50000</v>
      </c>
      <c r="D315" t="s">
        <v>11</v>
      </c>
      <c r="E315" t="s">
        <v>19</v>
      </c>
      <c r="F315" t="s">
        <v>20</v>
      </c>
      <c r="G315">
        <v>43549</v>
      </c>
      <c r="H315" t="s">
        <v>21</v>
      </c>
      <c r="I315" t="s">
        <v>16</v>
      </c>
      <c r="J315" t="s">
        <v>45</v>
      </c>
    </row>
    <row r="316" spans="1:10" x14ac:dyDescent="0.35">
      <c r="A316" t="s">
        <v>46</v>
      </c>
      <c r="B316">
        <v>25</v>
      </c>
      <c r="C316" t="s">
        <v>25</v>
      </c>
      <c r="D316" t="s">
        <v>11</v>
      </c>
      <c r="E316" t="s">
        <v>26</v>
      </c>
      <c r="F316" t="s">
        <v>43</v>
      </c>
      <c r="G316">
        <v>43549</v>
      </c>
      <c r="H316" t="s">
        <v>41</v>
      </c>
      <c r="I316" t="s">
        <v>32</v>
      </c>
      <c r="J316" t="s">
        <v>16</v>
      </c>
    </row>
    <row r="317" spans="1:10" x14ac:dyDescent="0.35">
      <c r="A317" t="s">
        <v>35</v>
      </c>
      <c r="B317" t="s">
        <v>42</v>
      </c>
      <c r="C317" t="s">
        <v>25</v>
      </c>
      <c r="D317" t="s">
        <v>36</v>
      </c>
      <c r="E317" t="s">
        <v>19</v>
      </c>
      <c r="F317" t="s">
        <v>39</v>
      </c>
      <c r="G317">
        <v>43881</v>
      </c>
      <c r="H317" t="s">
        <v>31</v>
      </c>
      <c r="I317" t="s">
        <v>16</v>
      </c>
      <c r="J317" t="s">
        <v>28</v>
      </c>
    </row>
    <row r="318" spans="1:10" x14ac:dyDescent="0.35">
      <c r="A318" t="s">
        <v>38</v>
      </c>
      <c r="B318">
        <v>25</v>
      </c>
      <c r="C318">
        <v>65000</v>
      </c>
      <c r="D318" t="s">
        <v>18</v>
      </c>
      <c r="E318" t="s">
        <v>30</v>
      </c>
      <c r="F318" t="s">
        <v>39</v>
      </c>
      <c r="G318" t="s">
        <v>40</v>
      </c>
      <c r="H318" t="s">
        <v>27</v>
      </c>
      <c r="I318" t="s">
        <v>32</v>
      </c>
      <c r="J318" t="s">
        <v>16</v>
      </c>
    </row>
    <row r="319" spans="1:10" x14ac:dyDescent="0.35">
      <c r="A319" t="s">
        <v>24</v>
      </c>
      <c r="B319">
        <v>25</v>
      </c>
      <c r="C319" t="s">
        <v>34</v>
      </c>
      <c r="D319" t="s">
        <v>36</v>
      </c>
      <c r="E319" t="s">
        <v>37</v>
      </c>
      <c r="F319" t="s">
        <v>43</v>
      </c>
      <c r="G319">
        <v>43845</v>
      </c>
      <c r="H319" t="s">
        <v>21</v>
      </c>
      <c r="I319" t="s">
        <v>32</v>
      </c>
      <c r="J319" t="s">
        <v>33</v>
      </c>
    </row>
    <row r="320" spans="1:10" x14ac:dyDescent="0.35">
      <c r="A320" t="s">
        <v>24</v>
      </c>
      <c r="B320" t="s">
        <v>16</v>
      </c>
      <c r="C320">
        <v>55000</v>
      </c>
      <c r="D320" t="s">
        <v>18</v>
      </c>
      <c r="E320" t="s">
        <v>12</v>
      </c>
      <c r="F320" t="s">
        <v>39</v>
      </c>
      <c r="G320">
        <v>43881</v>
      </c>
      <c r="H320" t="s">
        <v>27</v>
      </c>
      <c r="J320" t="s">
        <v>16</v>
      </c>
    </row>
    <row r="321" spans="1:10" x14ac:dyDescent="0.35">
      <c r="A321" t="s">
        <v>47</v>
      </c>
      <c r="B321">
        <v>50</v>
      </c>
      <c r="C321">
        <v>65000</v>
      </c>
      <c r="D321" t="s">
        <v>11</v>
      </c>
      <c r="E321" t="s">
        <v>26</v>
      </c>
      <c r="F321" t="s">
        <v>13</v>
      </c>
      <c r="G321">
        <v>43195</v>
      </c>
      <c r="H321" t="s">
        <v>21</v>
      </c>
      <c r="I321" t="s">
        <v>22</v>
      </c>
      <c r="J321" t="s">
        <v>23</v>
      </c>
    </row>
    <row r="322" spans="1:10" x14ac:dyDescent="0.35">
      <c r="A322" t="s">
        <v>46</v>
      </c>
      <c r="B322">
        <v>35</v>
      </c>
      <c r="C322">
        <v>55000</v>
      </c>
      <c r="D322" t="s">
        <v>36</v>
      </c>
      <c r="E322" t="s">
        <v>37</v>
      </c>
      <c r="F322" t="s">
        <v>39</v>
      </c>
      <c r="G322" t="s">
        <v>40</v>
      </c>
      <c r="H322" t="s">
        <v>14</v>
      </c>
      <c r="I322" t="s">
        <v>22</v>
      </c>
      <c r="J322" t="s">
        <v>16</v>
      </c>
    </row>
    <row r="323" spans="1:10" x14ac:dyDescent="0.35">
      <c r="A323" t="s">
        <v>10</v>
      </c>
      <c r="B323">
        <v>40</v>
      </c>
      <c r="C323" t="s">
        <v>34</v>
      </c>
      <c r="D323" t="s">
        <v>36</v>
      </c>
      <c r="E323" t="s">
        <v>19</v>
      </c>
      <c r="F323" t="s">
        <v>39</v>
      </c>
      <c r="G323">
        <v>43845</v>
      </c>
      <c r="H323" t="s">
        <v>27</v>
      </c>
      <c r="I323" t="s">
        <v>32</v>
      </c>
      <c r="J323" t="s">
        <v>33</v>
      </c>
    </row>
    <row r="324" spans="1:10" x14ac:dyDescent="0.35">
      <c r="A324" t="s">
        <v>47</v>
      </c>
      <c r="B324">
        <v>25</v>
      </c>
      <c r="C324" t="s">
        <v>25</v>
      </c>
      <c r="D324" t="s">
        <v>11</v>
      </c>
      <c r="E324" t="s">
        <v>26</v>
      </c>
      <c r="F324" t="s">
        <v>43</v>
      </c>
      <c r="G324">
        <v>43549</v>
      </c>
      <c r="H324" t="s">
        <v>27</v>
      </c>
      <c r="I324" t="s">
        <v>22</v>
      </c>
      <c r="J324" t="s">
        <v>23</v>
      </c>
    </row>
    <row r="325" spans="1:10" x14ac:dyDescent="0.35">
      <c r="A325" t="s">
        <v>35</v>
      </c>
      <c r="B325">
        <v>40</v>
      </c>
      <c r="C325" t="s">
        <v>34</v>
      </c>
      <c r="D325" t="s">
        <v>36</v>
      </c>
      <c r="E325" t="s">
        <v>37</v>
      </c>
      <c r="F325" t="s">
        <v>43</v>
      </c>
      <c r="G325">
        <v>43845</v>
      </c>
      <c r="H325" t="s">
        <v>27</v>
      </c>
      <c r="I325" t="s">
        <v>15</v>
      </c>
      <c r="J325" t="s">
        <v>45</v>
      </c>
    </row>
    <row r="326" spans="1:10" x14ac:dyDescent="0.35">
      <c r="A326" t="s">
        <v>47</v>
      </c>
      <c r="B326">
        <v>50</v>
      </c>
      <c r="C326" t="s">
        <v>25</v>
      </c>
      <c r="D326" t="s">
        <v>18</v>
      </c>
      <c r="E326" t="s">
        <v>26</v>
      </c>
      <c r="F326" t="s">
        <v>39</v>
      </c>
      <c r="G326">
        <v>43549</v>
      </c>
      <c r="H326" t="s">
        <v>14</v>
      </c>
      <c r="I326" t="s">
        <v>32</v>
      </c>
      <c r="J326" t="s">
        <v>23</v>
      </c>
    </row>
    <row r="327" spans="1:10" x14ac:dyDescent="0.35">
      <c r="A327" t="s">
        <v>35</v>
      </c>
      <c r="B327">
        <v>50</v>
      </c>
      <c r="C327" t="s">
        <v>34</v>
      </c>
      <c r="D327" t="s">
        <v>18</v>
      </c>
      <c r="E327" t="s">
        <v>30</v>
      </c>
      <c r="F327" t="s">
        <v>44</v>
      </c>
      <c r="G327" t="s">
        <v>40</v>
      </c>
      <c r="H327" t="s">
        <v>31</v>
      </c>
      <c r="I327" t="s">
        <v>22</v>
      </c>
      <c r="J327" t="s">
        <v>28</v>
      </c>
    </row>
    <row r="328" spans="1:10" x14ac:dyDescent="0.35">
      <c r="A328" t="s">
        <v>48</v>
      </c>
      <c r="B328">
        <v>25</v>
      </c>
      <c r="C328">
        <v>65000</v>
      </c>
      <c r="D328" t="s">
        <v>18</v>
      </c>
      <c r="E328" t="s">
        <v>30</v>
      </c>
      <c r="F328" t="s">
        <v>43</v>
      </c>
      <c r="G328">
        <v>43549</v>
      </c>
      <c r="H328" t="s">
        <v>21</v>
      </c>
      <c r="I328" t="s">
        <v>15</v>
      </c>
      <c r="J328" t="s">
        <v>23</v>
      </c>
    </row>
    <row r="329" spans="1:10" x14ac:dyDescent="0.35">
      <c r="A329" t="s">
        <v>24</v>
      </c>
      <c r="B329" t="s">
        <v>42</v>
      </c>
      <c r="C329">
        <v>70000</v>
      </c>
      <c r="D329" t="s">
        <v>18</v>
      </c>
      <c r="E329" t="s">
        <v>12</v>
      </c>
      <c r="F329" t="s">
        <v>20</v>
      </c>
      <c r="G329">
        <v>43195</v>
      </c>
      <c r="H329" t="s">
        <v>27</v>
      </c>
      <c r="J329" t="s">
        <v>45</v>
      </c>
    </row>
    <row r="330" spans="1:10" x14ac:dyDescent="0.35">
      <c r="A330" t="s">
        <v>48</v>
      </c>
      <c r="B330">
        <v>25</v>
      </c>
      <c r="C330">
        <v>65000</v>
      </c>
      <c r="D330" t="s">
        <v>11</v>
      </c>
      <c r="E330" t="s">
        <v>12</v>
      </c>
      <c r="F330" t="s">
        <v>20</v>
      </c>
      <c r="G330">
        <v>43549</v>
      </c>
      <c r="H330" t="s">
        <v>14</v>
      </c>
      <c r="I330" t="s">
        <v>22</v>
      </c>
      <c r="J330" t="s">
        <v>16</v>
      </c>
    </row>
    <row r="331" spans="1:10" x14ac:dyDescent="0.35">
      <c r="A331" t="s">
        <v>49</v>
      </c>
      <c r="B331" t="s">
        <v>16</v>
      </c>
      <c r="C331">
        <v>55000</v>
      </c>
      <c r="D331" t="s">
        <v>36</v>
      </c>
      <c r="E331" t="s">
        <v>30</v>
      </c>
      <c r="F331" t="s">
        <v>13</v>
      </c>
      <c r="G331">
        <v>43195</v>
      </c>
      <c r="H331" t="s">
        <v>31</v>
      </c>
      <c r="I331" t="s">
        <v>15</v>
      </c>
      <c r="J331" t="s">
        <v>23</v>
      </c>
    </row>
    <row r="332" spans="1:10" x14ac:dyDescent="0.35">
      <c r="A332" t="s">
        <v>46</v>
      </c>
      <c r="B332">
        <v>35</v>
      </c>
      <c r="C332">
        <v>65000</v>
      </c>
      <c r="D332" t="s">
        <v>18</v>
      </c>
      <c r="E332" t="s">
        <v>26</v>
      </c>
      <c r="F332" t="s">
        <v>39</v>
      </c>
      <c r="G332" t="s">
        <v>40</v>
      </c>
      <c r="H332" t="s">
        <v>21</v>
      </c>
      <c r="I332" t="s">
        <v>16</v>
      </c>
      <c r="J332" t="s">
        <v>23</v>
      </c>
    </row>
    <row r="333" spans="1:10" x14ac:dyDescent="0.35">
      <c r="A333" t="s">
        <v>10</v>
      </c>
      <c r="B333" t="s">
        <v>42</v>
      </c>
      <c r="C333">
        <v>50000</v>
      </c>
      <c r="D333" t="s">
        <v>11</v>
      </c>
      <c r="E333" t="s">
        <v>30</v>
      </c>
      <c r="F333" t="s">
        <v>44</v>
      </c>
      <c r="G333" t="s">
        <v>40</v>
      </c>
      <c r="H333" t="s">
        <v>14</v>
      </c>
      <c r="I333" t="s">
        <v>16</v>
      </c>
      <c r="J333" t="s">
        <v>23</v>
      </c>
    </row>
    <row r="334" spans="1:10" x14ac:dyDescent="0.35">
      <c r="A334" t="s">
        <v>35</v>
      </c>
      <c r="B334">
        <v>25</v>
      </c>
      <c r="C334">
        <v>55000</v>
      </c>
      <c r="D334" t="s">
        <v>36</v>
      </c>
      <c r="E334" t="s">
        <v>12</v>
      </c>
      <c r="F334" t="s">
        <v>13</v>
      </c>
      <c r="G334">
        <v>43845</v>
      </c>
      <c r="H334" t="s">
        <v>21</v>
      </c>
      <c r="I334" t="s">
        <v>15</v>
      </c>
      <c r="J334" t="s">
        <v>23</v>
      </c>
    </row>
    <row r="335" spans="1:10" x14ac:dyDescent="0.35">
      <c r="A335" t="s">
        <v>10</v>
      </c>
      <c r="B335">
        <v>40</v>
      </c>
      <c r="C335" t="s">
        <v>34</v>
      </c>
      <c r="D335" t="s">
        <v>36</v>
      </c>
      <c r="E335" t="s">
        <v>30</v>
      </c>
      <c r="F335" t="s">
        <v>39</v>
      </c>
      <c r="G335">
        <v>43195</v>
      </c>
      <c r="H335" t="s">
        <v>27</v>
      </c>
      <c r="I335" t="s">
        <v>32</v>
      </c>
      <c r="J335" t="s">
        <v>45</v>
      </c>
    </row>
    <row r="336" spans="1:10" x14ac:dyDescent="0.35">
      <c r="A336" t="s">
        <v>35</v>
      </c>
      <c r="B336" t="s">
        <v>42</v>
      </c>
      <c r="C336">
        <v>55000</v>
      </c>
      <c r="D336" t="s">
        <v>11</v>
      </c>
      <c r="E336" t="s">
        <v>30</v>
      </c>
      <c r="F336" t="s">
        <v>43</v>
      </c>
      <c r="G336">
        <v>43195</v>
      </c>
      <c r="H336" t="s">
        <v>31</v>
      </c>
      <c r="I336" t="s">
        <v>32</v>
      </c>
      <c r="J336" t="s">
        <v>33</v>
      </c>
    </row>
    <row r="337" spans="1:10" x14ac:dyDescent="0.35">
      <c r="A337" t="s">
        <v>38</v>
      </c>
      <c r="B337" t="s">
        <v>42</v>
      </c>
      <c r="C337">
        <v>70000</v>
      </c>
      <c r="D337" t="s">
        <v>11</v>
      </c>
      <c r="E337" t="s">
        <v>26</v>
      </c>
      <c r="F337" t="s">
        <v>20</v>
      </c>
      <c r="G337">
        <v>43881</v>
      </c>
      <c r="H337" t="s">
        <v>14</v>
      </c>
      <c r="I337" t="s">
        <v>22</v>
      </c>
      <c r="J337" t="s">
        <v>33</v>
      </c>
    </row>
    <row r="338" spans="1:10" x14ac:dyDescent="0.35">
      <c r="A338" t="s">
        <v>47</v>
      </c>
      <c r="B338">
        <v>25</v>
      </c>
      <c r="C338" t="s">
        <v>25</v>
      </c>
      <c r="D338" t="s">
        <v>18</v>
      </c>
      <c r="E338" t="s">
        <v>37</v>
      </c>
      <c r="F338" t="s">
        <v>44</v>
      </c>
      <c r="G338">
        <v>43881</v>
      </c>
      <c r="H338" t="s">
        <v>31</v>
      </c>
      <c r="I338" t="s">
        <v>16</v>
      </c>
      <c r="J338" t="s">
        <v>23</v>
      </c>
    </row>
    <row r="339" spans="1:10" x14ac:dyDescent="0.35">
      <c r="A339" t="s">
        <v>49</v>
      </c>
      <c r="B339" t="s">
        <v>42</v>
      </c>
      <c r="C339" t="s">
        <v>34</v>
      </c>
      <c r="D339" t="s">
        <v>36</v>
      </c>
      <c r="E339" t="s">
        <v>12</v>
      </c>
      <c r="F339" t="s">
        <v>20</v>
      </c>
      <c r="G339">
        <v>43881</v>
      </c>
      <c r="H339" t="s">
        <v>27</v>
      </c>
      <c r="I339" t="s">
        <v>32</v>
      </c>
      <c r="J339" t="s">
        <v>45</v>
      </c>
    </row>
    <row r="340" spans="1:10" x14ac:dyDescent="0.35">
      <c r="A340" t="s">
        <v>24</v>
      </c>
      <c r="B340">
        <v>40</v>
      </c>
      <c r="C340">
        <v>55000</v>
      </c>
      <c r="D340" t="s">
        <v>36</v>
      </c>
      <c r="E340" t="s">
        <v>26</v>
      </c>
      <c r="F340" t="s">
        <v>43</v>
      </c>
      <c r="G340">
        <v>43549</v>
      </c>
      <c r="H340" t="s">
        <v>31</v>
      </c>
      <c r="I340" t="s">
        <v>32</v>
      </c>
      <c r="J340" t="s">
        <v>45</v>
      </c>
    </row>
    <row r="341" spans="1:10" x14ac:dyDescent="0.35">
      <c r="A341" t="s">
        <v>35</v>
      </c>
      <c r="B341">
        <v>50</v>
      </c>
      <c r="C341" t="s">
        <v>34</v>
      </c>
      <c r="D341" t="s">
        <v>11</v>
      </c>
      <c r="E341" t="s">
        <v>30</v>
      </c>
      <c r="F341" t="s">
        <v>39</v>
      </c>
      <c r="G341">
        <v>43881</v>
      </c>
      <c r="H341" t="s">
        <v>31</v>
      </c>
      <c r="I341" t="s">
        <v>16</v>
      </c>
      <c r="J341" t="s">
        <v>23</v>
      </c>
    </row>
    <row r="342" spans="1:10" x14ac:dyDescent="0.35">
      <c r="A342" t="s">
        <v>10</v>
      </c>
      <c r="B342" t="s">
        <v>42</v>
      </c>
      <c r="C342" t="s">
        <v>34</v>
      </c>
      <c r="D342" t="s">
        <v>36</v>
      </c>
      <c r="E342" t="s">
        <v>30</v>
      </c>
      <c r="F342" t="s">
        <v>43</v>
      </c>
      <c r="G342">
        <v>43195</v>
      </c>
      <c r="H342" t="s">
        <v>41</v>
      </c>
      <c r="J342" t="s">
        <v>28</v>
      </c>
    </row>
    <row r="343" spans="1:10" x14ac:dyDescent="0.35">
      <c r="A343" t="s">
        <v>49</v>
      </c>
      <c r="B343">
        <v>50</v>
      </c>
      <c r="C343" t="s">
        <v>34</v>
      </c>
      <c r="D343" t="s">
        <v>18</v>
      </c>
      <c r="E343" t="s">
        <v>37</v>
      </c>
      <c r="F343" t="s">
        <v>43</v>
      </c>
      <c r="G343">
        <v>43549</v>
      </c>
      <c r="H343" t="s">
        <v>31</v>
      </c>
      <c r="I343" t="s">
        <v>32</v>
      </c>
      <c r="J343" t="s">
        <v>23</v>
      </c>
    </row>
    <row r="344" spans="1:10" x14ac:dyDescent="0.35">
      <c r="A344" t="s">
        <v>17</v>
      </c>
      <c r="B344">
        <v>40</v>
      </c>
      <c r="C344" t="s">
        <v>25</v>
      </c>
      <c r="D344" t="s">
        <v>36</v>
      </c>
      <c r="E344" t="s">
        <v>12</v>
      </c>
      <c r="F344" t="s">
        <v>20</v>
      </c>
      <c r="G344" t="s">
        <v>40</v>
      </c>
      <c r="H344" t="s">
        <v>21</v>
      </c>
      <c r="I344" t="s">
        <v>15</v>
      </c>
      <c r="J344" t="s">
        <v>28</v>
      </c>
    </row>
    <row r="345" spans="1:10" x14ac:dyDescent="0.35">
      <c r="A345" t="s">
        <v>17</v>
      </c>
      <c r="B345">
        <v>25</v>
      </c>
      <c r="C345">
        <v>65000</v>
      </c>
      <c r="D345" t="s">
        <v>11</v>
      </c>
      <c r="E345" t="s">
        <v>12</v>
      </c>
      <c r="F345" t="s">
        <v>44</v>
      </c>
      <c r="G345">
        <v>43845</v>
      </c>
      <c r="H345" t="s">
        <v>14</v>
      </c>
      <c r="I345" t="s">
        <v>22</v>
      </c>
      <c r="J345" t="s">
        <v>23</v>
      </c>
    </row>
    <row r="346" spans="1:10" x14ac:dyDescent="0.35">
      <c r="A346" t="s">
        <v>48</v>
      </c>
      <c r="B346">
        <v>35</v>
      </c>
      <c r="C346" t="s">
        <v>34</v>
      </c>
      <c r="D346" t="s">
        <v>11</v>
      </c>
      <c r="E346" t="s">
        <v>19</v>
      </c>
      <c r="F346" t="s">
        <v>43</v>
      </c>
      <c r="G346">
        <v>43881</v>
      </c>
      <c r="H346" t="s">
        <v>41</v>
      </c>
      <c r="I346" t="s">
        <v>32</v>
      </c>
      <c r="J346" t="s">
        <v>28</v>
      </c>
    </row>
    <row r="347" spans="1:10" x14ac:dyDescent="0.35">
      <c r="A347" t="s">
        <v>24</v>
      </c>
      <c r="B347" t="s">
        <v>42</v>
      </c>
      <c r="C347">
        <v>50000</v>
      </c>
      <c r="D347" t="s">
        <v>18</v>
      </c>
      <c r="E347" t="s">
        <v>12</v>
      </c>
      <c r="F347" t="s">
        <v>20</v>
      </c>
      <c r="G347" t="s">
        <v>40</v>
      </c>
      <c r="H347" t="s">
        <v>14</v>
      </c>
      <c r="I347" t="s">
        <v>32</v>
      </c>
      <c r="J347" t="s">
        <v>28</v>
      </c>
    </row>
    <row r="348" spans="1:10" x14ac:dyDescent="0.35">
      <c r="A348" t="s">
        <v>38</v>
      </c>
      <c r="B348">
        <v>35</v>
      </c>
      <c r="C348">
        <v>70000</v>
      </c>
      <c r="D348" t="s">
        <v>18</v>
      </c>
      <c r="E348" t="s">
        <v>37</v>
      </c>
      <c r="F348" t="s">
        <v>44</v>
      </c>
      <c r="G348">
        <v>43195</v>
      </c>
      <c r="H348" t="s">
        <v>14</v>
      </c>
      <c r="J348" t="s">
        <v>23</v>
      </c>
    </row>
    <row r="349" spans="1:10" x14ac:dyDescent="0.35">
      <c r="A349" t="s">
        <v>10</v>
      </c>
      <c r="B349">
        <v>40</v>
      </c>
      <c r="C349" t="s">
        <v>25</v>
      </c>
      <c r="D349" t="s">
        <v>36</v>
      </c>
      <c r="E349" t="s">
        <v>19</v>
      </c>
      <c r="F349" t="s">
        <v>39</v>
      </c>
      <c r="G349">
        <v>43845</v>
      </c>
      <c r="H349" t="s">
        <v>27</v>
      </c>
      <c r="I349" t="s">
        <v>15</v>
      </c>
      <c r="J349" t="s">
        <v>28</v>
      </c>
    </row>
    <row r="350" spans="1:10" x14ac:dyDescent="0.35">
      <c r="A350" t="s">
        <v>47</v>
      </c>
      <c r="B350" t="s">
        <v>42</v>
      </c>
      <c r="C350">
        <v>55000</v>
      </c>
      <c r="D350" t="s">
        <v>36</v>
      </c>
      <c r="E350" t="s">
        <v>19</v>
      </c>
      <c r="F350" t="s">
        <v>39</v>
      </c>
      <c r="G350" t="s">
        <v>40</v>
      </c>
      <c r="H350" t="s">
        <v>27</v>
      </c>
      <c r="I350" t="s">
        <v>22</v>
      </c>
      <c r="J350" t="s">
        <v>16</v>
      </c>
    </row>
    <row r="351" spans="1:10" x14ac:dyDescent="0.35">
      <c r="A351" t="s">
        <v>47</v>
      </c>
      <c r="B351">
        <v>50</v>
      </c>
      <c r="C351" t="s">
        <v>25</v>
      </c>
      <c r="D351" t="s">
        <v>11</v>
      </c>
      <c r="E351" t="s">
        <v>30</v>
      </c>
      <c r="F351" t="s">
        <v>13</v>
      </c>
      <c r="G351">
        <v>43845</v>
      </c>
      <c r="H351" t="s">
        <v>41</v>
      </c>
      <c r="I351" t="s">
        <v>32</v>
      </c>
      <c r="J351" t="s">
        <v>33</v>
      </c>
    </row>
    <row r="352" spans="1:10" x14ac:dyDescent="0.35">
      <c r="A352" t="s">
        <v>10</v>
      </c>
      <c r="B352" t="s">
        <v>16</v>
      </c>
      <c r="C352">
        <v>55000</v>
      </c>
      <c r="D352" t="s">
        <v>18</v>
      </c>
      <c r="E352" t="s">
        <v>30</v>
      </c>
      <c r="F352" t="s">
        <v>20</v>
      </c>
      <c r="G352">
        <v>43881</v>
      </c>
      <c r="H352" t="s">
        <v>27</v>
      </c>
      <c r="I352" t="s">
        <v>22</v>
      </c>
      <c r="J352" t="s">
        <v>45</v>
      </c>
    </row>
    <row r="353" spans="1:10" x14ac:dyDescent="0.35">
      <c r="A353" t="s">
        <v>46</v>
      </c>
      <c r="B353">
        <v>35</v>
      </c>
      <c r="C353" t="s">
        <v>25</v>
      </c>
      <c r="D353" t="s">
        <v>18</v>
      </c>
      <c r="E353" t="s">
        <v>12</v>
      </c>
      <c r="F353" t="s">
        <v>44</v>
      </c>
      <c r="G353">
        <v>43195</v>
      </c>
      <c r="H353" t="s">
        <v>27</v>
      </c>
      <c r="I353" t="s">
        <v>16</v>
      </c>
      <c r="J353" t="s">
        <v>28</v>
      </c>
    </row>
    <row r="354" spans="1:10" x14ac:dyDescent="0.35">
      <c r="A354" t="s">
        <v>38</v>
      </c>
      <c r="B354" t="s">
        <v>42</v>
      </c>
      <c r="C354">
        <v>55000</v>
      </c>
      <c r="D354" t="s">
        <v>18</v>
      </c>
      <c r="E354" t="s">
        <v>19</v>
      </c>
      <c r="F354" t="s">
        <v>43</v>
      </c>
      <c r="G354">
        <v>43845</v>
      </c>
      <c r="H354" t="s">
        <v>27</v>
      </c>
      <c r="I354" t="s">
        <v>32</v>
      </c>
      <c r="J354" t="s">
        <v>28</v>
      </c>
    </row>
    <row r="355" spans="1:10" x14ac:dyDescent="0.35">
      <c r="A355" t="s">
        <v>49</v>
      </c>
      <c r="B355">
        <v>35</v>
      </c>
      <c r="C355" t="s">
        <v>34</v>
      </c>
      <c r="D355" t="s">
        <v>36</v>
      </c>
      <c r="E355" t="s">
        <v>30</v>
      </c>
      <c r="F355" t="s">
        <v>39</v>
      </c>
      <c r="G355" t="s">
        <v>40</v>
      </c>
      <c r="H355" t="s">
        <v>14</v>
      </c>
      <c r="I355" t="s">
        <v>32</v>
      </c>
      <c r="J355" t="s">
        <v>45</v>
      </c>
    </row>
    <row r="356" spans="1:10" x14ac:dyDescent="0.35">
      <c r="A356" t="s">
        <v>35</v>
      </c>
      <c r="B356" t="s">
        <v>42</v>
      </c>
      <c r="C356">
        <v>65000</v>
      </c>
      <c r="D356" t="s">
        <v>18</v>
      </c>
      <c r="E356" t="s">
        <v>37</v>
      </c>
      <c r="F356" t="s">
        <v>44</v>
      </c>
      <c r="G356">
        <v>43881</v>
      </c>
      <c r="H356" t="s">
        <v>41</v>
      </c>
      <c r="I356" t="s">
        <v>16</v>
      </c>
      <c r="J356" t="s">
        <v>28</v>
      </c>
    </row>
    <row r="357" spans="1:10" x14ac:dyDescent="0.35">
      <c r="A357" t="s">
        <v>46</v>
      </c>
      <c r="B357">
        <v>25</v>
      </c>
      <c r="C357">
        <v>55000</v>
      </c>
      <c r="D357" t="s">
        <v>11</v>
      </c>
      <c r="E357" t="s">
        <v>30</v>
      </c>
      <c r="F357" t="s">
        <v>20</v>
      </c>
      <c r="G357">
        <v>43881</v>
      </c>
      <c r="H357" t="s">
        <v>14</v>
      </c>
      <c r="J357" t="s">
        <v>45</v>
      </c>
    </row>
    <row r="358" spans="1:10" x14ac:dyDescent="0.35">
      <c r="A358" t="s">
        <v>35</v>
      </c>
      <c r="B358">
        <v>50</v>
      </c>
      <c r="C358">
        <v>55000</v>
      </c>
      <c r="D358" t="s">
        <v>11</v>
      </c>
      <c r="E358" t="s">
        <v>30</v>
      </c>
      <c r="F358" t="s">
        <v>13</v>
      </c>
      <c r="G358" t="s">
        <v>40</v>
      </c>
      <c r="H358" t="s">
        <v>21</v>
      </c>
      <c r="I358" t="s">
        <v>32</v>
      </c>
      <c r="J358" t="s">
        <v>23</v>
      </c>
    </row>
    <row r="359" spans="1:10" x14ac:dyDescent="0.35">
      <c r="A359" t="s">
        <v>35</v>
      </c>
      <c r="B359">
        <v>35</v>
      </c>
      <c r="C359">
        <v>50000</v>
      </c>
      <c r="D359" t="s">
        <v>36</v>
      </c>
      <c r="E359" t="s">
        <v>19</v>
      </c>
      <c r="F359" t="s">
        <v>39</v>
      </c>
      <c r="G359" t="s">
        <v>40</v>
      </c>
      <c r="H359" t="s">
        <v>14</v>
      </c>
      <c r="I359" t="s">
        <v>22</v>
      </c>
      <c r="J359" t="s">
        <v>16</v>
      </c>
    </row>
    <row r="360" spans="1:10" x14ac:dyDescent="0.35">
      <c r="A360" t="s">
        <v>46</v>
      </c>
      <c r="B360" t="s">
        <v>16</v>
      </c>
      <c r="C360">
        <v>55000</v>
      </c>
      <c r="D360" t="s">
        <v>36</v>
      </c>
      <c r="E360" t="s">
        <v>19</v>
      </c>
      <c r="F360" t="s">
        <v>44</v>
      </c>
      <c r="G360">
        <v>43845</v>
      </c>
      <c r="H360" t="s">
        <v>21</v>
      </c>
      <c r="I360" t="s">
        <v>15</v>
      </c>
      <c r="J360" t="s">
        <v>16</v>
      </c>
    </row>
    <row r="361" spans="1:10" x14ac:dyDescent="0.35">
      <c r="A361" t="s">
        <v>48</v>
      </c>
      <c r="B361" t="s">
        <v>16</v>
      </c>
      <c r="C361">
        <v>50000</v>
      </c>
      <c r="D361" t="s">
        <v>18</v>
      </c>
      <c r="E361" t="s">
        <v>26</v>
      </c>
      <c r="F361" t="s">
        <v>44</v>
      </c>
      <c r="G361">
        <v>43549</v>
      </c>
      <c r="H361" t="s">
        <v>31</v>
      </c>
      <c r="I361" t="s">
        <v>22</v>
      </c>
      <c r="J361" t="s">
        <v>33</v>
      </c>
    </row>
    <row r="362" spans="1:10" x14ac:dyDescent="0.35">
      <c r="A362" t="s">
        <v>17</v>
      </c>
      <c r="B362">
        <v>40</v>
      </c>
      <c r="C362">
        <v>70000</v>
      </c>
      <c r="D362" t="s">
        <v>36</v>
      </c>
      <c r="E362" t="s">
        <v>37</v>
      </c>
      <c r="F362" t="s">
        <v>44</v>
      </c>
      <c r="G362">
        <v>43881</v>
      </c>
      <c r="H362" t="s">
        <v>31</v>
      </c>
      <c r="J362" t="s">
        <v>28</v>
      </c>
    </row>
    <row r="363" spans="1:10" x14ac:dyDescent="0.35">
      <c r="A363" t="s">
        <v>35</v>
      </c>
      <c r="B363" t="s">
        <v>42</v>
      </c>
      <c r="C363" t="s">
        <v>34</v>
      </c>
      <c r="D363" t="s">
        <v>11</v>
      </c>
      <c r="E363" t="s">
        <v>19</v>
      </c>
      <c r="F363" t="s">
        <v>20</v>
      </c>
      <c r="G363">
        <v>43845</v>
      </c>
      <c r="H363" t="s">
        <v>21</v>
      </c>
      <c r="I363" t="s">
        <v>15</v>
      </c>
      <c r="J363" t="s">
        <v>33</v>
      </c>
    </row>
    <row r="364" spans="1:10" x14ac:dyDescent="0.35">
      <c r="A364" t="s">
        <v>46</v>
      </c>
      <c r="B364">
        <v>35</v>
      </c>
      <c r="C364">
        <v>50000</v>
      </c>
      <c r="D364" t="s">
        <v>18</v>
      </c>
      <c r="E364" t="s">
        <v>12</v>
      </c>
      <c r="F364" t="s">
        <v>20</v>
      </c>
      <c r="G364" t="s">
        <v>40</v>
      </c>
      <c r="H364" t="s">
        <v>21</v>
      </c>
      <c r="I364" t="s">
        <v>22</v>
      </c>
      <c r="J364" t="s">
        <v>23</v>
      </c>
    </row>
    <row r="365" spans="1:10" x14ac:dyDescent="0.35">
      <c r="A365" t="s">
        <v>46</v>
      </c>
      <c r="B365">
        <v>40</v>
      </c>
      <c r="C365">
        <v>65000</v>
      </c>
      <c r="D365" t="s">
        <v>11</v>
      </c>
      <c r="E365" t="s">
        <v>37</v>
      </c>
      <c r="F365" t="s">
        <v>20</v>
      </c>
      <c r="G365">
        <v>43845</v>
      </c>
      <c r="H365" t="s">
        <v>14</v>
      </c>
      <c r="I365" t="s">
        <v>22</v>
      </c>
      <c r="J365" t="s">
        <v>16</v>
      </c>
    </row>
    <row r="366" spans="1:10" x14ac:dyDescent="0.35">
      <c r="A366" t="s">
        <v>29</v>
      </c>
      <c r="B366">
        <v>35</v>
      </c>
      <c r="C366" t="s">
        <v>34</v>
      </c>
      <c r="D366" t="s">
        <v>18</v>
      </c>
      <c r="E366" t="s">
        <v>37</v>
      </c>
      <c r="F366" t="s">
        <v>43</v>
      </c>
      <c r="G366" t="s">
        <v>40</v>
      </c>
      <c r="H366" t="s">
        <v>21</v>
      </c>
      <c r="I366" t="s">
        <v>16</v>
      </c>
      <c r="J366" t="s">
        <v>23</v>
      </c>
    </row>
    <row r="367" spans="1:10" x14ac:dyDescent="0.35">
      <c r="A367" t="s">
        <v>48</v>
      </c>
      <c r="B367" t="s">
        <v>42</v>
      </c>
      <c r="C367">
        <v>50000</v>
      </c>
      <c r="D367" t="s">
        <v>36</v>
      </c>
      <c r="E367" t="s">
        <v>19</v>
      </c>
      <c r="F367" t="s">
        <v>44</v>
      </c>
      <c r="G367">
        <v>43195</v>
      </c>
      <c r="H367" t="s">
        <v>41</v>
      </c>
      <c r="J367" t="s">
        <v>23</v>
      </c>
    </row>
    <row r="368" spans="1:10" x14ac:dyDescent="0.35">
      <c r="A368" t="s">
        <v>24</v>
      </c>
      <c r="B368" t="s">
        <v>16</v>
      </c>
      <c r="C368" t="s">
        <v>34</v>
      </c>
      <c r="D368" t="s">
        <v>18</v>
      </c>
      <c r="E368" t="s">
        <v>37</v>
      </c>
      <c r="F368" t="s">
        <v>39</v>
      </c>
      <c r="G368" t="s">
        <v>40</v>
      </c>
      <c r="H368" t="s">
        <v>31</v>
      </c>
      <c r="I368" t="s">
        <v>16</v>
      </c>
      <c r="J368" t="s">
        <v>28</v>
      </c>
    </row>
    <row r="369" spans="1:10" x14ac:dyDescent="0.35">
      <c r="A369" t="s">
        <v>29</v>
      </c>
      <c r="B369">
        <v>25</v>
      </c>
      <c r="C369" t="s">
        <v>34</v>
      </c>
      <c r="D369" t="s">
        <v>18</v>
      </c>
      <c r="E369" t="s">
        <v>19</v>
      </c>
      <c r="F369" t="s">
        <v>20</v>
      </c>
      <c r="G369" t="s">
        <v>40</v>
      </c>
      <c r="H369" t="s">
        <v>31</v>
      </c>
      <c r="I369" t="s">
        <v>15</v>
      </c>
      <c r="J369" t="s">
        <v>23</v>
      </c>
    </row>
    <row r="370" spans="1:10" x14ac:dyDescent="0.35">
      <c r="A370" t="s">
        <v>29</v>
      </c>
      <c r="B370" t="s">
        <v>16</v>
      </c>
      <c r="C370" t="s">
        <v>34</v>
      </c>
      <c r="D370" t="s">
        <v>11</v>
      </c>
      <c r="E370" t="s">
        <v>30</v>
      </c>
      <c r="F370" t="s">
        <v>20</v>
      </c>
      <c r="G370" t="s">
        <v>40</v>
      </c>
      <c r="H370" t="s">
        <v>21</v>
      </c>
      <c r="I370" t="s">
        <v>16</v>
      </c>
      <c r="J370" t="s">
        <v>16</v>
      </c>
    </row>
    <row r="371" spans="1:10" x14ac:dyDescent="0.35">
      <c r="A371" t="s">
        <v>10</v>
      </c>
      <c r="B371">
        <v>40</v>
      </c>
      <c r="C371">
        <v>70000</v>
      </c>
      <c r="D371" t="s">
        <v>11</v>
      </c>
      <c r="E371" t="s">
        <v>26</v>
      </c>
      <c r="F371" t="s">
        <v>44</v>
      </c>
      <c r="G371">
        <v>43549</v>
      </c>
      <c r="H371" t="s">
        <v>27</v>
      </c>
      <c r="J371" t="s">
        <v>33</v>
      </c>
    </row>
    <row r="372" spans="1:10" x14ac:dyDescent="0.35">
      <c r="A372" t="s">
        <v>17</v>
      </c>
      <c r="B372">
        <v>50</v>
      </c>
      <c r="C372">
        <v>65000</v>
      </c>
      <c r="D372" t="s">
        <v>18</v>
      </c>
      <c r="E372" t="s">
        <v>30</v>
      </c>
      <c r="F372" t="s">
        <v>20</v>
      </c>
      <c r="G372" t="s">
        <v>40</v>
      </c>
      <c r="H372" t="s">
        <v>27</v>
      </c>
      <c r="I372" t="s">
        <v>32</v>
      </c>
      <c r="J372" t="s">
        <v>16</v>
      </c>
    </row>
    <row r="373" spans="1:10" x14ac:dyDescent="0.35">
      <c r="A373" t="s">
        <v>46</v>
      </c>
      <c r="B373">
        <v>25</v>
      </c>
      <c r="C373" t="s">
        <v>25</v>
      </c>
      <c r="D373" t="s">
        <v>36</v>
      </c>
      <c r="E373" t="s">
        <v>19</v>
      </c>
      <c r="F373" t="s">
        <v>43</v>
      </c>
      <c r="G373">
        <v>43881</v>
      </c>
      <c r="H373" t="s">
        <v>21</v>
      </c>
      <c r="I373" t="s">
        <v>32</v>
      </c>
      <c r="J373" t="s">
        <v>28</v>
      </c>
    </row>
    <row r="374" spans="1:10" x14ac:dyDescent="0.35">
      <c r="A374" t="s">
        <v>17</v>
      </c>
      <c r="B374">
        <v>40</v>
      </c>
      <c r="C374" t="s">
        <v>25</v>
      </c>
      <c r="D374" t="s">
        <v>36</v>
      </c>
      <c r="E374" t="s">
        <v>19</v>
      </c>
      <c r="F374" t="s">
        <v>43</v>
      </c>
      <c r="G374">
        <v>43881</v>
      </c>
      <c r="H374" t="s">
        <v>41</v>
      </c>
      <c r="I374" t="s">
        <v>15</v>
      </c>
      <c r="J374" t="s">
        <v>16</v>
      </c>
    </row>
    <row r="375" spans="1:10" x14ac:dyDescent="0.35">
      <c r="A375" t="s">
        <v>38</v>
      </c>
      <c r="B375" t="s">
        <v>42</v>
      </c>
      <c r="C375">
        <v>50000</v>
      </c>
      <c r="D375" t="s">
        <v>11</v>
      </c>
      <c r="E375" t="s">
        <v>30</v>
      </c>
      <c r="F375" t="s">
        <v>20</v>
      </c>
      <c r="G375">
        <v>43845</v>
      </c>
      <c r="H375" t="s">
        <v>27</v>
      </c>
      <c r="I375" t="s">
        <v>32</v>
      </c>
      <c r="J375" t="s">
        <v>45</v>
      </c>
    </row>
    <row r="376" spans="1:10" x14ac:dyDescent="0.35">
      <c r="A376" t="s">
        <v>10</v>
      </c>
      <c r="B376">
        <v>25</v>
      </c>
      <c r="C376" t="s">
        <v>34</v>
      </c>
      <c r="D376" t="s">
        <v>36</v>
      </c>
      <c r="E376" t="s">
        <v>12</v>
      </c>
      <c r="F376" t="s">
        <v>44</v>
      </c>
      <c r="G376">
        <v>43549</v>
      </c>
      <c r="H376" t="s">
        <v>21</v>
      </c>
      <c r="I376" t="s">
        <v>16</v>
      </c>
      <c r="J376" t="s">
        <v>33</v>
      </c>
    </row>
    <row r="377" spans="1:10" x14ac:dyDescent="0.35">
      <c r="A377" t="s">
        <v>24</v>
      </c>
      <c r="B377">
        <v>40</v>
      </c>
      <c r="C377">
        <v>50000</v>
      </c>
      <c r="D377" t="s">
        <v>11</v>
      </c>
      <c r="E377" t="s">
        <v>12</v>
      </c>
      <c r="F377" t="s">
        <v>44</v>
      </c>
      <c r="G377">
        <v>43845</v>
      </c>
      <c r="H377" t="s">
        <v>41</v>
      </c>
      <c r="I377" t="s">
        <v>15</v>
      </c>
      <c r="J377" t="s">
        <v>45</v>
      </c>
    </row>
    <row r="378" spans="1:10" x14ac:dyDescent="0.35">
      <c r="A378" t="s">
        <v>17</v>
      </c>
      <c r="B378" t="s">
        <v>42</v>
      </c>
      <c r="C378">
        <v>70000</v>
      </c>
      <c r="D378" t="s">
        <v>36</v>
      </c>
      <c r="E378" t="s">
        <v>12</v>
      </c>
      <c r="F378" t="s">
        <v>44</v>
      </c>
      <c r="G378">
        <v>43881</v>
      </c>
      <c r="H378" t="s">
        <v>41</v>
      </c>
      <c r="J378" t="s">
        <v>45</v>
      </c>
    </row>
    <row r="379" spans="1:10" x14ac:dyDescent="0.35">
      <c r="A379" t="s">
        <v>47</v>
      </c>
      <c r="B379" t="s">
        <v>16</v>
      </c>
      <c r="C379">
        <v>70000</v>
      </c>
      <c r="D379" t="s">
        <v>18</v>
      </c>
      <c r="E379" t="s">
        <v>19</v>
      </c>
      <c r="F379" t="s">
        <v>13</v>
      </c>
      <c r="G379">
        <v>43881</v>
      </c>
      <c r="H379" t="s">
        <v>14</v>
      </c>
      <c r="I379" t="s">
        <v>15</v>
      </c>
      <c r="J379" t="s">
        <v>28</v>
      </c>
    </row>
    <row r="380" spans="1:10" x14ac:dyDescent="0.35">
      <c r="A380" t="s">
        <v>35</v>
      </c>
      <c r="B380">
        <v>50</v>
      </c>
      <c r="C380">
        <v>55000</v>
      </c>
      <c r="D380" t="s">
        <v>11</v>
      </c>
      <c r="E380" t="s">
        <v>37</v>
      </c>
      <c r="F380" t="s">
        <v>20</v>
      </c>
      <c r="G380">
        <v>43195</v>
      </c>
      <c r="H380" t="s">
        <v>41</v>
      </c>
      <c r="I380" t="s">
        <v>15</v>
      </c>
      <c r="J380" t="s">
        <v>23</v>
      </c>
    </row>
    <row r="381" spans="1:10" x14ac:dyDescent="0.35">
      <c r="A381" t="s">
        <v>38</v>
      </c>
      <c r="B381" t="s">
        <v>42</v>
      </c>
      <c r="C381">
        <v>70000</v>
      </c>
      <c r="D381" t="s">
        <v>11</v>
      </c>
      <c r="E381" t="s">
        <v>19</v>
      </c>
      <c r="F381" t="s">
        <v>44</v>
      </c>
      <c r="G381" t="s">
        <v>40</v>
      </c>
      <c r="H381" t="s">
        <v>27</v>
      </c>
      <c r="I381" t="s">
        <v>22</v>
      </c>
      <c r="J381" t="s">
        <v>45</v>
      </c>
    </row>
    <row r="382" spans="1:10" x14ac:dyDescent="0.35">
      <c r="A382" t="s">
        <v>48</v>
      </c>
      <c r="B382">
        <v>35</v>
      </c>
      <c r="C382">
        <v>55000</v>
      </c>
      <c r="D382" t="s">
        <v>18</v>
      </c>
      <c r="E382" t="s">
        <v>37</v>
      </c>
      <c r="F382" t="s">
        <v>43</v>
      </c>
      <c r="G382">
        <v>43881</v>
      </c>
      <c r="H382" t="s">
        <v>27</v>
      </c>
      <c r="I382" t="s">
        <v>22</v>
      </c>
      <c r="J382" t="s">
        <v>16</v>
      </c>
    </row>
    <row r="383" spans="1:10" x14ac:dyDescent="0.35">
      <c r="A383" t="s">
        <v>24</v>
      </c>
      <c r="B383" t="s">
        <v>42</v>
      </c>
      <c r="C383">
        <v>65000</v>
      </c>
      <c r="D383" t="s">
        <v>11</v>
      </c>
      <c r="E383" t="s">
        <v>30</v>
      </c>
      <c r="F383" t="s">
        <v>39</v>
      </c>
      <c r="G383">
        <v>43845</v>
      </c>
      <c r="H383" t="s">
        <v>21</v>
      </c>
      <c r="I383" t="s">
        <v>15</v>
      </c>
      <c r="J383" t="s">
        <v>23</v>
      </c>
    </row>
    <row r="384" spans="1:10" x14ac:dyDescent="0.35">
      <c r="A384" t="s">
        <v>38</v>
      </c>
      <c r="B384" t="s">
        <v>42</v>
      </c>
      <c r="C384">
        <v>50000</v>
      </c>
      <c r="D384" t="s">
        <v>36</v>
      </c>
      <c r="E384" t="s">
        <v>26</v>
      </c>
      <c r="F384" t="s">
        <v>39</v>
      </c>
      <c r="G384">
        <v>43845</v>
      </c>
      <c r="H384" t="s">
        <v>21</v>
      </c>
      <c r="I384" t="s">
        <v>32</v>
      </c>
      <c r="J384" t="s">
        <v>16</v>
      </c>
    </row>
    <row r="385" spans="1:10" x14ac:dyDescent="0.35">
      <c r="A385" t="s">
        <v>35</v>
      </c>
      <c r="B385">
        <v>50</v>
      </c>
      <c r="C385">
        <v>65000</v>
      </c>
      <c r="D385" t="s">
        <v>36</v>
      </c>
      <c r="E385" t="s">
        <v>37</v>
      </c>
      <c r="F385" t="s">
        <v>44</v>
      </c>
      <c r="G385" t="s">
        <v>40</v>
      </c>
      <c r="H385" t="s">
        <v>41</v>
      </c>
      <c r="I385" t="s">
        <v>22</v>
      </c>
      <c r="J385" t="s">
        <v>16</v>
      </c>
    </row>
    <row r="386" spans="1:10" x14ac:dyDescent="0.35">
      <c r="A386" t="s">
        <v>10</v>
      </c>
      <c r="B386">
        <v>35</v>
      </c>
      <c r="C386">
        <v>70000</v>
      </c>
      <c r="D386" t="s">
        <v>11</v>
      </c>
      <c r="E386" t="s">
        <v>12</v>
      </c>
      <c r="F386" t="s">
        <v>39</v>
      </c>
      <c r="G386" t="s">
        <v>40</v>
      </c>
      <c r="H386" t="s">
        <v>31</v>
      </c>
      <c r="J386" t="s">
        <v>23</v>
      </c>
    </row>
    <row r="387" spans="1:10" x14ac:dyDescent="0.35">
      <c r="A387" t="s">
        <v>35</v>
      </c>
      <c r="B387">
        <v>40</v>
      </c>
      <c r="C387">
        <v>65000</v>
      </c>
      <c r="D387" t="s">
        <v>36</v>
      </c>
      <c r="E387" t="s">
        <v>19</v>
      </c>
      <c r="F387" t="s">
        <v>39</v>
      </c>
      <c r="G387">
        <v>43195</v>
      </c>
      <c r="H387" t="s">
        <v>14</v>
      </c>
      <c r="I387" t="s">
        <v>16</v>
      </c>
      <c r="J387" t="s">
        <v>23</v>
      </c>
    </row>
    <row r="388" spans="1:10" x14ac:dyDescent="0.35">
      <c r="A388" t="s">
        <v>29</v>
      </c>
      <c r="B388">
        <v>40</v>
      </c>
      <c r="C388">
        <v>65000</v>
      </c>
      <c r="D388" t="s">
        <v>11</v>
      </c>
      <c r="E388" t="s">
        <v>30</v>
      </c>
      <c r="F388" t="s">
        <v>13</v>
      </c>
      <c r="G388">
        <v>43549</v>
      </c>
      <c r="H388" t="s">
        <v>31</v>
      </c>
      <c r="I388" t="s">
        <v>22</v>
      </c>
      <c r="J388" t="s">
        <v>16</v>
      </c>
    </row>
    <row r="389" spans="1:10" x14ac:dyDescent="0.35">
      <c r="A389" t="s">
        <v>35</v>
      </c>
      <c r="B389" t="s">
        <v>42</v>
      </c>
      <c r="C389">
        <v>65000</v>
      </c>
      <c r="D389" t="s">
        <v>18</v>
      </c>
      <c r="E389" t="s">
        <v>12</v>
      </c>
      <c r="F389" t="s">
        <v>43</v>
      </c>
      <c r="G389">
        <v>43845</v>
      </c>
      <c r="H389" t="s">
        <v>41</v>
      </c>
      <c r="I389" t="s">
        <v>15</v>
      </c>
      <c r="J389" t="s">
        <v>28</v>
      </c>
    </row>
    <row r="390" spans="1:10" x14ac:dyDescent="0.35">
      <c r="A390" t="s">
        <v>29</v>
      </c>
      <c r="B390">
        <v>35</v>
      </c>
      <c r="C390">
        <v>70000</v>
      </c>
      <c r="D390" t="s">
        <v>11</v>
      </c>
      <c r="E390" t="s">
        <v>30</v>
      </c>
      <c r="F390" t="s">
        <v>43</v>
      </c>
      <c r="G390" t="s">
        <v>40</v>
      </c>
      <c r="H390" t="s">
        <v>41</v>
      </c>
      <c r="I390" t="s">
        <v>32</v>
      </c>
      <c r="J390" t="s">
        <v>33</v>
      </c>
    </row>
    <row r="391" spans="1:10" x14ac:dyDescent="0.35">
      <c r="A391" t="s">
        <v>10</v>
      </c>
      <c r="B391">
        <v>35</v>
      </c>
      <c r="C391" t="s">
        <v>34</v>
      </c>
      <c r="D391" t="s">
        <v>18</v>
      </c>
      <c r="E391" t="s">
        <v>26</v>
      </c>
      <c r="F391" t="s">
        <v>13</v>
      </c>
      <c r="G391">
        <v>43845</v>
      </c>
      <c r="H391" t="s">
        <v>31</v>
      </c>
      <c r="I391" t="s">
        <v>16</v>
      </c>
      <c r="J391" t="s">
        <v>33</v>
      </c>
    </row>
    <row r="392" spans="1:10" x14ac:dyDescent="0.35">
      <c r="A392" t="s">
        <v>49</v>
      </c>
      <c r="B392">
        <v>50</v>
      </c>
      <c r="C392">
        <v>65000</v>
      </c>
      <c r="D392" t="s">
        <v>36</v>
      </c>
      <c r="E392" t="s">
        <v>19</v>
      </c>
      <c r="F392" t="s">
        <v>13</v>
      </c>
      <c r="G392" t="s">
        <v>40</v>
      </c>
      <c r="H392" t="s">
        <v>14</v>
      </c>
      <c r="I392" t="s">
        <v>22</v>
      </c>
      <c r="J392" t="s">
        <v>28</v>
      </c>
    </row>
    <row r="393" spans="1:10" x14ac:dyDescent="0.35">
      <c r="A393" t="s">
        <v>29</v>
      </c>
      <c r="B393" t="s">
        <v>16</v>
      </c>
      <c r="C393">
        <v>55000</v>
      </c>
      <c r="D393" t="s">
        <v>18</v>
      </c>
      <c r="E393" t="s">
        <v>19</v>
      </c>
      <c r="F393" t="s">
        <v>39</v>
      </c>
      <c r="G393">
        <v>43881</v>
      </c>
      <c r="H393" t="s">
        <v>31</v>
      </c>
      <c r="I393" t="s">
        <v>32</v>
      </c>
      <c r="J393" t="s">
        <v>23</v>
      </c>
    </row>
    <row r="394" spans="1:10" x14ac:dyDescent="0.35">
      <c r="A394" t="s">
        <v>48</v>
      </c>
      <c r="B394">
        <v>40</v>
      </c>
      <c r="C394">
        <v>70000</v>
      </c>
      <c r="D394" t="s">
        <v>36</v>
      </c>
      <c r="E394" t="s">
        <v>26</v>
      </c>
      <c r="F394" t="s">
        <v>20</v>
      </c>
      <c r="G394">
        <v>43845</v>
      </c>
      <c r="H394" t="s">
        <v>21</v>
      </c>
      <c r="I394" t="s">
        <v>32</v>
      </c>
      <c r="J394" t="s">
        <v>16</v>
      </c>
    </row>
    <row r="395" spans="1:10" x14ac:dyDescent="0.35">
      <c r="A395" t="s">
        <v>35</v>
      </c>
      <c r="B395">
        <v>50</v>
      </c>
      <c r="C395">
        <v>65000</v>
      </c>
      <c r="D395" t="s">
        <v>11</v>
      </c>
      <c r="E395" t="s">
        <v>19</v>
      </c>
      <c r="F395" t="s">
        <v>39</v>
      </c>
      <c r="G395">
        <v>43881</v>
      </c>
      <c r="H395" t="s">
        <v>27</v>
      </c>
      <c r="I395" t="s">
        <v>32</v>
      </c>
      <c r="J395" t="s">
        <v>33</v>
      </c>
    </row>
    <row r="396" spans="1:10" x14ac:dyDescent="0.35">
      <c r="A396" t="s">
        <v>35</v>
      </c>
      <c r="B396">
        <v>25</v>
      </c>
      <c r="C396" t="s">
        <v>34</v>
      </c>
      <c r="D396" t="s">
        <v>36</v>
      </c>
      <c r="E396" t="s">
        <v>37</v>
      </c>
      <c r="F396" t="s">
        <v>13</v>
      </c>
      <c r="G396">
        <v>43845</v>
      </c>
      <c r="H396" t="s">
        <v>21</v>
      </c>
      <c r="I396" t="s">
        <v>15</v>
      </c>
      <c r="J396" t="s">
        <v>16</v>
      </c>
    </row>
    <row r="397" spans="1:10" x14ac:dyDescent="0.35">
      <c r="A397" t="s">
        <v>48</v>
      </c>
      <c r="B397">
        <v>40</v>
      </c>
      <c r="C397">
        <v>70000</v>
      </c>
      <c r="D397" t="s">
        <v>11</v>
      </c>
      <c r="E397" t="s">
        <v>30</v>
      </c>
      <c r="F397" t="s">
        <v>43</v>
      </c>
      <c r="G397">
        <v>43549</v>
      </c>
      <c r="H397" t="s">
        <v>27</v>
      </c>
      <c r="J397" t="s">
        <v>28</v>
      </c>
    </row>
    <row r="398" spans="1:10" x14ac:dyDescent="0.35">
      <c r="A398" t="s">
        <v>47</v>
      </c>
      <c r="B398">
        <v>50</v>
      </c>
      <c r="C398" t="s">
        <v>25</v>
      </c>
      <c r="D398" t="s">
        <v>11</v>
      </c>
      <c r="E398" t="s">
        <v>12</v>
      </c>
      <c r="F398" t="s">
        <v>39</v>
      </c>
      <c r="G398">
        <v>43195</v>
      </c>
      <c r="H398" t="s">
        <v>41</v>
      </c>
      <c r="I398" t="s">
        <v>32</v>
      </c>
      <c r="J398" t="s">
        <v>16</v>
      </c>
    </row>
    <row r="399" spans="1:10" x14ac:dyDescent="0.35">
      <c r="A399" t="s">
        <v>46</v>
      </c>
      <c r="B399">
        <v>40</v>
      </c>
      <c r="C399" t="s">
        <v>34</v>
      </c>
      <c r="D399" t="s">
        <v>18</v>
      </c>
      <c r="E399" t="s">
        <v>26</v>
      </c>
      <c r="F399" t="s">
        <v>20</v>
      </c>
      <c r="G399">
        <v>43881</v>
      </c>
      <c r="H399" t="s">
        <v>14</v>
      </c>
      <c r="I399" t="s">
        <v>16</v>
      </c>
      <c r="J399" t="s">
        <v>28</v>
      </c>
    </row>
    <row r="400" spans="1:10" x14ac:dyDescent="0.35">
      <c r="A400" t="s">
        <v>49</v>
      </c>
      <c r="B400" t="s">
        <v>16</v>
      </c>
      <c r="C400">
        <v>55000</v>
      </c>
      <c r="D400" t="s">
        <v>18</v>
      </c>
      <c r="E400" t="s">
        <v>37</v>
      </c>
      <c r="F400" t="s">
        <v>39</v>
      </c>
      <c r="G400" t="s">
        <v>40</v>
      </c>
      <c r="H400" t="s">
        <v>31</v>
      </c>
      <c r="I400" t="s">
        <v>22</v>
      </c>
      <c r="J400" t="s">
        <v>23</v>
      </c>
    </row>
    <row r="401" spans="1:10" x14ac:dyDescent="0.35">
      <c r="A401" t="s">
        <v>24</v>
      </c>
      <c r="B401">
        <v>25</v>
      </c>
      <c r="C401">
        <v>65000</v>
      </c>
      <c r="D401" t="s">
        <v>18</v>
      </c>
      <c r="E401" t="s">
        <v>12</v>
      </c>
      <c r="F401" t="s">
        <v>44</v>
      </c>
      <c r="G401">
        <v>43549</v>
      </c>
      <c r="H401" t="s">
        <v>14</v>
      </c>
      <c r="I401" t="s">
        <v>16</v>
      </c>
      <c r="J401" t="s">
        <v>28</v>
      </c>
    </row>
    <row r="402" spans="1:10" x14ac:dyDescent="0.35">
      <c r="A402" t="s">
        <v>29</v>
      </c>
      <c r="B402" t="s">
        <v>16</v>
      </c>
      <c r="C402" t="s">
        <v>25</v>
      </c>
      <c r="D402" t="s">
        <v>18</v>
      </c>
      <c r="E402" t="s">
        <v>12</v>
      </c>
      <c r="F402" t="s">
        <v>39</v>
      </c>
      <c r="G402">
        <v>43845</v>
      </c>
      <c r="H402" t="s">
        <v>31</v>
      </c>
      <c r="I402" t="s">
        <v>15</v>
      </c>
      <c r="J402" t="s">
        <v>28</v>
      </c>
    </row>
    <row r="403" spans="1:10" x14ac:dyDescent="0.35">
      <c r="A403" t="s">
        <v>48</v>
      </c>
      <c r="B403">
        <v>25</v>
      </c>
      <c r="C403" t="s">
        <v>25</v>
      </c>
      <c r="D403" t="s">
        <v>36</v>
      </c>
      <c r="E403" t="s">
        <v>26</v>
      </c>
      <c r="F403" t="s">
        <v>13</v>
      </c>
      <c r="G403">
        <v>43881</v>
      </c>
      <c r="H403" t="s">
        <v>21</v>
      </c>
      <c r="I403" t="s">
        <v>15</v>
      </c>
      <c r="J403" t="s">
        <v>33</v>
      </c>
    </row>
    <row r="404" spans="1:10" x14ac:dyDescent="0.35">
      <c r="A404" t="s">
        <v>10</v>
      </c>
      <c r="B404" t="s">
        <v>42</v>
      </c>
      <c r="C404">
        <v>70000</v>
      </c>
      <c r="D404" t="s">
        <v>36</v>
      </c>
      <c r="E404" t="s">
        <v>37</v>
      </c>
      <c r="F404" t="s">
        <v>43</v>
      </c>
      <c r="G404">
        <v>43845</v>
      </c>
      <c r="H404" t="s">
        <v>21</v>
      </c>
      <c r="I404" t="s">
        <v>16</v>
      </c>
      <c r="J404" t="s">
        <v>16</v>
      </c>
    </row>
    <row r="405" spans="1:10" x14ac:dyDescent="0.35">
      <c r="A405" t="s">
        <v>29</v>
      </c>
      <c r="B405">
        <v>50</v>
      </c>
      <c r="C405" t="s">
        <v>25</v>
      </c>
      <c r="D405" t="s">
        <v>36</v>
      </c>
      <c r="E405" t="s">
        <v>12</v>
      </c>
      <c r="F405" t="s">
        <v>43</v>
      </c>
      <c r="G405">
        <v>43845</v>
      </c>
      <c r="H405" t="s">
        <v>31</v>
      </c>
      <c r="J405" t="s">
        <v>33</v>
      </c>
    </row>
    <row r="406" spans="1:10" x14ac:dyDescent="0.35">
      <c r="A406" t="s">
        <v>46</v>
      </c>
      <c r="B406">
        <v>25</v>
      </c>
      <c r="C406">
        <v>55000</v>
      </c>
      <c r="D406" t="s">
        <v>11</v>
      </c>
      <c r="E406" t="s">
        <v>12</v>
      </c>
      <c r="F406" t="s">
        <v>13</v>
      </c>
      <c r="G406">
        <v>43845</v>
      </c>
      <c r="H406" t="s">
        <v>14</v>
      </c>
      <c r="I406" t="s">
        <v>15</v>
      </c>
      <c r="J406" t="s">
        <v>45</v>
      </c>
    </row>
    <row r="407" spans="1:10" x14ac:dyDescent="0.35">
      <c r="A407" t="s">
        <v>10</v>
      </c>
      <c r="B407" t="s">
        <v>16</v>
      </c>
      <c r="C407">
        <v>55000</v>
      </c>
      <c r="D407" t="s">
        <v>36</v>
      </c>
      <c r="E407" t="s">
        <v>37</v>
      </c>
      <c r="F407" t="s">
        <v>44</v>
      </c>
      <c r="G407">
        <v>43195</v>
      </c>
      <c r="H407" t="s">
        <v>31</v>
      </c>
      <c r="I407" t="s">
        <v>15</v>
      </c>
      <c r="J407" t="s">
        <v>28</v>
      </c>
    </row>
    <row r="408" spans="1:10" x14ac:dyDescent="0.35">
      <c r="A408" t="s">
        <v>38</v>
      </c>
      <c r="B408">
        <v>40</v>
      </c>
      <c r="C408">
        <v>50000</v>
      </c>
      <c r="D408" t="s">
        <v>36</v>
      </c>
      <c r="E408" t="s">
        <v>19</v>
      </c>
      <c r="F408" t="s">
        <v>13</v>
      </c>
      <c r="G408">
        <v>43195</v>
      </c>
      <c r="H408" t="s">
        <v>41</v>
      </c>
      <c r="I408" t="s">
        <v>16</v>
      </c>
      <c r="J408" t="s">
        <v>45</v>
      </c>
    </row>
    <row r="409" spans="1:10" x14ac:dyDescent="0.35">
      <c r="A409" t="s">
        <v>35</v>
      </c>
      <c r="B409">
        <v>25</v>
      </c>
      <c r="C409">
        <v>55000</v>
      </c>
      <c r="D409" t="s">
        <v>36</v>
      </c>
      <c r="E409" t="s">
        <v>12</v>
      </c>
      <c r="F409" t="s">
        <v>39</v>
      </c>
      <c r="G409" t="s">
        <v>40</v>
      </c>
      <c r="H409" t="s">
        <v>21</v>
      </c>
      <c r="I409" t="s">
        <v>15</v>
      </c>
      <c r="J409" t="s">
        <v>33</v>
      </c>
    </row>
    <row r="410" spans="1:10" x14ac:dyDescent="0.35">
      <c r="A410" t="s">
        <v>38</v>
      </c>
      <c r="B410">
        <v>50</v>
      </c>
      <c r="C410" t="s">
        <v>34</v>
      </c>
      <c r="D410" t="s">
        <v>18</v>
      </c>
      <c r="E410" t="s">
        <v>30</v>
      </c>
      <c r="F410" t="s">
        <v>13</v>
      </c>
      <c r="G410">
        <v>43881</v>
      </c>
      <c r="H410" t="s">
        <v>41</v>
      </c>
      <c r="J410" t="s">
        <v>16</v>
      </c>
    </row>
    <row r="411" spans="1:10" x14ac:dyDescent="0.35">
      <c r="A411" t="s">
        <v>29</v>
      </c>
      <c r="B411">
        <v>25</v>
      </c>
      <c r="C411" t="s">
        <v>25</v>
      </c>
      <c r="D411" t="s">
        <v>36</v>
      </c>
      <c r="E411" t="s">
        <v>37</v>
      </c>
      <c r="F411" t="s">
        <v>13</v>
      </c>
      <c r="G411">
        <v>43549</v>
      </c>
      <c r="H411" t="s">
        <v>21</v>
      </c>
      <c r="J411" t="s">
        <v>33</v>
      </c>
    </row>
    <row r="412" spans="1:10" x14ac:dyDescent="0.35">
      <c r="A412" t="s">
        <v>46</v>
      </c>
      <c r="B412">
        <v>35</v>
      </c>
      <c r="C412">
        <v>55000</v>
      </c>
      <c r="D412" t="s">
        <v>11</v>
      </c>
      <c r="E412" t="s">
        <v>12</v>
      </c>
      <c r="F412" t="s">
        <v>44</v>
      </c>
      <c r="G412">
        <v>43549</v>
      </c>
      <c r="H412" t="s">
        <v>21</v>
      </c>
      <c r="J412" t="s">
        <v>16</v>
      </c>
    </row>
    <row r="413" spans="1:10" x14ac:dyDescent="0.35">
      <c r="A413" t="s">
        <v>49</v>
      </c>
      <c r="B413">
        <v>40</v>
      </c>
      <c r="C413">
        <v>70000</v>
      </c>
      <c r="D413" t="s">
        <v>18</v>
      </c>
      <c r="E413" t="s">
        <v>26</v>
      </c>
      <c r="F413" t="s">
        <v>39</v>
      </c>
      <c r="G413">
        <v>43549</v>
      </c>
      <c r="H413" t="s">
        <v>27</v>
      </c>
      <c r="I413" t="s">
        <v>22</v>
      </c>
      <c r="J413" t="s">
        <v>16</v>
      </c>
    </row>
    <row r="414" spans="1:10" x14ac:dyDescent="0.35">
      <c r="A414" t="s">
        <v>29</v>
      </c>
      <c r="B414">
        <v>50</v>
      </c>
      <c r="C414">
        <v>50000</v>
      </c>
      <c r="D414" t="s">
        <v>11</v>
      </c>
      <c r="E414" t="s">
        <v>30</v>
      </c>
      <c r="F414" t="s">
        <v>20</v>
      </c>
      <c r="G414">
        <v>43845</v>
      </c>
      <c r="H414" t="s">
        <v>41</v>
      </c>
      <c r="J414" t="s">
        <v>23</v>
      </c>
    </row>
    <row r="415" spans="1:10" x14ac:dyDescent="0.35">
      <c r="A415" t="s">
        <v>48</v>
      </c>
      <c r="B415">
        <v>50</v>
      </c>
      <c r="C415" t="s">
        <v>25</v>
      </c>
      <c r="D415" t="s">
        <v>36</v>
      </c>
      <c r="E415" t="s">
        <v>12</v>
      </c>
      <c r="F415" t="s">
        <v>20</v>
      </c>
      <c r="G415">
        <v>43195</v>
      </c>
      <c r="H415" t="s">
        <v>41</v>
      </c>
      <c r="J415" t="s">
        <v>28</v>
      </c>
    </row>
    <row r="416" spans="1:10" x14ac:dyDescent="0.35">
      <c r="A416" t="s">
        <v>17</v>
      </c>
      <c r="B416" t="s">
        <v>42</v>
      </c>
      <c r="C416">
        <v>50000</v>
      </c>
      <c r="D416" t="s">
        <v>18</v>
      </c>
      <c r="E416" t="s">
        <v>30</v>
      </c>
      <c r="F416" t="s">
        <v>43</v>
      </c>
      <c r="G416">
        <v>43881</v>
      </c>
      <c r="H416" t="s">
        <v>27</v>
      </c>
      <c r="I416" t="s">
        <v>22</v>
      </c>
      <c r="J416" t="s">
        <v>33</v>
      </c>
    </row>
    <row r="417" spans="1:10" x14ac:dyDescent="0.35">
      <c r="A417" t="s">
        <v>29</v>
      </c>
      <c r="B417" t="s">
        <v>16</v>
      </c>
      <c r="C417" t="s">
        <v>25</v>
      </c>
      <c r="D417" t="s">
        <v>11</v>
      </c>
      <c r="E417" t="s">
        <v>30</v>
      </c>
      <c r="F417" t="s">
        <v>13</v>
      </c>
      <c r="G417">
        <v>43845</v>
      </c>
      <c r="H417" t="s">
        <v>14</v>
      </c>
      <c r="I417" t="s">
        <v>32</v>
      </c>
      <c r="J417" t="s">
        <v>16</v>
      </c>
    </row>
    <row r="418" spans="1:10" x14ac:dyDescent="0.35">
      <c r="A418" t="s">
        <v>35</v>
      </c>
      <c r="B418" t="s">
        <v>42</v>
      </c>
      <c r="C418">
        <v>70000</v>
      </c>
      <c r="D418" t="s">
        <v>36</v>
      </c>
      <c r="E418" t="s">
        <v>19</v>
      </c>
      <c r="F418" t="s">
        <v>43</v>
      </c>
      <c r="G418">
        <v>43195</v>
      </c>
      <c r="H418" t="s">
        <v>41</v>
      </c>
      <c r="I418" t="s">
        <v>15</v>
      </c>
      <c r="J418" t="s">
        <v>33</v>
      </c>
    </row>
    <row r="419" spans="1:10" x14ac:dyDescent="0.35">
      <c r="A419" t="s">
        <v>35</v>
      </c>
      <c r="B419">
        <v>50</v>
      </c>
      <c r="C419">
        <v>50000</v>
      </c>
      <c r="D419" t="s">
        <v>11</v>
      </c>
      <c r="E419" t="s">
        <v>30</v>
      </c>
      <c r="F419" t="s">
        <v>44</v>
      </c>
      <c r="G419">
        <v>43195</v>
      </c>
      <c r="H419" t="s">
        <v>31</v>
      </c>
      <c r="J419" t="s">
        <v>33</v>
      </c>
    </row>
    <row r="420" spans="1:10" x14ac:dyDescent="0.35">
      <c r="A420" t="s">
        <v>29</v>
      </c>
      <c r="B420">
        <v>40</v>
      </c>
      <c r="C420">
        <v>65000</v>
      </c>
      <c r="D420" t="s">
        <v>11</v>
      </c>
      <c r="E420" t="s">
        <v>19</v>
      </c>
      <c r="F420" t="s">
        <v>20</v>
      </c>
      <c r="G420">
        <v>43881</v>
      </c>
      <c r="H420" t="s">
        <v>27</v>
      </c>
      <c r="I420" t="s">
        <v>15</v>
      </c>
      <c r="J420" t="s">
        <v>16</v>
      </c>
    </row>
    <row r="421" spans="1:10" x14ac:dyDescent="0.35">
      <c r="A421" t="s">
        <v>10</v>
      </c>
      <c r="B421">
        <v>25</v>
      </c>
      <c r="C421" t="s">
        <v>34</v>
      </c>
      <c r="D421" t="s">
        <v>11</v>
      </c>
      <c r="E421" t="s">
        <v>37</v>
      </c>
      <c r="F421" t="s">
        <v>13</v>
      </c>
      <c r="G421">
        <v>43881</v>
      </c>
      <c r="H421" t="s">
        <v>41</v>
      </c>
      <c r="I421" t="s">
        <v>16</v>
      </c>
      <c r="J421" t="s">
        <v>45</v>
      </c>
    </row>
    <row r="422" spans="1:10" x14ac:dyDescent="0.35">
      <c r="A422" t="s">
        <v>17</v>
      </c>
      <c r="B422">
        <v>25</v>
      </c>
      <c r="C422" t="s">
        <v>34</v>
      </c>
      <c r="D422" t="s">
        <v>36</v>
      </c>
      <c r="E422" t="s">
        <v>19</v>
      </c>
      <c r="F422" t="s">
        <v>44</v>
      </c>
      <c r="G422">
        <v>43881</v>
      </c>
      <c r="H422" t="s">
        <v>14</v>
      </c>
      <c r="I422" t="s">
        <v>15</v>
      </c>
      <c r="J422" t="s">
        <v>28</v>
      </c>
    </row>
    <row r="423" spans="1:10" x14ac:dyDescent="0.35">
      <c r="A423" t="s">
        <v>48</v>
      </c>
      <c r="B423">
        <v>40</v>
      </c>
      <c r="C423" t="s">
        <v>25</v>
      </c>
      <c r="D423" t="s">
        <v>36</v>
      </c>
      <c r="E423" t="s">
        <v>26</v>
      </c>
      <c r="F423" t="s">
        <v>44</v>
      </c>
      <c r="G423">
        <v>43845</v>
      </c>
      <c r="H423" t="s">
        <v>41</v>
      </c>
      <c r="I423" t="s">
        <v>22</v>
      </c>
      <c r="J423" t="s">
        <v>28</v>
      </c>
    </row>
    <row r="424" spans="1:10" x14ac:dyDescent="0.35">
      <c r="A424" t="s">
        <v>29</v>
      </c>
      <c r="B424">
        <v>50</v>
      </c>
      <c r="C424">
        <v>65000</v>
      </c>
      <c r="D424" t="s">
        <v>11</v>
      </c>
      <c r="E424" t="s">
        <v>12</v>
      </c>
      <c r="F424" t="s">
        <v>13</v>
      </c>
      <c r="G424" t="s">
        <v>40</v>
      </c>
      <c r="H424" t="s">
        <v>21</v>
      </c>
      <c r="I424" t="s">
        <v>15</v>
      </c>
      <c r="J424" t="s">
        <v>23</v>
      </c>
    </row>
    <row r="425" spans="1:10" x14ac:dyDescent="0.35">
      <c r="A425" t="s">
        <v>10</v>
      </c>
      <c r="B425">
        <v>25</v>
      </c>
      <c r="C425">
        <v>50000</v>
      </c>
      <c r="D425" t="s">
        <v>18</v>
      </c>
      <c r="E425" t="s">
        <v>37</v>
      </c>
      <c r="F425" t="s">
        <v>44</v>
      </c>
      <c r="G425">
        <v>43881</v>
      </c>
      <c r="H425" t="s">
        <v>31</v>
      </c>
      <c r="I425" t="s">
        <v>15</v>
      </c>
      <c r="J425" t="s">
        <v>23</v>
      </c>
    </row>
    <row r="426" spans="1:10" x14ac:dyDescent="0.35">
      <c r="A426" t="s">
        <v>35</v>
      </c>
      <c r="B426">
        <v>25</v>
      </c>
      <c r="C426">
        <v>65000</v>
      </c>
      <c r="D426" t="s">
        <v>18</v>
      </c>
      <c r="E426" t="s">
        <v>37</v>
      </c>
      <c r="F426" t="s">
        <v>13</v>
      </c>
      <c r="G426" t="s">
        <v>40</v>
      </c>
      <c r="H426" t="s">
        <v>27</v>
      </c>
      <c r="I426" t="s">
        <v>15</v>
      </c>
      <c r="J426" t="s">
        <v>23</v>
      </c>
    </row>
    <row r="427" spans="1:10" x14ac:dyDescent="0.35">
      <c r="A427" t="s">
        <v>35</v>
      </c>
      <c r="B427">
        <v>25</v>
      </c>
      <c r="C427">
        <v>65000</v>
      </c>
      <c r="D427" t="s">
        <v>36</v>
      </c>
      <c r="E427" t="s">
        <v>26</v>
      </c>
      <c r="F427" t="s">
        <v>13</v>
      </c>
      <c r="G427">
        <v>43845</v>
      </c>
      <c r="H427" t="s">
        <v>21</v>
      </c>
      <c r="I427" t="s">
        <v>32</v>
      </c>
      <c r="J427" t="s">
        <v>28</v>
      </c>
    </row>
    <row r="428" spans="1:10" x14ac:dyDescent="0.35">
      <c r="A428" t="s">
        <v>46</v>
      </c>
      <c r="B428" t="s">
        <v>16</v>
      </c>
      <c r="C428">
        <v>50000</v>
      </c>
      <c r="D428" t="s">
        <v>36</v>
      </c>
      <c r="E428" t="s">
        <v>19</v>
      </c>
      <c r="F428" t="s">
        <v>39</v>
      </c>
      <c r="G428" t="s">
        <v>40</v>
      </c>
      <c r="H428" t="s">
        <v>14</v>
      </c>
      <c r="I428" t="s">
        <v>32</v>
      </c>
      <c r="J428" t="s">
        <v>45</v>
      </c>
    </row>
    <row r="429" spans="1:10" x14ac:dyDescent="0.35">
      <c r="A429" t="s">
        <v>29</v>
      </c>
      <c r="B429" t="s">
        <v>16</v>
      </c>
      <c r="C429">
        <v>70000</v>
      </c>
      <c r="D429" t="s">
        <v>36</v>
      </c>
      <c r="E429" t="s">
        <v>12</v>
      </c>
      <c r="F429" t="s">
        <v>43</v>
      </c>
      <c r="G429">
        <v>43549</v>
      </c>
      <c r="H429" t="s">
        <v>21</v>
      </c>
      <c r="I429" t="s">
        <v>16</v>
      </c>
      <c r="J429" t="s">
        <v>28</v>
      </c>
    </row>
    <row r="430" spans="1:10" x14ac:dyDescent="0.35">
      <c r="A430" t="s">
        <v>17</v>
      </c>
      <c r="B430">
        <v>35</v>
      </c>
      <c r="C430">
        <v>65000</v>
      </c>
      <c r="D430" t="s">
        <v>36</v>
      </c>
      <c r="E430" t="s">
        <v>19</v>
      </c>
      <c r="F430" t="s">
        <v>44</v>
      </c>
      <c r="G430" t="s">
        <v>40</v>
      </c>
      <c r="H430" t="s">
        <v>21</v>
      </c>
      <c r="I430" t="s">
        <v>22</v>
      </c>
      <c r="J430" t="s">
        <v>28</v>
      </c>
    </row>
    <row r="431" spans="1:10" x14ac:dyDescent="0.35">
      <c r="A431" t="s">
        <v>47</v>
      </c>
      <c r="B431" t="s">
        <v>42</v>
      </c>
      <c r="C431">
        <v>65000</v>
      </c>
      <c r="D431" t="s">
        <v>36</v>
      </c>
      <c r="E431" t="s">
        <v>30</v>
      </c>
      <c r="F431" t="s">
        <v>44</v>
      </c>
      <c r="G431">
        <v>43881</v>
      </c>
      <c r="H431" t="s">
        <v>14</v>
      </c>
      <c r="I431" t="s">
        <v>15</v>
      </c>
      <c r="J431" t="s">
        <v>28</v>
      </c>
    </row>
    <row r="432" spans="1:10" x14ac:dyDescent="0.35">
      <c r="A432" t="s">
        <v>17</v>
      </c>
      <c r="B432">
        <v>40</v>
      </c>
      <c r="C432">
        <v>70000</v>
      </c>
      <c r="D432" t="s">
        <v>18</v>
      </c>
      <c r="E432" t="s">
        <v>19</v>
      </c>
      <c r="F432" t="s">
        <v>39</v>
      </c>
      <c r="G432">
        <v>43845</v>
      </c>
      <c r="H432" t="s">
        <v>21</v>
      </c>
      <c r="I432" t="s">
        <v>15</v>
      </c>
      <c r="J432" t="s">
        <v>28</v>
      </c>
    </row>
    <row r="433" spans="1:10" x14ac:dyDescent="0.35">
      <c r="A433" t="s">
        <v>35</v>
      </c>
      <c r="B433">
        <v>40</v>
      </c>
      <c r="C433">
        <v>65000</v>
      </c>
      <c r="D433" t="s">
        <v>36</v>
      </c>
      <c r="E433" t="s">
        <v>37</v>
      </c>
      <c r="F433" t="s">
        <v>39</v>
      </c>
      <c r="G433">
        <v>43881</v>
      </c>
      <c r="H433" t="s">
        <v>27</v>
      </c>
      <c r="I433" t="s">
        <v>15</v>
      </c>
      <c r="J433" t="s">
        <v>45</v>
      </c>
    </row>
    <row r="434" spans="1:10" x14ac:dyDescent="0.35">
      <c r="A434" t="s">
        <v>35</v>
      </c>
      <c r="B434">
        <v>40</v>
      </c>
      <c r="C434">
        <v>65000</v>
      </c>
      <c r="D434" t="s">
        <v>11</v>
      </c>
      <c r="E434" t="s">
        <v>12</v>
      </c>
      <c r="F434" t="s">
        <v>39</v>
      </c>
      <c r="G434">
        <v>43549</v>
      </c>
      <c r="H434" t="s">
        <v>41</v>
      </c>
      <c r="I434" t="s">
        <v>15</v>
      </c>
      <c r="J434" t="s">
        <v>23</v>
      </c>
    </row>
    <row r="435" spans="1:10" x14ac:dyDescent="0.35">
      <c r="A435" t="s">
        <v>38</v>
      </c>
      <c r="B435">
        <v>35</v>
      </c>
      <c r="C435">
        <v>65000</v>
      </c>
      <c r="D435" t="s">
        <v>11</v>
      </c>
      <c r="E435" t="s">
        <v>19</v>
      </c>
      <c r="F435" t="s">
        <v>20</v>
      </c>
      <c r="G435">
        <v>43881</v>
      </c>
      <c r="H435" t="s">
        <v>21</v>
      </c>
      <c r="I435" t="s">
        <v>32</v>
      </c>
      <c r="J435" t="s">
        <v>33</v>
      </c>
    </row>
    <row r="436" spans="1:10" x14ac:dyDescent="0.35">
      <c r="A436" t="s">
        <v>35</v>
      </c>
      <c r="B436" t="s">
        <v>16</v>
      </c>
      <c r="C436" t="s">
        <v>34</v>
      </c>
      <c r="D436" t="s">
        <v>18</v>
      </c>
      <c r="E436" t="s">
        <v>12</v>
      </c>
      <c r="F436" t="s">
        <v>20</v>
      </c>
      <c r="G436">
        <v>43881</v>
      </c>
      <c r="H436" t="s">
        <v>27</v>
      </c>
      <c r="I436" t="s">
        <v>16</v>
      </c>
      <c r="J436" t="s">
        <v>23</v>
      </c>
    </row>
    <row r="437" spans="1:10" x14ac:dyDescent="0.35">
      <c r="A437" t="s">
        <v>48</v>
      </c>
      <c r="B437">
        <v>50</v>
      </c>
      <c r="C437">
        <v>55000</v>
      </c>
      <c r="D437" t="s">
        <v>11</v>
      </c>
      <c r="E437" t="s">
        <v>12</v>
      </c>
      <c r="F437" t="s">
        <v>20</v>
      </c>
      <c r="G437">
        <v>43881</v>
      </c>
      <c r="H437" t="s">
        <v>41</v>
      </c>
      <c r="J437" t="s">
        <v>23</v>
      </c>
    </row>
    <row r="438" spans="1:10" x14ac:dyDescent="0.35">
      <c r="A438" t="s">
        <v>24</v>
      </c>
      <c r="B438">
        <v>50</v>
      </c>
      <c r="C438">
        <v>70000</v>
      </c>
      <c r="D438" t="s">
        <v>18</v>
      </c>
      <c r="E438" t="s">
        <v>30</v>
      </c>
      <c r="F438" t="s">
        <v>13</v>
      </c>
      <c r="G438">
        <v>43195</v>
      </c>
      <c r="H438" t="s">
        <v>41</v>
      </c>
      <c r="I438" t="s">
        <v>22</v>
      </c>
      <c r="J438" t="s">
        <v>33</v>
      </c>
    </row>
    <row r="439" spans="1:10" x14ac:dyDescent="0.35">
      <c r="A439" t="s">
        <v>29</v>
      </c>
      <c r="B439">
        <v>35</v>
      </c>
      <c r="C439">
        <v>65000</v>
      </c>
      <c r="D439" t="s">
        <v>18</v>
      </c>
      <c r="E439" t="s">
        <v>30</v>
      </c>
      <c r="F439" t="s">
        <v>44</v>
      </c>
      <c r="G439">
        <v>43549</v>
      </c>
      <c r="H439" t="s">
        <v>21</v>
      </c>
      <c r="I439" t="s">
        <v>15</v>
      </c>
      <c r="J439" t="s">
        <v>28</v>
      </c>
    </row>
    <row r="440" spans="1:10" x14ac:dyDescent="0.35">
      <c r="A440" t="s">
        <v>17</v>
      </c>
      <c r="B440">
        <v>50</v>
      </c>
      <c r="C440" t="s">
        <v>34</v>
      </c>
      <c r="D440" t="s">
        <v>11</v>
      </c>
      <c r="E440" t="s">
        <v>37</v>
      </c>
      <c r="F440" t="s">
        <v>43</v>
      </c>
      <c r="G440">
        <v>43881</v>
      </c>
      <c r="H440" t="s">
        <v>27</v>
      </c>
      <c r="I440" t="s">
        <v>16</v>
      </c>
      <c r="J440" t="s">
        <v>45</v>
      </c>
    </row>
    <row r="441" spans="1:10" x14ac:dyDescent="0.35">
      <c r="A441" t="s">
        <v>24</v>
      </c>
      <c r="B441">
        <v>40</v>
      </c>
      <c r="C441">
        <v>70000</v>
      </c>
      <c r="D441" t="s">
        <v>36</v>
      </c>
      <c r="E441" t="s">
        <v>26</v>
      </c>
      <c r="F441" t="s">
        <v>13</v>
      </c>
      <c r="G441">
        <v>43881</v>
      </c>
      <c r="H441" t="s">
        <v>21</v>
      </c>
      <c r="J441" t="s">
        <v>45</v>
      </c>
    </row>
    <row r="442" spans="1:10" x14ac:dyDescent="0.35">
      <c r="A442" t="s">
        <v>10</v>
      </c>
      <c r="B442" t="s">
        <v>42</v>
      </c>
      <c r="C442" t="s">
        <v>25</v>
      </c>
      <c r="D442" t="s">
        <v>11</v>
      </c>
      <c r="E442" t="s">
        <v>12</v>
      </c>
      <c r="F442" t="s">
        <v>44</v>
      </c>
      <c r="G442">
        <v>43881</v>
      </c>
      <c r="H442" t="s">
        <v>14</v>
      </c>
      <c r="I442" t="s">
        <v>16</v>
      </c>
      <c r="J442" t="s">
        <v>23</v>
      </c>
    </row>
    <row r="443" spans="1:10" x14ac:dyDescent="0.35">
      <c r="A443" t="s">
        <v>47</v>
      </c>
      <c r="B443">
        <v>25</v>
      </c>
      <c r="C443" t="s">
        <v>25</v>
      </c>
      <c r="D443" t="s">
        <v>11</v>
      </c>
      <c r="E443" t="s">
        <v>26</v>
      </c>
      <c r="F443" t="s">
        <v>44</v>
      </c>
      <c r="G443">
        <v>43845</v>
      </c>
      <c r="H443" t="s">
        <v>41</v>
      </c>
      <c r="I443" t="s">
        <v>32</v>
      </c>
      <c r="J443" t="s">
        <v>33</v>
      </c>
    </row>
    <row r="444" spans="1:10" x14ac:dyDescent="0.35">
      <c r="A444" t="s">
        <v>48</v>
      </c>
      <c r="B444" t="s">
        <v>16</v>
      </c>
      <c r="C444">
        <v>65000</v>
      </c>
      <c r="D444" t="s">
        <v>18</v>
      </c>
      <c r="E444" t="s">
        <v>37</v>
      </c>
      <c r="F444" t="s">
        <v>39</v>
      </c>
      <c r="G444">
        <v>43195</v>
      </c>
      <c r="H444" t="s">
        <v>21</v>
      </c>
      <c r="J444" t="s">
        <v>16</v>
      </c>
    </row>
    <row r="445" spans="1:10" x14ac:dyDescent="0.35">
      <c r="A445" t="s">
        <v>17</v>
      </c>
      <c r="B445" t="s">
        <v>16</v>
      </c>
      <c r="C445" t="s">
        <v>34</v>
      </c>
      <c r="D445" t="s">
        <v>11</v>
      </c>
      <c r="E445" t="s">
        <v>12</v>
      </c>
      <c r="F445" t="s">
        <v>39</v>
      </c>
      <c r="G445">
        <v>43845</v>
      </c>
      <c r="H445" t="s">
        <v>41</v>
      </c>
      <c r="I445" t="s">
        <v>16</v>
      </c>
      <c r="J445" t="s">
        <v>28</v>
      </c>
    </row>
    <row r="446" spans="1:10" x14ac:dyDescent="0.35">
      <c r="A446" t="s">
        <v>24</v>
      </c>
      <c r="B446">
        <v>35</v>
      </c>
      <c r="C446" t="s">
        <v>34</v>
      </c>
      <c r="D446" t="s">
        <v>18</v>
      </c>
      <c r="E446" t="s">
        <v>12</v>
      </c>
      <c r="F446" t="s">
        <v>13</v>
      </c>
      <c r="G446">
        <v>43195</v>
      </c>
      <c r="H446" t="s">
        <v>27</v>
      </c>
      <c r="I446" t="s">
        <v>32</v>
      </c>
      <c r="J446" t="s">
        <v>23</v>
      </c>
    </row>
    <row r="447" spans="1:10" x14ac:dyDescent="0.35">
      <c r="A447" t="s">
        <v>47</v>
      </c>
      <c r="B447" t="s">
        <v>16</v>
      </c>
      <c r="C447">
        <v>70000</v>
      </c>
      <c r="D447" t="s">
        <v>36</v>
      </c>
      <c r="E447" t="s">
        <v>26</v>
      </c>
      <c r="F447" t="s">
        <v>39</v>
      </c>
      <c r="G447">
        <v>43881</v>
      </c>
      <c r="H447" t="s">
        <v>31</v>
      </c>
      <c r="I447" t="s">
        <v>16</v>
      </c>
      <c r="J447" t="s">
        <v>45</v>
      </c>
    </row>
    <row r="448" spans="1:10" x14ac:dyDescent="0.35">
      <c r="A448" t="s">
        <v>38</v>
      </c>
      <c r="B448">
        <v>40</v>
      </c>
      <c r="C448">
        <v>70000</v>
      </c>
      <c r="D448" t="s">
        <v>36</v>
      </c>
      <c r="E448" t="s">
        <v>19</v>
      </c>
      <c r="F448" t="s">
        <v>44</v>
      </c>
      <c r="G448">
        <v>43549</v>
      </c>
      <c r="H448" t="s">
        <v>21</v>
      </c>
      <c r="I448" t="s">
        <v>16</v>
      </c>
      <c r="J448" t="s">
        <v>33</v>
      </c>
    </row>
    <row r="449" spans="1:10" x14ac:dyDescent="0.35">
      <c r="A449" t="s">
        <v>48</v>
      </c>
      <c r="B449">
        <v>50</v>
      </c>
      <c r="C449" t="s">
        <v>34</v>
      </c>
      <c r="D449" t="s">
        <v>36</v>
      </c>
      <c r="E449" t="s">
        <v>30</v>
      </c>
      <c r="F449" t="s">
        <v>39</v>
      </c>
      <c r="G449" t="s">
        <v>40</v>
      </c>
      <c r="H449" t="s">
        <v>21</v>
      </c>
      <c r="J449" t="s">
        <v>33</v>
      </c>
    </row>
    <row r="450" spans="1:10" x14ac:dyDescent="0.35">
      <c r="A450" t="s">
        <v>48</v>
      </c>
      <c r="B450">
        <v>40</v>
      </c>
      <c r="C450">
        <v>70000</v>
      </c>
      <c r="D450" t="s">
        <v>11</v>
      </c>
      <c r="E450" t="s">
        <v>19</v>
      </c>
      <c r="F450" t="s">
        <v>20</v>
      </c>
      <c r="G450" t="s">
        <v>40</v>
      </c>
      <c r="H450" t="s">
        <v>41</v>
      </c>
      <c r="I450" t="s">
        <v>32</v>
      </c>
      <c r="J450" t="s">
        <v>23</v>
      </c>
    </row>
    <row r="451" spans="1:10" x14ac:dyDescent="0.35">
      <c r="A451" t="s">
        <v>38</v>
      </c>
      <c r="B451">
        <v>35</v>
      </c>
      <c r="C451" t="s">
        <v>34</v>
      </c>
      <c r="D451" t="s">
        <v>18</v>
      </c>
      <c r="E451" t="s">
        <v>26</v>
      </c>
      <c r="F451" t="s">
        <v>39</v>
      </c>
      <c r="G451">
        <v>43881</v>
      </c>
      <c r="H451" t="s">
        <v>27</v>
      </c>
      <c r="I451" t="s">
        <v>15</v>
      </c>
      <c r="J451" t="s">
        <v>16</v>
      </c>
    </row>
    <row r="452" spans="1:10" x14ac:dyDescent="0.35">
      <c r="A452" t="s">
        <v>29</v>
      </c>
      <c r="B452">
        <v>40</v>
      </c>
      <c r="C452">
        <v>55000</v>
      </c>
      <c r="D452" t="s">
        <v>36</v>
      </c>
      <c r="E452" t="s">
        <v>30</v>
      </c>
      <c r="F452" t="s">
        <v>44</v>
      </c>
      <c r="G452">
        <v>43845</v>
      </c>
      <c r="H452" t="s">
        <v>14</v>
      </c>
      <c r="I452" t="s">
        <v>22</v>
      </c>
      <c r="J452" t="s">
        <v>45</v>
      </c>
    </row>
    <row r="453" spans="1:10" x14ac:dyDescent="0.35">
      <c r="A453" t="s">
        <v>38</v>
      </c>
      <c r="B453">
        <v>50</v>
      </c>
      <c r="C453" t="s">
        <v>34</v>
      </c>
      <c r="D453" t="s">
        <v>18</v>
      </c>
      <c r="E453" t="s">
        <v>19</v>
      </c>
      <c r="F453" t="s">
        <v>13</v>
      </c>
      <c r="G453">
        <v>43549</v>
      </c>
      <c r="H453" t="s">
        <v>27</v>
      </c>
      <c r="J453" t="s">
        <v>23</v>
      </c>
    </row>
    <row r="454" spans="1:10" x14ac:dyDescent="0.35">
      <c r="A454" t="s">
        <v>48</v>
      </c>
      <c r="B454" t="s">
        <v>42</v>
      </c>
      <c r="C454" t="s">
        <v>25</v>
      </c>
      <c r="D454" t="s">
        <v>18</v>
      </c>
      <c r="E454" t="s">
        <v>30</v>
      </c>
      <c r="F454" t="s">
        <v>43</v>
      </c>
      <c r="G454">
        <v>43195</v>
      </c>
      <c r="H454" t="s">
        <v>21</v>
      </c>
      <c r="I454" t="s">
        <v>32</v>
      </c>
      <c r="J454" t="s">
        <v>16</v>
      </c>
    </row>
    <row r="455" spans="1:10" x14ac:dyDescent="0.35">
      <c r="A455" t="s">
        <v>48</v>
      </c>
      <c r="B455">
        <v>35</v>
      </c>
      <c r="C455">
        <v>70000</v>
      </c>
      <c r="D455" t="s">
        <v>36</v>
      </c>
      <c r="E455" t="s">
        <v>12</v>
      </c>
      <c r="F455" t="s">
        <v>39</v>
      </c>
      <c r="G455">
        <v>43881</v>
      </c>
      <c r="H455" t="s">
        <v>14</v>
      </c>
      <c r="I455" t="s">
        <v>16</v>
      </c>
      <c r="J455" t="s">
        <v>33</v>
      </c>
    </row>
    <row r="456" spans="1:10" x14ac:dyDescent="0.35">
      <c r="A456" t="s">
        <v>24</v>
      </c>
      <c r="B456" t="s">
        <v>42</v>
      </c>
      <c r="C456" t="s">
        <v>34</v>
      </c>
      <c r="D456" t="s">
        <v>36</v>
      </c>
      <c r="E456" t="s">
        <v>19</v>
      </c>
      <c r="F456" t="s">
        <v>44</v>
      </c>
      <c r="G456">
        <v>43549</v>
      </c>
      <c r="H456" t="s">
        <v>27</v>
      </c>
      <c r="I456" t="s">
        <v>32</v>
      </c>
      <c r="J456" t="s">
        <v>28</v>
      </c>
    </row>
    <row r="457" spans="1:10" x14ac:dyDescent="0.35">
      <c r="A457" t="s">
        <v>35</v>
      </c>
      <c r="B457">
        <v>25</v>
      </c>
      <c r="C457" t="s">
        <v>34</v>
      </c>
      <c r="D457" t="s">
        <v>18</v>
      </c>
      <c r="E457" t="s">
        <v>30</v>
      </c>
      <c r="F457" t="s">
        <v>43</v>
      </c>
      <c r="G457">
        <v>43549</v>
      </c>
      <c r="H457" t="s">
        <v>31</v>
      </c>
      <c r="I457" t="s">
        <v>22</v>
      </c>
      <c r="J457" t="s">
        <v>45</v>
      </c>
    </row>
    <row r="458" spans="1:10" x14ac:dyDescent="0.35">
      <c r="A458" t="s">
        <v>47</v>
      </c>
      <c r="B458" t="s">
        <v>42</v>
      </c>
      <c r="C458">
        <v>70000</v>
      </c>
      <c r="D458" t="s">
        <v>36</v>
      </c>
      <c r="E458" t="s">
        <v>30</v>
      </c>
      <c r="F458" t="s">
        <v>43</v>
      </c>
      <c r="G458">
        <v>43195</v>
      </c>
      <c r="H458" t="s">
        <v>41</v>
      </c>
      <c r="I458" t="s">
        <v>22</v>
      </c>
      <c r="J458" t="s">
        <v>45</v>
      </c>
    </row>
    <row r="459" spans="1:10" x14ac:dyDescent="0.35">
      <c r="A459" t="s">
        <v>38</v>
      </c>
      <c r="B459">
        <v>25</v>
      </c>
      <c r="C459">
        <v>55000</v>
      </c>
      <c r="D459" t="s">
        <v>18</v>
      </c>
      <c r="E459" t="s">
        <v>30</v>
      </c>
      <c r="F459" t="s">
        <v>20</v>
      </c>
      <c r="G459">
        <v>43549</v>
      </c>
      <c r="H459" t="s">
        <v>27</v>
      </c>
      <c r="I459" t="s">
        <v>15</v>
      </c>
      <c r="J459" t="s">
        <v>16</v>
      </c>
    </row>
    <row r="460" spans="1:10" x14ac:dyDescent="0.35">
      <c r="A460" t="s">
        <v>47</v>
      </c>
      <c r="B460">
        <v>25</v>
      </c>
      <c r="C460">
        <v>55000</v>
      </c>
      <c r="D460" t="s">
        <v>18</v>
      </c>
      <c r="E460" t="s">
        <v>19</v>
      </c>
      <c r="F460" t="s">
        <v>43</v>
      </c>
      <c r="G460">
        <v>43845</v>
      </c>
      <c r="H460" t="s">
        <v>27</v>
      </c>
      <c r="I460" t="s">
        <v>15</v>
      </c>
      <c r="J460" t="s">
        <v>23</v>
      </c>
    </row>
    <row r="461" spans="1:10" x14ac:dyDescent="0.35">
      <c r="A461" t="s">
        <v>38</v>
      </c>
      <c r="B461" t="s">
        <v>42</v>
      </c>
      <c r="C461">
        <v>70000</v>
      </c>
      <c r="D461" t="s">
        <v>36</v>
      </c>
      <c r="E461" t="s">
        <v>37</v>
      </c>
      <c r="F461" t="s">
        <v>44</v>
      </c>
      <c r="G461">
        <v>43845</v>
      </c>
      <c r="H461" t="s">
        <v>31</v>
      </c>
      <c r="I461" t="s">
        <v>22</v>
      </c>
      <c r="J461" t="s">
        <v>33</v>
      </c>
    </row>
    <row r="462" spans="1:10" x14ac:dyDescent="0.35">
      <c r="A462" t="s">
        <v>10</v>
      </c>
      <c r="B462">
        <v>35</v>
      </c>
      <c r="C462">
        <v>50000</v>
      </c>
      <c r="D462" t="s">
        <v>11</v>
      </c>
      <c r="E462" t="s">
        <v>19</v>
      </c>
      <c r="F462" t="s">
        <v>44</v>
      </c>
      <c r="G462">
        <v>43845</v>
      </c>
      <c r="H462" t="s">
        <v>21</v>
      </c>
      <c r="J462" t="s">
        <v>16</v>
      </c>
    </row>
    <row r="463" spans="1:10" x14ac:dyDescent="0.35">
      <c r="A463" t="s">
        <v>48</v>
      </c>
      <c r="B463">
        <v>50</v>
      </c>
      <c r="C463">
        <v>70000</v>
      </c>
      <c r="D463" t="s">
        <v>36</v>
      </c>
      <c r="E463" t="s">
        <v>26</v>
      </c>
      <c r="F463" t="s">
        <v>39</v>
      </c>
      <c r="G463">
        <v>43549</v>
      </c>
      <c r="H463" t="s">
        <v>41</v>
      </c>
      <c r="J463" t="s">
        <v>28</v>
      </c>
    </row>
    <row r="464" spans="1:10" x14ac:dyDescent="0.35">
      <c r="A464" t="s">
        <v>35</v>
      </c>
      <c r="B464">
        <v>40</v>
      </c>
      <c r="C464">
        <v>70000</v>
      </c>
      <c r="D464" t="s">
        <v>11</v>
      </c>
      <c r="E464" t="s">
        <v>19</v>
      </c>
      <c r="F464" t="s">
        <v>39</v>
      </c>
      <c r="G464">
        <v>43845</v>
      </c>
      <c r="H464" t="s">
        <v>27</v>
      </c>
      <c r="I464" t="s">
        <v>16</v>
      </c>
      <c r="J464" t="s">
        <v>28</v>
      </c>
    </row>
    <row r="465" spans="1:10" x14ac:dyDescent="0.35">
      <c r="A465" t="s">
        <v>24</v>
      </c>
      <c r="B465">
        <v>40</v>
      </c>
      <c r="C465">
        <v>55000</v>
      </c>
      <c r="D465" t="s">
        <v>18</v>
      </c>
      <c r="E465" t="s">
        <v>30</v>
      </c>
      <c r="F465" t="s">
        <v>39</v>
      </c>
      <c r="G465">
        <v>43195</v>
      </c>
      <c r="H465" t="s">
        <v>14</v>
      </c>
      <c r="I465" t="s">
        <v>15</v>
      </c>
      <c r="J465" t="s">
        <v>28</v>
      </c>
    </row>
    <row r="466" spans="1:10" x14ac:dyDescent="0.35">
      <c r="A466" t="s">
        <v>35</v>
      </c>
      <c r="B466">
        <v>50</v>
      </c>
      <c r="C466">
        <v>55000</v>
      </c>
      <c r="D466" t="s">
        <v>18</v>
      </c>
      <c r="E466" t="s">
        <v>12</v>
      </c>
      <c r="F466" t="s">
        <v>43</v>
      </c>
      <c r="G466">
        <v>43549</v>
      </c>
      <c r="H466" t="s">
        <v>27</v>
      </c>
      <c r="I466" t="s">
        <v>16</v>
      </c>
      <c r="J466" t="s">
        <v>16</v>
      </c>
    </row>
    <row r="467" spans="1:10" x14ac:dyDescent="0.35">
      <c r="A467" t="s">
        <v>35</v>
      </c>
      <c r="B467">
        <v>25</v>
      </c>
      <c r="C467">
        <v>70000</v>
      </c>
      <c r="D467" t="s">
        <v>11</v>
      </c>
      <c r="E467" t="s">
        <v>19</v>
      </c>
      <c r="F467" t="s">
        <v>43</v>
      </c>
      <c r="G467" t="s">
        <v>40</v>
      </c>
      <c r="H467" t="s">
        <v>41</v>
      </c>
      <c r="I467" t="s">
        <v>15</v>
      </c>
      <c r="J467" t="s">
        <v>33</v>
      </c>
    </row>
    <row r="468" spans="1:10" x14ac:dyDescent="0.35">
      <c r="A468" t="s">
        <v>35</v>
      </c>
      <c r="B468">
        <v>25</v>
      </c>
      <c r="C468">
        <v>70000</v>
      </c>
      <c r="D468" t="s">
        <v>18</v>
      </c>
      <c r="E468" t="s">
        <v>19</v>
      </c>
      <c r="F468" t="s">
        <v>20</v>
      </c>
      <c r="G468">
        <v>43549</v>
      </c>
      <c r="H468" t="s">
        <v>27</v>
      </c>
      <c r="I468" t="s">
        <v>22</v>
      </c>
      <c r="J468" t="s">
        <v>45</v>
      </c>
    </row>
    <row r="469" spans="1:10" x14ac:dyDescent="0.35">
      <c r="A469" t="s">
        <v>47</v>
      </c>
      <c r="B469">
        <v>35</v>
      </c>
      <c r="C469">
        <v>70000</v>
      </c>
      <c r="D469" t="s">
        <v>11</v>
      </c>
      <c r="E469" t="s">
        <v>30</v>
      </c>
      <c r="F469" t="s">
        <v>39</v>
      </c>
      <c r="G469">
        <v>43195</v>
      </c>
      <c r="H469" t="s">
        <v>31</v>
      </c>
      <c r="J469" t="s">
        <v>23</v>
      </c>
    </row>
    <row r="470" spans="1:10" x14ac:dyDescent="0.35">
      <c r="A470" t="s">
        <v>38</v>
      </c>
      <c r="B470" t="s">
        <v>16</v>
      </c>
      <c r="C470">
        <v>55000</v>
      </c>
      <c r="D470" t="s">
        <v>11</v>
      </c>
      <c r="E470" t="s">
        <v>12</v>
      </c>
      <c r="F470" t="s">
        <v>13</v>
      </c>
      <c r="G470" t="s">
        <v>40</v>
      </c>
      <c r="H470" t="s">
        <v>27</v>
      </c>
      <c r="J470" t="s">
        <v>45</v>
      </c>
    </row>
    <row r="471" spans="1:10" x14ac:dyDescent="0.35">
      <c r="A471" t="s">
        <v>49</v>
      </c>
      <c r="B471" t="s">
        <v>42</v>
      </c>
      <c r="C471">
        <v>70000</v>
      </c>
      <c r="D471" t="s">
        <v>18</v>
      </c>
      <c r="E471" t="s">
        <v>12</v>
      </c>
      <c r="F471" t="s">
        <v>20</v>
      </c>
      <c r="G471">
        <v>43549</v>
      </c>
      <c r="H471" t="s">
        <v>27</v>
      </c>
      <c r="I471" t="s">
        <v>22</v>
      </c>
      <c r="J471" t="s">
        <v>33</v>
      </c>
    </row>
    <row r="472" spans="1:10" x14ac:dyDescent="0.35">
      <c r="A472" t="s">
        <v>10</v>
      </c>
      <c r="B472">
        <v>25</v>
      </c>
      <c r="C472">
        <v>70000</v>
      </c>
      <c r="D472" t="s">
        <v>11</v>
      </c>
      <c r="E472" t="s">
        <v>26</v>
      </c>
      <c r="F472" t="s">
        <v>13</v>
      </c>
      <c r="G472">
        <v>43845</v>
      </c>
      <c r="H472" t="s">
        <v>14</v>
      </c>
      <c r="I472" t="s">
        <v>16</v>
      </c>
      <c r="J472" t="s">
        <v>45</v>
      </c>
    </row>
    <row r="473" spans="1:10" x14ac:dyDescent="0.35">
      <c r="A473" t="s">
        <v>17</v>
      </c>
      <c r="B473">
        <v>40</v>
      </c>
      <c r="C473">
        <v>65000</v>
      </c>
      <c r="D473" t="s">
        <v>36</v>
      </c>
      <c r="E473" t="s">
        <v>19</v>
      </c>
      <c r="F473" t="s">
        <v>43</v>
      </c>
      <c r="G473">
        <v>43881</v>
      </c>
      <c r="H473" t="s">
        <v>31</v>
      </c>
      <c r="I473" t="s">
        <v>16</v>
      </c>
      <c r="J473" t="s">
        <v>16</v>
      </c>
    </row>
    <row r="474" spans="1:10" x14ac:dyDescent="0.35">
      <c r="A474" t="s">
        <v>35</v>
      </c>
      <c r="B474">
        <v>35</v>
      </c>
      <c r="C474">
        <v>50000</v>
      </c>
      <c r="D474" t="s">
        <v>36</v>
      </c>
      <c r="E474" t="s">
        <v>12</v>
      </c>
      <c r="F474" t="s">
        <v>20</v>
      </c>
      <c r="G474">
        <v>43881</v>
      </c>
      <c r="H474" t="s">
        <v>31</v>
      </c>
      <c r="I474" t="s">
        <v>32</v>
      </c>
      <c r="J474" t="s">
        <v>28</v>
      </c>
    </row>
    <row r="475" spans="1:10" x14ac:dyDescent="0.35">
      <c r="A475" t="s">
        <v>29</v>
      </c>
      <c r="B475" t="s">
        <v>42</v>
      </c>
      <c r="C475" t="s">
        <v>25</v>
      </c>
      <c r="D475" t="s">
        <v>18</v>
      </c>
      <c r="E475" t="s">
        <v>12</v>
      </c>
      <c r="F475" t="s">
        <v>20</v>
      </c>
      <c r="G475">
        <v>43845</v>
      </c>
      <c r="H475" t="s">
        <v>27</v>
      </c>
      <c r="I475" t="s">
        <v>15</v>
      </c>
      <c r="J475" t="s">
        <v>33</v>
      </c>
    </row>
    <row r="476" spans="1:10" x14ac:dyDescent="0.35">
      <c r="A476" t="s">
        <v>47</v>
      </c>
      <c r="B476">
        <v>35</v>
      </c>
      <c r="C476">
        <v>50000</v>
      </c>
      <c r="D476" t="s">
        <v>18</v>
      </c>
      <c r="E476" t="s">
        <v>37</v>
      </c>
      <c r="F476" t="s">
        <v>44</v>
      </c>
      <c r="G476">
        <v>43881</v>
      </c>
      <c r="H476" t="s">
        <v>14</v>
      </c>
      <c r="I476" t="s">
        <v>16</v>
      </c>
      <c r="J476" t="s">
        <v>33</v>
      </c>
    </row>
    <row r="477" spans="1:10" x14ac:dyDescent="0.35">
      <c r="A477" t="s">
        <v>24</v>
      </c>
      <c r="B477" t="s">
        <v>42</v>
      </c>
      <c r="C477">
        <v>65000</v>
      </c>
      <c r="D477" t="s">
        <v>11</v>
      </c>
      <c r="E477" t="s">
        <v>37</v>
      </c>
      <c r="F477" t="s">
        <v>43</v>
      </c>
      <c r="G477">
        <v>43881</v>
      </c>
      <c r="H477" t="s">
        <v>27</v>
      </c>
      <c r="I477" t="s">
        <v>22</v>
      </c>
      <c r="J477" t="s">
        <v>45</v>
      </c>
    </row>
    <row r="478" spans="1:10" x14ac:dyDescent="0.35">
      <c r="A478" t="s">
        <v>17</v>
      </c>
      <c r="B478" t="s">
        <v>42</v>
      </c>
      <c r="C478" t="s">
        <v>25</v>
      </c>
      <c r="D478" t="s">
        <v>11</v>
      </c>
      <c r="E478" t="s">
        <v>12</v>
      </c>
      <c r="F478" t="s">
        <v>43</v>
      </c>
      <c r="G478">
        <v>43845</v>
      </c>
      <c r="H478" t="s">
        <v>27</v>
      </c>
      <c r="I478" t="s">
        <v>16</v>
      </c>
      <c r="J478" t="s">
        <v>16</v>
      </c>
    </row>
    <row r="479" spans="1:10" x14ac:dyDescent="0.35">
      <c r="A479" t="s">
        <v>49</v>
      </c>
      <c r="B479">
        <v>50</v>
      </c>
      <c r="C479">
        <v>70000</v>
      </c>
      <c r="D479" t="s">
        <v>11</v>
      </c>
      <c r="E479" t="s">
        <v>26</v>
      </c>
      <c r="F479" t="s">
        <v>20</v>
      </c>
      <c r="G479">
        <v>43845</v>
      </c>
      <c r="H479" t="s">
        <v>41</v>
      </c>
      <c r="J479" t="s">
        <v>45</v>
      </c>
    </row>
    <row r="480" spans="1:10" x14ac:dyDescent="0.35">
      <c r="A480" t="s">
        <v>29</v>
      </c>
      <c r="B480">
        <v>25</v>
      </c>
      <c r="C480">
        <v>65000</v>
      </c>
      <c r="D480" t="s">
        <v>11</v>
      </c>
      <c r="E480" t="s">
        <v>12</v>
      </c>
      <c r="F480" t="s">
        <v>43</v>
      </c>
      <c r="G480">
        <v>43549</v>
      </c>
      <c r="H480" t="s">
        <v>41</v>
      </c>
      <c r="I480" t="s">
        <v>15</v>
      </c>
      <c r="J480" t="s">
        <v>45</v>
      </c>
    </row>
    <row r="481" spans="1:10" x14ac:dyDescent="0.35">
      <c r="A481" t="s">
        <v>49</v>
      </c>
      <c r="B481">
        <v>35</v>
      </c>
      <c r="C481">
        <v>70000</v>
      </c>
      <c r="D481" t="s">
        <v>36</v>
      </c>
      <c r="E481" t="s">
        <v>30</v>
      </c>
      <c r="F481" t="s">
        <v>20</v>
      </c>
      <c r="G481">
        <v>43549</v>
      </c>
      <c r="H481" t="s">
        <v>14</v>
      </c>
      <c r="I481" t="s">
        <v>32</v>
      </c>
      <c r="J481" t="s">
        <v>33</v>
      </c>
    </row>
    <row r="482" spans="1:10" x14ac:dyDescent="0.35">
      <c r="A482" t="s">
        <v>17</v>
      </c>
      <c r="B482">
        <v>35</v>
      </c>
      <c r="C482">
        <v>55000</v>
      </c>
      <c r="D482" t="s">
        <v>36</v>
      </c>
      <c r="E482" t="s">
        <v>19</v>
      </c>
      <c r="F482" t="s">
        <v>44</v>
      </c>
      <c r="G482">
        <v>43845</v>
      </c>
      <c r="H482" t="s">
        <v>21</v>
      </c>
      <c r="I482" t="s">
        <v>15</v>
      </c>
      <c r="J482" t="s">
        <v>45</v>
      </c>
    </row>
    <row r="483" spans="1:10" x14ac:dyDescent="0.35">
      <c r="A483" t="s">
        <v>35</v>
      </c>
      <c r="B483">
        <v>50</v>
      </c>
      <c r="C483" t="s">
        <v>34</v>
      </c>
      <c r="D483" t="s">
        <v>18</v>
      </c>
      <c r="E483" t="s">
        <v>26</v>
      </c>
      <c r="F483" t="s">
        <v>20</v>
      </c>
      <c r="G483">
        <v>43195</v>
      </c>
      <c r="H483" t="s">
        <v>41</v>
      </c>
      <c r="J483" t="s">
        <v>28</v>
      </c>
    </row>
    <row r="484" spans="1:10" x14ac:dyDescent="0.35">
      <c r="A484" t="s">
        <v>29</v>
      </c>
      <c r="B484">
        <v>40</v>
      </c>
      <c r="C484">
        <v>65000</v>
      </c>
      <c r="D484" t="s">
        <v>11</v>
      </c>
      <c r="E484" t="s">
        <v>30</v>
      </c>
      <c r="F484" t="s">
        <v>43</v>
      </c>
      <c r="G484">
        <v>43881</v>
      </c>
      <c r="H484" t="s">
        <v>21</v>
      </c>
      <c r="J484" t="s">
        <v>45</v>
      </c>
    </row>
    <row r="485" spans="1:10" x14ac:dyDescent="0.35">
      <c r="A485" t="s">
        <v>49</v>
      </c>
      <c r="B485">
        <v>40</v>
      </c>
      <c r="C485">
        <v>55000</v>
      </c>
      <c r="D485" t="s">
        <v>11</v>
      </c>
      <c r="E485" t="s">
        <v>26</v>
      </c>
      <c r="F485" t="s">
        <v>43</v>
      </c>
      <c r="G485">
        <v>43549</v>
      </c>
      <c r="H485" t="s">
        <v>31</v>
      </c>
      <c r="J485" t="s">
        <v>28</v>
      </c>
    </row>
    <row r="486" spans="1:10" x14ac:dyDescent="0.35">
      <c r="A486" t="s">
        <v>24</v>
      </c>
      <c r="B486">
        <v>25</v>
      </c>
      <c r="C486">
        <v>65000</v>
      </c>
      <c r="D486" t="s">
        <v>18</v>
      </c>
      <c r="E486" t="s">
        <v>30</v>
      </c>
      <c r="F486" t="s">
        <v>20</v>
      </c>
      <c r="G486">
        <v>43881</v>
      </c>
      <c r="H486" t="s">
        <v>41</v>
      </c>
      <c r="J486" t="s">
        <v>33</v>
      </c>
    </row>
    <row r="487" spans="1:10" x14ac:dyDescent="0.35">
      <c r="A487" t="s">
        <v>38</v>
      </c>
      <c r="B487">
        <v>25</v>
      </c>
      <c r="C487">
        <v>65000</v>
      </c>
      <c r="D487" t="s">
        <v>11</v>
      </c>
      <c r="E487" t="s">
        <v>19</v>
      </c>
      <c r="F487" t="s">
        <v>20</v>
      </c>
      <c r="G487" t="s">
        <v>40</v>
      </c>
      <c r="H487" t="s">
        <v>41</v>
      </c>
      <c r="I487" t="s">
        <v>22</v>
      </c>
      <c r="J487" t="s">
        <v>16</v>
      </c>
    </row>
    <row r="488" spans="1:10" x14ac:dyDescent="0.35">
      <c r="A488" t="s">
        <v>48</v>
      </c>
      <c r="B488" t="s">
        <v>16</v>
      </c>
      <c r="C488">
        <v>55000</v>
      </c>
      <c r="D488" t="s">
        <v>11</v>
      </c>
      <c r="E488" t="s">
        <v>19</v>
      </c>
      <c r="F488" t="s">
        <v>20</v>
      </c>
      <c r="G488">
        <v>43845</v>
      </c>
      <c r="H488" t="s">
        <v>14</v>
      </c>
      <c r="I488" t="s">
        <v>32</v>
      </c>
      <c r="J488" t="s">
        <v>28</v>
      </c>
    </row>
    <row r="489" spans="1:10" x14ac:dyDescent="0.35">
      <c r="A489" t="s">
        <v>38</v>
      </c>
      <c r="B489">
        <v>50</v>
      </c>
      <c r="C489" t="s">
        <v>25</v>
      </c>
      <c r="D489" t="s">
        <v>11</v>
      </c>
      <c r="E489" t="s">
        <v>37</v>
      </c>
      <c r="F489" t="s">
        <v>39</v>
      </c>
      <c r="G489">
        <v>43195</v>
      </c>
      <c r="H489" t="s">
        <v>21</v>
      </c>
      <c r="J489" t="s">
        <v>16</v>
      </c>
    </row>
    <row r="490" spans="1:10" x14ac:dyDescent="0.35">
      <c r="A490" t="s">
        <v>17</v>
      </c>
      <c r="B490">
        <v>40</v>
      </c>
      <c r="C490">
        <v>50000</v>
      </c>
      <c r="D490" t="s">
        <v>11</v>
      </c>
      <c r="E490" t="s">
        <v>30</v>
      </c>
      <c r="F490" t="s">
        <v>43</v>
      </c>
      <c r="G490" t="s">
        <v>40</v>
      </c>
      <c r="H490" t="s">
        <v>41</v>
      </c>
      <c r="J490" t="s">
        <v>16</v>
      </c>
    </row>
    <row r="491" spans="1:10" x14ac:dyDescent="0.35">
      <c r="A491" t="s">
        <v>47</v>
      </c>
      <c r="B491" t="s">
        <v>42</v>
      </c>
      <c r="C491">
        <v>70000</v>
      </c>
      <c r="D491" t="s">
        <v>11</v>
      </c>
      <c r="E491" t="s">
        <v>37</v>
      </c>
      <c r="F491" t="s">
        <v>43</v>
      </c>
      <c r="G491" t="s">
        <v>40</v>
      </c>
      <c r="H491" t="s">
        <v>41</v>
      </c>
      <c r="I491" t="s">
        <v>16</v>
      </c>
      <c r="J491" t="s">
        <v>28</v>
      </c>
    </row>
    <row r="492" spans="1:10" x14ac:dyDescent="0.35">
      <c r="A492" t="s">
        <v>48</v>
      </c>
      <c r="B492">
        <v>35</v>
      </c>
      <c r="C492">
        <v>65000</v>
      </c>
      <c r="D492" t="s">
        <v>18</v>
      </c>
      <c r="E492" t="s">
        <v>30</v>
      </c>
      <c r="F492" t="s">
        <v>39</v>
      </c>
      <c r="G492" t="s">
        <v>40</v>
      </c>
      <c r="H492" t="s">
        <v>14</v>
      </c>
      <c r="I492" t="s">
        <v>32</v>
      </c>
      <c r="J492" t="s">
        <v>33</v>
      </c>
    </row>
    <row r="493" spans="1:10" x14ac:dyDescent="0.35">
      <c r="A493" t="s">
        <v>10</v>
      </c>
      <c r="B493">
        <v>25</v>
      </c>
      <c r="C493">
        <v>70000</v>
      </c>
      <c r="D493" t="s">
        <v>11</v>
      </c>
      <c r="E493" t="s">
        <v>37</v>
      </c>
      <c r="F493" t="s">
        <v>20</v>
      </c>
      <c r="G493">
        <v>43845</v>
      </c>
      <c r="H493" t="s">
        <v>14</v>
      </c>
      <c r="I493" t="s">
        <v>15</v>
      </c>
      <c r="J493" t="s">
        <v>23</v>
      </c>
    </row>
    <row r="494" spans="1:10" x14ac:dyDescent="0.35">
      <c r="A494" t="s">
        <v>24</v>
      </c>
      <c r="B494">
        <v>35</v>
      </c>
      <c r="C494" t="s">
        <v>34</v>
      </c>
      <c r="D494" t="s">
        <v>18</v>
      </c>
      <c r="E494" t="s">
        <v>19</v>
      </c>
      <c r="F494" t="s">
        <v>44</v>
      </c>
      <c r="G494">
        <v>43549</v>
      </c>
      <c r="H494" t="s">
        <v>21</v>
      </c>
      <c r="I494" t="s">
        <v>32</v>
      </c>
      <c r="J494" t="s">
        <v>16</v>
      </c>
    </row>
    <row r="495" spans="1:10" x14ac:dyDescent="0.35">
      <c r="A495" t="s">
        <v>10</v>
      </c>
      <c r="B495">
        <v>35</v>
      </c>
      <c r="C495">
        <v>55000</v>
      </c>
      <c r="D495" t="s">
        <v>11</v>
      </c>
      <c r="E495" t="s">
        <v>26</v>
      </c>
      <c r="F495" t="s">
        <v>20</v>
      </c>
      <c r="G495">
        <v>43845</v>
      </c>
      <c r="H495" t="s">
        <v>31</v>
      </c>
      <c r="I495" t="s">
        <v>32</v>
      </c>
      <c r="J495" t="s">
        <v>16</v>
      </c>
    </row>
    <row r="496" spans="1:10" x14ac:dyDescent="0.35">
      <c r="A496" t="s">
        <v>29</v>
      </c>
      <c r="B496" t="s">
        <v>16</v>
      </c>
      <c r="C496">
        <v>70000</v>
      </c>
      <c r="D496" t="s">
        <v>36</v>
      </c>
      <c r="E496" t="s">
        <v>37</v>
      </c>
      <c r="F496" t="s">
        <v>20</v>
      </c>
      <c r="G496">
        <v>43549</v>
      </c>
      <c r="H496" t="s">
        <v>31</v>
      </c>
      <c r="I496" t="s">
        <v>32</v>
      </c>
      <c r="J496" t="s">
        <v>33</v>
      </c>
    </row>
    <row r="497" spans="1:10" x14ac:dyDescent="0.35">
      <c r="A497" t="s">
        <v>48</v>
      </c>
      <c r="B497">
        <v>40</v>
      </c>
      <c r="C497">
        <v>55000</v>
      </c>
      <c r="D497" t="s">
        <v>36</v>
      </c>
      <c r="E497" t="s">
        <v>30</v>
      </c>
      <c r="F497" t="s">
        <v>39</v>
      </c>
      <c r="G497" t="s">
        <v>40</v>
      </c>
      <c r="H497" t="s">
        <v>27</v>
      </c>
      <c r="J497" t="s">
        <v>33</v>
      </c>
    </row>
    <row r="498" spans="1:10" x14ac:dyDescent="0.35">
      <c r="A498" t="s">
        <v>10</v>
      </c>
      <c r="B498">
        <v>25</v>
      </c>
      <c r="C498">
        <v>70000</v>
      </c>
      <c r="D498" t="s">
        <v>36</v>
      </c>
      <c r="E498" t="s">
        <v>30</v>
      </c>
      <c r="F498" t="s">
        <v>43</v>
      </c>
      <c r="G498" t="s">
        <v>40</v>
      </c>
      <c r="H498" t="s">
        <v>41</v>
      </c>
      <c r="J498" t="s">
        <v>45</v>
      </c>
    </row>
    <row r="499" spans="1:10" x14ac:dyDescent="0.35">
      <c r="A499" t="s">
        <v>10</v>
      </c>
      <c r="B499">
        <v>35</v>
      </c>
      <c r="C499">
        <v>50000</v>
      </c>
      <c r="D499" t="s">
        <v>36</v>
      </c>
      <c r="E499" t="s">
        <v>19</v>
      </c>
      <c r="F499" t="s">
        <v>20</v>
      </c>
      <c r="G499">
        <v>43195</v>
      </c>
      <c r="H499" t="s">
        <v>21</v>
      </c>
      <c r="I499" t="s">
        <v>22</v>
      </c>
      <c r="J499" t="s">
        <v>33</v>
      </c>
    </row>
    <row r="500" spans="1:10" x14ac:dyDescent="0.35">
      <c r="A500" t="s">
        <v>49</v>
      </c>
      <c r="B500">
        <v>25</v>
      </c>
      <c r="C500">
        <v>50000</v>
      </c>
      <c r="D500" t="s">
        <v>18</v>
      </c>
      <c r="E500" t="s">
        <v>30</v>
      </c>
      <c r="F500" t="s">
        <v>43</v>
      </c>
      <c r="G500">
        <v>43549</v>
      </c>
      <c r="H500" t="s">
        <v>41</v>
      </c>
      <c r="I500" t="s">
        <v>15</v>
      </c>
      <c r="J500" t="s">
        <v>16</v>
      </c>
    </row>
    <row r="501" spans="1:10" x14ac:dyDescent="0.35">
      <c r="A501" t="s">
        <v>38</v>
      </c>
      <c r="B501" t="s">
        <v>42</v>
      </c>
      <c r="C501">
        <v>50000</v>
      </c>
      <c r="D501" t="s">
        <v>18</v>
      </c>
      <c r="E501" t="s">
        <v>12</v>
      </c>
      <c r="F501" t="s">
        <v>13</v>
      </c>
      <c r="G501" t="s">
        <v>40</v>
      </c>
      <c r="H501" t="s">
        <v>21</v>
      </c>
      <c r="I501" t="s">
        <v>16</v>
      </c>
      <c r="J501" t="s">
        <v>28</v>
      </c>
    </row>
    <row r="502" spans="1:10" x14ac:dyDescent="0.35">
      <c r="A502" t="s">
        <v>49</v>
      </c>
      <c r="B502" t="s">
        <v>16</v>
      </c>
      <c r="C502">
        <v>50000</v>
      </c>
      <c r="D502" t="s">
        <v>11</v>
      </c>
      <c r="E502" t="s">
        <v>26</v>
      </c>
      <c r="F502" t="s">
        <v>43</v>
      </c>
      <c r="G502">
        <v>43881</v>
      </c>
      <c r="H502" t="s">
        <v>21</v>
      </c>
      <c r="I502" t="s">
        <v>32</v>
      </c>
      <c r="J502" t="s">
        <v>23</v>
      </c>
    </row>
    <row r="503" spans="1:10" x14ac:dyDescent="0.35">
      <c r="A503" t="s">
        <v>48</v>
      </c>
      <c r="B503" t="s">
        <v>42</v>
      </c>
      <c r="C503">
        <v>50000</v>
      </c>
      <c r="D503" t="s">
        <v>36</v>
      </c>
      <c r="E503" t="s">
        <v>37</v>
      </c>
      <c r="F503" t="s">
        <v>44</v>
      </c>
      <c r="G503">
        <v>43195</v>
      </c>
      <c r="H503" t="s">
        <v>21</v>
      </c>
      <c r="I503" t="s">
        <v>15</v>
      </c>
      <c r="J503" t="s">
        <v>45</v>
      </c>
    </row>
    <row r="504" spans="1:10" x14ac:dyDescent="0.35">
      <c r="A504" t="s">
        <v>48</v>
      </c>
      <c r="B504">
        <v>25</v>
      </c>
      <c r="C504">
        <v>50000</v>
      </c>
      <c r="D504" t="s">
        <v>18</v>
      </c>
      <c r="E504" t="s">
        <v>26</v>
      </c>
      <c r="F504" t="s">
        <v>44</v>
      </c>
      <c r="G504">
        <v>43845</v>
      </c>
      <c r="H504" t="s">
        <v>41</v>
      </c>
      <c r="I504" t="s">
        <v>15</v>
      </c>
      <c r="J504" t="s">
        <v>28</v>
      </c>
    </row>
    <row r="505" spans="1:10" x14ac:dyDescent="0.35">
      <c r="A505" t="s">
        <v>17</v>
      </c>
      <c r="B505">
        <v>25</v>
      </c>
      <c r="C505">
        <v>55000</v>
      </c>
      <c r="D505" t="s">
        <v>11</v>
      </c>
      <c r="E505" t="s">
        <v>19</v>
      </c>
      <c r="F505" t="s">
        <v>20</v>
      </c>
      <c r="G505">
        <v>43195</v>
      </c>
      <c r="H505" t="s">
        <v>14</v>
      </c>
      <c r="I505" t="s">
        <v>22</v>
      </c>
      <c r="J505" t="s">
        <v>23</v>
      </c>
    </row>
    <row r="506" spans="1:10" x14ac:dyDescent="0.35">
      <c r="A506" t="s">
        <v>49</v>
      </c>
      <c r="B506">
        <v>40</v>
      </c>
      <c r="C506">
        <v>65000</v>
      </c>
      <c r="D506" t="s">
        <v>11</v>
      </c>
      <c r="E506" t="s">
        <v>37</v>
      </c>
      <c r="F506" t="s">
        <v>43</v>
      </c>
      <c r="G506">
        <v>43881</v>
      </c>
      <c r="H506" t="s">
        <v>41</v>
      </c>
      <c r="I506" t="s">
        <v>16</v>
      </c>
      <c r="J506" t="s">
        <v>23</v>
      </c>
    </row>
    <row r="507" spans="1:10" x14ac:dyDescent="0.35">
      <c r="A507" t="s">
        <v>46</v>
      </c>
      <c r="B507">
        <v>35</v>
      </c>
      <c r="C507">
        <v>70000</v>
      </c>
      <c r="D507" t="s">
        <v>18</v>
      </c>
      <c r="E507" t="s">
        <v>37</v>
      </c>
      <c r="F507" t="s">
        <v>20</v>
      </c>
      <c r="G507">
        <v>43549</v>
      </c>
      <c r="H507" t="s">
        <v>21</v>
      </c>
      <c r="I507" t="s">
        <v>32</v>
      </c>
      <c r="J507" t="s">
        <v>23</v>
      </c>
    </row>
    <row r="508" spans="1:10" x14ac:dyDescent="0.35">
      <c r="A508" t="s">
        <v>38</v>
      </c>
      <c r="B508">
        <v>35</v>
      </c>
      <c r="C508">
        <v>50000</v>
      </c>
      <c r="D508" t="s">
        <v>36</v>
      </c>
      <c r="E508" t="s">
        <v>12</v>
      </c>
      <c r="F508" t="s">
        <v>39</v>
      </c>
      <c r="G508">
        <v>43845</v>
      </c>
      <c r="H508" t="s">
        <v>27</v>
      </c>
      <c r="I508" t="s">
        <v>16</v>
      </c>
      <c r="J508" t="s">
        <v>28</v>
      </c>
    </row>
    <row r="509" spans="1:10" x14ac:dyDescent="0.35">
      <c r="A509" t="s">
        <v>48</v>
      </c>
      <c r="B509" t="s">
        <v>42</v>
      </c>
      <c r="C509">
        <v>55000</v>
      </c>
      <c r="D509" t="s">
        <v>11</v>
      </c>
      <c r="E509" t="s">
        <v>19</v>
      </c>
      <c r="F509" t="s">
        <v>44</v>
      </c>
      <c r="G509">
        <v>43845</v>
      </c>
      <c r="H509" t="s">
        <v>31</v>
      </c>
      <c r="I509" t="s">
        <v>22</v>
      </c>
      <c r="J509" t="s">
        <v>45</v>
      </c>
    </row>
    <row r="510" spans="1:10" x14ac:dyDescent="0.35">
      <c r="A510" t="s">
        <v>17</v>
      </c>
      <c r="B510" t="s">
        <v>16</v>
      </c>
      <c r="C510">
        <v>55000</v>
      </c>
      <c r="D510" t="s">
        <v>36</v>
      </c>
      <c r="E510" t="s">
        <v>30</v>
      </c>
      <c r="F510" t="s">
        <v>20</v>
      </c>
      <c r="G510">
        <v>43549</v>
      </c>
      <c r="H510" t="s">
        <v>21</v>
      </c>
      <c r="J510" t="s">
        <v>45</v>
      </c>
    </row>
    <row r="511" spans="1:10" x14ac:dyDescent="0.35">
      <c r="A511" t="s">
        <v>49</v>
      </c>
      <c r="B511">
        <v>50</v>
      </c>
      <c r="C511">
        <v>55000</v>
      </c>
      <c r="D511" t="s">
        <v>36</v>
      </c>
      <c r="E511" t="s">
        <v>12</v>
      </c>
      <c r="F511" t="s">
        <v>39</v>
      </c>
      <c r="G511">
        <v>43195</v>
      </c>
      <c r="H511" t="s">
        <v>27</v>
      </c>
      <c r="I511" t="s">
        <v>15</v>
      </c>
      <c r="J511" t="s">
        <v>23</v>
      </c>
    </row>
    <row r="512" spans="1:10" x14ac:dyDescent="0.35">
      <c r="A512" t="s">
        <v>38</v>
      </c>
      <c r="B512">
        <v>35</v>
      </c>
      <c r="C512">
        <v>65000</v>
      </c>
      <c r="D512" t="s">
        <v>36</v>
      </c>
      <c r="E512" t="s">
        <v>12</v>
      </c>
      <c r="F512" t="s">
        <v>20</v>
      </c>
      <c r="G512" t="s">
        <v>40</v>
      </c>
      <c r="H512" t="s">
        <v>14</v>
      </c>
      <c r="I512" t="s">
        <v>32</v>
      </c>
      <c r="J512" t="s">
        <v>28</v>
      </c>
    </row>
    <row r="513" spans="1:10" x14ac:dyDescent="0.35">
      <c r="A513" t="s">
        <v>49</v>
      </c>
      <c r="B513">
        <v>40</v>
      </c>
      <c r="C513">
        <v>70000</v>
      </c>
      <c r="D513" t="s">
        <v>11</v>
      </c>
      <c r="E513" t="s">
        <v>26</v>
      </c>
      <c r="F513" t="s">
        <v>43</v>
      </c>
      <c r="G513">
        <v>43195</v>
      </c>
      <c r="H513" t="s">
        <v>21</v>
      </c>
      <c r="J513" t="s">
        <v>23</v>
      </c>
    </row>
    <row r="514" spans="1:10" x14ac:dyDescent="0.35">
      <c r="A514" t="s">
        <v>10</v>
      </c>
      <c r="B514" t="s">
        <v>42</v>
      </c>
      <c r="C514">
        <v>65000</v>
      </c>
      <c r="D514" t="s">
        <v>36</v>
      </c>
      <c r="E514" t="s">
        <v>26</v>
      </c>
      <c r="F514" t="s">
        <v>43</v>
      </c>
      <c r="G514">
        <v>43881</v>
      </c>
      <c r="H514" t="s">
        <v>27</v>
      </c>
      <c r="I514" t="s">
        <v>22</v>
      </c>
      <c r="J514" t="s">
        <v>33</v>
      </c>
    </row>
    <row r="515" spans="1:10" x14ac:dyDescent="0.35">
      <c r="A515" t="s">
        <v>17</v>
      </c>
      <c r="B515" t="s">
        <v>42</v>
      </c>
      <c r="C515" t="s">
        <v>25</v>
      </c>
      <c r="D515" t="s">
        <v>11</v>
      </c>
      <c r="E515" t="s">
        <v>26</v>
      </c>
      <c r="F515" t="s">
        <v>43</v>
      </c>
      <c r="G515" t="s">
        <v>40</v>
      </c>
      <c r="H515" t="s">
        <v>21</v>
      </c>
      <c r="I515" t="s">
        <v>16</v>
      </c>
      <c r="J515" t="s">
        <v>45</v>
      </c>
    </row>
    <row r="516" spans="1:10" x14ac:dyDescent="0.35">
      <c r="A516" t="s">
        <v>38</v>
      </c>
      <c r="B516">
        <v>50</v>
      </c>
      <c r="C516">
        <v>55000</v>
      </c>
      <c r="D516" t="s">
        <v>36</v>
      </c>
      <c r="E516" t="s">
        <v>12</v>
      </c>
      <c r="F516" t="s">
        <v>43</v>
      </c>
      <c r="G516">
        <v>43195</v>
      </c>
      <c r="H516" t="s">
        <v>41</v>
      </c>
      <c r="I516" t="s">
        <v>15</v>
      </c>
      <c r="J516" t="s">
        <v>16</v>
      </c>
    </row>
    <row r="517" spans="1:10" x14ac:dyDescent="0.35">
      <c r="A517" t="s">
        <v>35</v>
      </c>
      <c r="B517">
        <v>40</v>
      </c>
      <c r="C517" t="s">
        <v>25</v>
      </c>
      <c r="D517" t="s">
        <v>11</v>
      </c>
      <c r="E517" t="s">
        <v>30</v>
      </c>
      <c r="F517" t="s">
        <v>13</v>
      </c>
      <c r="G517">
        <v>43549</v>
      </c>
      <c r="H517" t="s">
        <v>27</v>
      </c>
      <c r="I517" t="s">
        <v>32</v>
      </c>
      <c r="J517" t="s">
        <v>23</v>
      </c>
    </row>
    <row r="518" spans="1:10" x14ac:dyDescent="0.35">
      <c r="A518" t="s">
        <v>29</v>
      </c>
      <c r="B518" t="s">
        <v>16</v>
      </c>
      <c r="C518" t="s">
        <v>34</v>
      </c>
      <c r="D518" t="s">
        <v>36</v>
      </c>
      <c r="E518" t="s">
        <v>37</v>
      </c>
      <c r="F518" t="s">
        <v>39</v>
      </c>
      <c r="G518">
        <v>43881</v>
      </c>
      <c r="H518" t="s">
        <v>41</v>
      </c>
      <c r="J518" t="s">
        <v>33</v>
      </c>
    </row>
    <row r="519" spans="1:10" x14ac:dyDescent="0.35">
      <c r="A519" t="s">
        <v>29</v>
      </c>
      <c r="B519">
        <v>40</v>
      </c>
      <c r="C519">
        <v>50000</v>
      </c>
      <c r="D519" t="s">
        <v>18</v>
      </c>
      <c r="E519" t="s">
        <v>26</v>
      </c>
      <c r="F519" t="s">
        <v>39</v>
      </c>
      <c r="G519">
        <v>43881</v>
      </c>
      <c r="H519" t="s">
        <v>41</v>
      </c>
      <c r="J519" t="s">
        <v>45</v>
      </c>
    </row>
    <row r="520" spans="1:10" x14ac:dyDescent="0.35">
      <c r="A520" t="s">
        <v>38</v>
      </c>
      <c r="B520" t="s">
        <v>16</v>
      </c>
      <c r="C520">
        <v>50000</v>
      </c>
      <c r="D520" t="s">
        <v>36</v>
      </c>
      <c r="E520" t="s">
        <v>30</v>
      </c>
      <c r="F520" t="s">
        <v>43</v>
      </c>
      <c r="G520">
        <v>43881</v>
      </c>
      <c r="H520" t="s">
        <v>27</v>
      </c>
      <c r="I520" t="s">
        <v>15</v>
      </c>
      <c r="J520" t="s">
        <v>28</v>
      </c>
    </row>
    <row r="521" spans="1:10" x14ac:dyDescent="0.35">
      <c r="A521" t="s">
        <v>49</v>
      </c>
      <c r="B521">
        <v>40</v>
      </c>
      <c r="C521">
        <v>65000</v>
      </c>
      <c r="D521" t="s">
        <v>36</v>
      </c>
      <c r="E521" t="s">
        <v>19</v>
      </c>
      <c r="F521" t="s">
        <v>13</v>
      </c>
      <c r="G521" t="s">
        <v>40</v>
      </c>
      <c r="H521" t="s">
        <v>31</v>
      </c>
      <c r="I521" t="s">
        <v>16</v>
      </c>
      <c r="J521" t="s">
        <v>45</v>
      </c>
    </row>
    <row r="522" spans="1:10" x14ac:dyDescent="0.35">
      <c r="A522" t="s">
        <v>17</v>
      </c>
      <c r="B522">
        <v>40</v>
      </c>
      <c r="C522">
        <v>70000</v>
      </c>
      <c r="D522" t="s">
        <v>11</v>
      </c>
      <c r="E522" t="s">
        <v>26</v>
      </c>
      <c r="F522" t="s">
        <v>43</v>
      </c>
      <c r="G522">
        <v>43845</v>
      </c>
      <c r="H522" t="s">
        <v>27</v>
      </c>
      <c r="I522" t="s">
        <v>22</v>
      </c>
      <c r="J522" t="s">
        <v>28</v>
      </c>
    </row>
    <row r="523" spans="1:10" x14ac:dyDescent="0.35">
      <c r="A523" t="s">
        <v>29</v>
      </c>
      <c r="B523">
        <v>25</v>
      </c>
      <c r="C523" t="s">
        <v>25</v>
      </c>
      <c r="D523" t="s">
        <v>11</v>
      </c>
      <c r="E523" t="s">
        <v>37</v>
      </c>
      <c r="F523" t="s">
        <v>13</v>
      </c>
      <c r="G523" t="s">
        <v>40</v>
      </c>
      <c r="H523" t="s">
        <v>31</v>
      </c>
      <c r="I523" t="s">
        <v>16</v>
      </c>
      <c r="J523" t="s">
        <v>28</v>
      </c>
    </row>
    <row r="524" spans="1:10" x14ac:dyDescent="0.35">
      <c r="A524" t="s">
        <v>17</v>
      </c>
      <c r="B524" t="s">
        <v>42</v>
      </c>
      <c r="C524">
        <v>70000</v>
      </c>
      <c r="D524" t="s">
        <v>36</v>
      </c>
      <c r="E524" t="s">
        <v>19</v>
      </c>
      <c r="F524" t="s">
        <v>43</v>
      </c>
      <c r="G524">
        <v>43195</v>
      </c>
      <c r="H524" t="s">
        <v>21</v>
      </c>
      <c r="I524" t="s">
        <v>16</v>
      </c>
      <c r="J524" t="s">
        <v>23</v>
      </c>
    </row>
    <row r="525" spans="1:10" x14ac:dyDescent="0.35">
      <c r="A525" t="s">
        <v>29</v>
      </c>
      <c r="B525">
        <v>40</v>
      </c>
      <c r="C525">
        <v>65000</v>
      </c>
      <c r="D525" t="s">
        <v>18</v>
      </c>
      <c r="E525" t="s">
        <v>19</v>
      </c>
      <c r="F525" t="s">
        <v>44</v>
      </c>
      <c r="G525">
        <v>43845</v>
      </c>
      <c r="H525" t="s">
        <v>21</v>
      </c>
      <c r="I525" t="s">
        <v>16</v>
      </c>
      <c r="J525" t="s">
        <v>23</v>
      </c>
    </row>
    <row r="526" spans="1:10" x14ac:dyDescent="0.35">
      <c r="A526" t="s">
        <v>10</v>
      </c>
      <c r="B526">
        <v>50</v>
      </c>
      <c r="C526">
        <v>50000</v>
      </c>
      <c r="D526" t="s">
        <v>18</v>
      </c>
      <c r="E526" t="s">
        <v>37</v>
      </c>
      <c r="F526" t="s">
        <v>44</v>
      </c>
      <c r="G526">
        <v>43195</v>
      </c>
      <c r="H526" t="s">
        <v>27</v>
      </c>
      <c r="I526" t="s">
        <v>15</v>
      </c>
      <c r="J526" t="s">
        <v>45</v>
      </c>
    </row>
    <row r="527" spans="1:10" x14ac:dyDescent="0.35">
      <c r="A527" t="s">
        <v>49</v>
      </c>
      <c r="B527">
        <v>40</v>
      </c>
      <c r="C527">
        <v>70000</v>
      </c>
      <c r="D527" t="s">
        <v>11</v>
      </c>
      <c r="E527" t="s">
        <v>26</v>
      </c>
      <c r="F527" t="s">
        <v>20</v>
      </c>
      <c r="G527">
        <v>43845</v>
      </c>
      <c r="H527" t="s">
        <v>21</v>
      </c>
      <c r="I527" t="s">
        <v>15</v>
      </c>
      <c r="J527" t="s">
        <v>33</v>
      </c>
    </row>
    <row r="528" spans="1:10" x14ac:dyDescent="0.35">
      <c r="A528" t="s">
        <v>10</v>
      </c>
      <c r="B528">
        <v>35</v>
      </c>
      <c r="C528">
        <v>70000</v>
      </c>
      <c r="D528" t="s">
        <v>18</v>
      </c>
      <c r="E528" t="s">
        <v>12</v>
      </c>
      <c r="F528" t="s">
        <v>43</v>
      </c>
      <c r="G528" t="s">
        <v>40</v>
      </c>
      <c r="H528" t="s">
        <v>14</v>
      </c>
      <c r="I528" t="s">
        <v>22</v>
      </c>
      <c r="J528" t="s">
        <v>45</v>
      </c>
    </row>
    <row r="529" spans="1:10" x14ac:dyDescent="0.35">
      <c r="A529" t="s">
        <v>29</v>
      </c>
      <c r="B529" t="s">
        <v>42</v>
      </c>
      <c r="C529">
        <v>50000</v>
      </c>
      <c r="D529" t="s">
        <v>36</v>
      </c>
      <c r="E529" t="s">
        <v>37</v>
      </c>
      <c r="F529" t="s">
        <v>39</v>
      </c>
      <c r="G529">
        <v>43881</v>
      </c>
      <c r="H529" t="s">
        <v>41</v>
      </c>
      <c r="I529" t="s">
        <v>16</v>
      </c>
      <c r="J529" t="s">
        <v>16</v>
      </c>
    </row>
    <row r="530" spans="1:10" x14ac:dyDescent="0.35">
      <c r="A530" t="s">
        <v>35</v>
      </c>
      <c r="B530">
        <v>35</v>
      </c>
      <c r="C530" t="s">
        <v>25</v>
      </c>
      <c r="D530" t="s">
        <v>11</v>
      </c>
      <c r="E530" t="s">
        <v>37</v>
      </c>
      <c r="F530" t="s">
        <v>20</v>
      </c>
      <c r="G530">
        <v>43549</v>
      </c>
      <c r="H530" t="s">
        <v>41</v>
      </c>
      <c r="I530" t="s">
        <v>15</v>
      </c>
      <c r="J530" t="s">
        <v>28</v>
      </c>
    </row>
    <row r="531" spans="1:10" x14ac:dyDescent="0.35">
      <c r="A531" t="s">
        <v>35</v>
      </c>
      <c r="B531" t="s">
        <v>42</v>
      </c>
      <c r="C531">
        <v>50000</v>
      </c>
      <c r="D531" t="s">
        <v>36</v>
      </c>
      <c r="E531" t="s">
        <v>37</v>
      </c>
      <c r="F531" t="s">
        <v>44</v>
      </c>
      <c r="G531">
        <v>43881</v>
      </c>
      <c r="H531" t="s">
        <v>31</v>
      </c>
      <c r="I531" t="s">
        <v>22</v>
      </c>
      <c r="J531" t="s">
        <v>28</v>
      </c>
    </row>
    <row r="532" spans="1:10" x14ac:dyDescent="0.35">
      <c r="A532" t="s">
        <v>10</v>
      </c>
      <c r="B532">
        <v>35</v>
      </c>
      <c r="C532">
        <v>70000</v>
      </c>
      <c r="D532" t="s">
        <v>11</v>
      </c>
      <c r="E532" t="s">
        <v>19</v>
      </c>
      <c r="F532" t="s">
        <v>43</v>
      </c>
      <c r="G532" t="s">
        <v>40</v>
      </c>
      <c r="H532" t="s">
        <v>21</v>
      </c>
      <c r="I532" t="s">
        <v>22</v>
      </c>
      <c r="J532" t="s">
        <v>23</v>
      </c>
    </row>
    <row r="533" spans="1:10" x14ac:dyDescent="0.35">
      <c r="A533" t="s">
        <v>35</v>
      </c>
      <c r="B533">
        <v>40</v>
      </c>
      <c r="C533" t="s">
        <v>25</v>
      </c>
      <c r="D533" t="s">
        <v>11</v>
      </c>
      <c r="E533" t="s">
        <v>30</v>
      </c>
      <c r="F533" t="s">
        <v>20</v>
      </c>
      <c r="G533">
        <v>43845</v>
      </c>
      <c r="H533" t="s">
        <v>31</v>
      </c>
      <c r="I533" t="s">
        <v>16</v>
      </c>
      <c r="J533" t="s">
        <v>33</v>
      </c>
    </row>
    <row r="534" spans="1:10" x14ac:dyDescent="0.35">
      <c r="A534" t="s">
        <v>29</v>
      </c>
      <c r="B534">
        <v>40</v>
      </c>
      <c r="C534" t="s">
        <v>25</v>
      </c>
      <c r="D534" t="s">
        <v>11</v>
      </c>
      <c r="E534" t="s">
        <v>12</v>
      </c>
      <c r="F534" t="s">
        <v>43</v>
      </c>
      <c r="G534">
        <v>43881</v>
      </c>
      <c r="H534" t="s">
        <v>41</v>
      </c>
      <c r="I534" t="s">
        <v>32</v>
      </c>
      <c r="J534" t="s">
        <v>23</v>
      </c>
    </row>
    <row r="535" spans="1:10" x14ac:dyDescent="0.35">
      <c r="A535" t="s">
        <v>38</v>
      </c>
      <c r="B535">
        <v>25</v>
      </c>
      <c r="C535">
        <v>50000</v>
      </c>
      <c r="D535" t="s">
        <v>11</v>
      </c>
      <c r="E535" t="s">
        <v>26</v>
      </c>
      <c r="F535" t="s">
        <v>44</v>
      </c>
      <c r="G535" t="s">
        <v>40</v>
      </c>
      <c r="H535" t="s">
        <v>41</v>
      </c>
      <c r="I535" t="s">
        <v>16</v>
      </c>
      <c r="J535" t="s">
        <v>16</v>
      </c>
    </row>
    <row r="536" spans="1:10" x14ac:dyDescent="0.35">
      <c r="A536" t="s">
        <v>10</v>
      </c>
      <c r="B536">
        <v>50</v>
      </c>
      <c r="C536">
        <v>70000</v>
      </c>
      <c r="D536" t="s">
        <v>18</v>
      </c>
      <c r="E536" t="s">
        <v>26</v>
      </c>
      <c r="F536" t="s">
        <v>20</v>
      </c>
      <c r="G536">
        <v>43195</v>
      </c>
      <c r="H536" t="s">
        <v>21</v>
      </c>
      <c r="I536" t="s">
        <v>32</v>
      </c>
      <c r="J536" t="s">
        <v>45</v>
      </c>
    </row>
    <row r="537" spans="1:10" x14ac:dyDescent="0.35">
      <c r="A537" t="s">
        <v>47</v>
      </c>
      <c r="B537">
        <v>35</v>
      </c>
      <c r="C537">
        <v>65000</v>
      </c>
      <c r="D537" t="s">
        <v>36</v>
      </c>
      <c r="E537" t="s">
        <v>30</v>
      </c>
      <c r="F537" t="s">
        <v>44</v>
      </c>
      <c r="G537">
        <v>43549</v>
      </c>
      <c r="H537" t="s">
        <v>14</v>
      </c>
      <c r="I537" t="s">
        <v>22</v>
      </c>
      <c r="J537" t="s">
        <v>45</v>
      </c>
    </row>
    <row r="538" spans="1:10" x14ac:dyDescent="0.35">
      <c r="A538" t="s">
        <v>49</v>
      </c>
      <c r="B538" t="s">
        <v>16</v>
      </c>
      <c r="C538">
        <v>70000</v>
      </c>
      <c r="D538" t="s">
        <v>36</v>
      </c>
      <c r="E538" t="s">
        <v>37</v>
      </c>
      <c r="F538" t="s">
        <v>13</v>
      </c>
      <c r="G538">
        <v>43881</v>
      </c>
      <c r="H538" t="s">
        <v>14</v>
      </c>
      <c r="I538" t="s">
        <v>15</v>
      </c>
      <c r="J538" t="s">
        <v>33</v>
      </c>
    </row>
    <row r="539" spans="1:10" x14ac:dyDescent="0.35">
      <c r="A539" t="s">
        <v>35</v>
      </c>
      <c r="B539">
        <v>25</v>
      </c>
      <c r="C539">
        <v>55000</v>
      </c>
      <c r="D539" t="s">
        <v>36</v>
      </c>
      <c r="E539" t="s">
        <v>12</v>
      </c>
      <c r="F539" t="s">
        <v>44</v>
      </c>
      <c r="G539">
        <v>43845</v>
      </c>
      <c r="H539" t="s">
        <v>21</v>
      </c>
      <c r="J539" t="s">
        <v>23</v>
      </c>
    </row>
    <row r="540" spans="1:10" x14ac:dyDescent="0.35">
      <c r="A540" t="s">
        <v>35</v>
      </c>
      <c r="B540">
        <v>35</v>
      </c>
      <c r="C540" t="s">
        <v>34</v>
      </c>
      <c r="D540" t="s">
        <v>11</v>
      </c>
      <c r="E540" t="s">
        <v>26</v>
      </c>
      <c r="F540" t="s">
        <v>43</v>
      </c>
      <c r="G540">
        <v>43195</v>
      </c>
      <c r="H540" t="s">
        <v>21</v>
      </c>
      <c r="I540" t="s">
        <v>22</v>
      </c>
      <c r="J540" t="s">
        <v>23</v>
      </c>
    </row>
    <row r="541" spans="1:10" x14ac:dyDescent="0.35">
      <c r="A541" t="s">
        <v>48</v>
      </c>
      <c r="B541">
        <v>35</v>
      </c>
      <c r="C541">
        <v>65000</v>
      </c>
      <c r="D541" t="s">
        <v>18</v>
      </c>
      <c r="E541" t="s">
        <v>26</v>
      </c>
      <c r="F541" t="s">
        <v>39</v>
      </c>
      <c r="G541" t="s">
        <v>40</v>
      </c>
      <c r="H541" t="s">
        <v>31</v>
      </c>
      <c r="I541" t="s">
        <v>15</v>
      </c>
      <c r="J541" t="s">
        <v>16</v>
      </c>
    </row>
    <row r="542" spans="1:10" x14ac:dyDescent="0.35">
      <c r="A542" t="s">
        <v>46</v>
      </c>
      <c r="B542">
        <v>25</v>
      </c>
      <c r="C542" t="s">
        <v>25</v>
      </c>
      <c r="D542" t="s">
        <v>36</v>
      </c>
      <c r="E542" t="s">
        <v>37</v>
      </c>
      <c r="F542" t="s">
        <v>44</v>
      </c>
      <c r="G542">
        <v>43549</v>
      </c>
      <c r="H542" t="s">
        <v>21</v>
      </c>
      <c r="I542" t="s">
        <v>22</v>
      </c>
      <c r="J542" t="s">
        <v>45</v>
      </c>
    </row>
    <row r="543" spans="1:10" x14ac:dyDescent="0.35">
      <c r="A543" t="s">
        <v>10</v>
      </c>
      <c r="B543">
        <v>40</v>
      </c>
      <c r="C543">
        <v>65000</v>
      </c>
      <c r="D543" t="s">
        <v>18</v>
      </c>
      <c r="E543" t="s">
        <v>30</v>
      </c>
      <c r="F543" t="s">
        <v>39</v>
      </c>
      <c r="G543">
        <v>43845</v>
      </c>
      <c r="H543" t="s">
        <v>14</v>
      </c>
      <c r="I543" t="s">
        <v>16</v>
      </c>
      <c r="J543" t="s">
        <v>23</v>
      </c>
    </row>
    <row r="544" spans="1:10" x14ac:dyDescent="0.35">
      <c r="A544" t="s">
        <v>24</v>
      </c>
      <c r="B544">
        <v>35</v>
      </c>
      <c r="C544" t="s">
        <v>25</v>
      </c>
      <c r="D544" t="s">
        <v>11</v>
      </c>
      <c r="E544" t="s">
        <v>12</v>
      </c>
      <c r="F544" t="s">
        <v>13</v>
      </c>
      <c r="G544" t="s">
        <v>40</v>
      </c>
      <c r="H544" t="s">
        <v>21</v>
      </c>
      <c r="I544" t="s">
        <v>32</v>
      </c>
      <c r="J544" t="s">
        <v>33</v>
      </c>
    </row>
    <row r="545" spans="1:10" x14ac:dyDescent="0.35">
      <c r="A545" t="s">
        <v>35</v>
      </c>
      <c r="B545">
        <v>40</v>
      </c>
      <c r="C545" t="s">
        <v>25</v>
      </c>
      <c r="D545" t="s">
        <v>36</v>
      </c>
      <c r="E545" t="s">
        <v>30</v>
      </c>
      <c r="F545" t="s">
        <v>20</v>
      </c>
      <c r="G545" t="s">
        <v>40</v>
      </c>
      <c r="H545" t="s">
        <v>31</v>
      </c>
      <c r="I545" t="s">
        <v>22</v>
      </c>
      <c r="J545" t="s">
        <v>45</v>
      </c>
    </row>
    <row r="546" spans="1:10" x14ac:dyDescent="0.35">
      <c r="A546" t="s">
        <v>49</v>
      </c>
      <c r="B546">
        <v>25</v>
      </c>
      <c r="C546">
        <v>65000</v>
      </c>
      <c r="D546" t="s">
        <v>18</v>
      </c>
      <c r="E546" t="s">
        <v>30</v>
      </c>
      <c r="F546" t="s">
        <v>20</v>
      </c>
      <c r="G546">
        <v>43881</v>
      </c>
      <c r="H546" t="s">
        <v>31</v>
      </c>
      <c r="I546" t="s">
        <v>15</v>
      </c>
      <c r="J546" t="s">
        <v>16</v>
      </c>
    </row>
    <row r="547" spans="1:10" x14ac:dyDescent="0.35">
      <c r="A547" t="s">
        <v>47</v>
      </c>
      <c r="B547">
        <v>40</v>
      </c>
      <c r="C547" t="s">
        <v>25</v>
      </c>
      <c r="D547" t="s">
        <v>11</v>
      </c>
      <c r="E547" t="s">
        <v>12</v>
      </c>
      <c r="F547" t="s">
        <v>39</v>
      </c>
      <c r="G547">
        <v>43881</v>
      </c>
      <c r="H547" t="s">
        <v>31</v>
      </c>
      <c r="I547" t="s">
        <v>16</v>
      </c>
      <c r="J547" t="s">
        <v>33</v>
      </c>
    </row>
    <row r="548" spans="1:10" x14ac:dyDescent="0.35">
      <c r="A548" t="s">
        <v>35</v>
      </c>
      <c r="B548" t="s">
        <v>42</v>
      </c>
      <c r="C548" t="s">
        <v>25</v>
      </c>
      <c r="D548" t="s">
        <v>18</v>
      </c>
      <c r="E548" t="s">
        <v>12</v>
      </c>
      <c r="F548" t="s">
        <v>20</v>
      </c>
      <c r="G548">
        <v>43845</v>
      </c>
      <c r="H548" t="s">
        <v>31</v>
      </c>
      <c r="J548" t="s">
        <v>28</v>
      </c>
    </row>
    <row r="549" spans="1:10" x14ac:dyDescent="0.35">
      <c r="A549" t="s">
        <v>47</v>
      </c>
      <c r="B549" t="s">
        <v>16</v>
      </c>
      <c r="C549">
        <v>55000</v>
      </c>
      <c r="D549" t="s">
        <v>36</v>
      </c>
      <c r="E549" t="s">
        <v>26</v>
      </c>
      <c r="F549" t="s">
        <v>44</v>
      </c>
      <c r="G549" t="s">
        <v>40</v>
      </c>
      <c r="H549" t="s">
        <v>27</v>
      </c>
      <c r="I549" t="s">
        <v>16</v>
      </c>
      <c r="J549" t="s">
        <v>16</v>
      </c>
    </row>
    <row r="550" spans="1:10" x14ac:dyDescent="0.35">
      <c r="A550" t="s">
        <v>29</v>
      </c>
      <c r="B550">
        <v>35</v>
      </c>
      <c r="C550">
        <v>70000</v>
      </c>
      <c r="D550" t="s">
        <v>36</v>
      </c>
      <c r="E550" t="s">
        <v>26</v>
      </c>
      <c r="F550" t="s">
        <v>39</v>
      </c>
      <c r="G550">
        <v>43881</v>
      </c>
      <c r="H550" t="s">
        <v>21</v>
      </c>
      <c r="I550" t="s">
        <v>32</v>
      </c>
      <c r="J550" t="s">
        <v>33</v>
      </c>
    </row>
    <row r="551" spans="1:10" x14ac:dyDescent="0.35">
      <c r="A551" t="s">
        <v>29</v>
      </c>
      <c r="B551">
        <v>50</v>
      </c>
      <c r="C551">
        <v>70000</v>
      </c>
      <c r="D551" t="s">
        <v>11</v>
      </c>
      <c r="E551" t="s">
        <v>12</v>
      </c>
      <c r="F551" t="s">
        <v>43</v>
      </c>
      <c r="G551">
        <v>43549</v>
      </c>
      <c r="H551" t="s">
        <v>41</v>
      </c>
      <c r="I551" t="s">
        <v>16</v>
      </c>
      <c r="J551" t="s">
        <v>23</v>
      </c>
    </row>
    <row r="552" spans="1:10" x14ac:dyDescent="0.35">
      <c r="A552" t="s">
        <v>46</v>
      </c>
      <c r="B552" t="s">
        <v>16</v>
      </c>
      <c r="C552" t="s">
        <v>34</v>
      </c>
      <c r="D552" t="s">
        <v>11</v>
      </c>
      <c r="E552" t="s">
        <v>19</v>
      </c>
      <c r="F552" t="s">
        <v>44</v>
      </c>
      <c r="G552">
        <v>43549</v>
      </c>
      <c r="H552" t="s">
        <v>21</v>
      </c>
      <c r="J552" t="s">
        <v>28</v>
      </c>
    </row>
    <row r="553" spans="1:10" x14ac:dyDescent="0.35">
      <c r="A553" t="s">
        <v>38</v>
      </c>
      <c r="B553">
        <v>40</v>
      </c>
      <c r="C553" t="s">
        <v>34</v>
      </c>
      <c r="D553" t="s">
        <v>11</v>
      </c>
      <c r="E553" t="s">
        <v>26</v>
      </c>
      <c r="F553" t="s">
        <v>44</v>
      </c>
      <c r="G553" t="s">
        <v>40</v>
      </c>
      <c r="H553" t="s">
        <v>27</v>
      </c>
      <c r="I553" t="s">
        <v>15</v>
      </c>
      <c r="J553" t="s">
        <v>16</v>
      </c>
    </row>
    <row r="554" spans="1:10" x14ac:dyDescent="0.35">
      <c r="A554" t="s">
        <v>24</v>
      </c>
      <c r="B554">
        <v>35</v>
      </c>
      <c r="C554">
        <v>55000</v>
      </c>
      <c r="D554" t="s">
        <v>18</v>
      </c>
      <c r="E554" t="s">
        <v>19</v>
      </c>
      <c r="F554" t="s">
        <v>44</v>
      </c>
      <c r="G554">
        <v>43881</v>
      </c>
      <c r="H554" t="s">
        <v>31</v>
      </c>
      <c r="I554" t="s">
        <v>22</v>
      </c>
      <c r="J554" t="s">
        <v>23</v>
      </c>
    </row>
    <row r="555" spans="1:10" x14ac:dyDescent="0.35">
      <c r="A555" t="s">
        <v>48</v>
      </c>
      <c r="B555">
        <v>40</v>
      </c>
      <c r="C555" t="s">
        <v>34</v>
      </c>
      <c r="D555" t="s">
        <v>18</v>
      </c>
      <c r="E555" t="s">
        <v>12</v>
      </c>
      <c r="F555" t="s">
        <v>43</v>
      </c>
      <c r="G555">
        <v>43845</v>
      </c>
      <c r="H555" t="s">
        <v>27</v>
      </c>
      <c r="I555" t="s">
        <v>32</v>
      </c>
      <c r="J555" t="s">
        <v>28</v>
      </c>
    </row>
    <row r="556" spans="1:10" x14ac:dyDescent="0.35">
      <c r="A556" t="s">
        <v>46</v>
      </c>
      <c r="B556" t="s">
        <v>42</v>
      </c>
      <c r="C556">
        <v>65000</v>
      </c>
      <c r="D556" t="s">
        <v>18</v>
      </c>
      <c r="E556" t="s">
        <v>26</v>
      </c>
      <c r="F556" t="s">
        <v>13</v>
      </c>
      <c r="G556">
        <v>43845</v>
      </c>
      <c r="H556" t="s">
        <v>14</v>
      </c>
      <c r="J556" t="s">
        <v>45</v>
      </c>
    </row>
    <row r="557" spans="1:10" x14ac:dyDescent="0.35">
      <c r="A557" t="s">
        <v>17</v>
      </c>
      <c r="B557">
        <v>25</v>
      </c>
      <c r="C557">
        <v>50000</v>
      </c>
      <c r="D557" t="s">
        <v>11</v>
      </c>
      <c r="E557" t="s">
        <v>30</v>
      </c>
      <c r="F557" t="s">
        <v>20</v>
      </c>
      <c r="G557">
        <v>43845</v>
      </c>
      <c r="H557" t="s">
        <v>14</v>
      </c>
      <c r="I557" t="s">
        <v>32</v>
      </c>
      <c r="J557" t="s">
        <v>23</v>
      </c>
    </row>
    <row r="558" spans="1:10" x14ac:dyDescent="0.35">
      <c r="A558" t="s">
        <v>48</v>
      </c>
      <c r="B558">
        <v>35</v>
      </c>
      <c r="C558">
        <v>50000</v>
      </c>
      <c r="D558" t="s">
        <v>36</v>
      </c>
      <c r="E558" t="s">
        <v>12</v>
      </c>
      <c r="F558" t="s">
        <v>39</v>
      </c>
      <c r="G558">
        <v>43549</v>
      </c>
      <c r="H558" t="s">
        <v>21</v>
      </c>
      <c r="I558" t="s">
        <v>16</v>
      </c>
      <c r="J558" t="s">
        <v>33</v>
      </c>
    </row>
    <row r="559" spans="1:10" x14ac:dyDescent="0.35">
      <c r="A559" t="s">
        <v>10</v>
      </c>
      <c r="B559" t="s">
        <v>42</v>
      </c>
      <c r="C559">
        <v>50000</v>
      </c>
      <c r="D559" t="s">
        <v>36</v>
      </c>
      <c r="E559" t="s">
        <v>37</v>
      </c>
      <c r="F559" t="s">
        <v>13</v>
      </c>
      <c r="G559">
        <v>43881</v>
      </c>
      <c r="H559" t="s">
        <v>21</v>
      </c>
      <c r="I559" t="s">
        <v>32</v>
      </c>
      <c r="J559" t="s">
        <v>16</v>
      </c>
    </row>
    <row r="560" spans="1:10" x14ac:dyDescent="0.35">
      <c r="A560" t="s">
        <v>49</v>
      </c>
      <c r="B560" t="s">
        <v>42</v>
      </c>
      <c r="C560">
        <v>55000</v>
      </c>
      <c r="D560" t="s">
        <v>18</v>
      </c>
      <c r="E560" t="s">
        <v>19</v>
      </c>
      <c r="F560" t="s">
        <v>39</v>
      </c>
      <c r="G560">
        <v>43881</v>
      </c>
      <c r="H560" t="s">
        <v>41</v>
      </c>
      <c r="J560" t="s">
        <v>28</v>
      </c>
    </row>
    <row r="561" spans="1:10" x14ac:dyDescent="0.35">
      <c r="A561" t="s">
        <v>17</v>
      </c>
      <c r="B561">
        <v>35</v>
      </c>
      <c r="C561">
        <v>55000</v>
      </c>
      <c r="D561" t="s">
        <v>18</v>
      </c>
      <c r="E561" t="s">
        <v>12</v>
      </c>
      <c r="F561" t="s">
        <v>20</v>
      </c>
      <c r="G561">
        <v>43549</v>
      </c>
      <c r="H561" t="s">
        <v>41</v>
      </c>
      <c r="I561" t="s">
        <v>22</v>
      </c>
      <c r="J561" t="s">
        <v>23</v>
      </c>
    </row>
    <row r="562" spans="1:10" x14ac:dyDescent="0.35">
      <c r="A562" t="s">
        <v>17</v>
      </c>
      <c r="B562">
        <v>40</v>
      </c>
      <c r="C562" t="s">
        <v>25</v>
      </c>
      <c r="D562" t="s">
        <v>36</v>
      </c>
      <c r="E562" t="s">
        <v>12</v>
      </c>
      <c r="F562" t="s">
        <v>43</v>
      </c>
      <c r="G562">
        <v>43845</v>
      </c>
      <c r="H562" t="s">
        <v>14</v>
      </c>
      <c r="I562" t="s">
        <v>22</v>
      </c>
      <c r="J562" t="s">
        <v>45</v>
      </c>
    </row>
    <row r="563" spans="1:10" x14ac:dyDescent="0.35">
      <c r="A563" t="s">
        <v>46</v>
      </c>
      <c r="B563">
        <v>50</v>
      </c>
      <c r="C563">
        <v>50000</v>
      </c>
      <c r="D563" t="s">
        <v>36</v>
      </c>
      <c r="E563" t="s">
        <v>26</v>
      </c>
      <c r="F563" t="s">
        <v>44</v>
      </c>
      <c r="G563">
        <v>43845</v>
      </c>
      <c r="H563" t="s">
        <v>31</v>
      </c>
      <c r="I563" t="s">
        <v>32</v>
      </c>
      <c r="J563" t="s">
        <v>16</v>
      </c>
    </row>
    <row r="564" spans="1:10" x14ac:dyDescent="0.35">
      <c r="A564" t="s">
        <v>38</v>
      </c>
      <c r="B564" t="s">
        <v>42</v>
      </c>
      <c r="C564">
        <v>65000</v>
      </c>
      <c r="D564" t="s">
        <v>18</v>
      </c>
      <c r="E564" t="s">
        <v>26</v>
      </c>
      <c r="F564" t="s">
        <v>44</v>
      </c>
      <c r="G564" t="s">
        <v>40</v>
      </c>
      <c r="H564" t="s">
        <v>27</v>
      </c>
      <c r="I564" t="s">
        <v>15</v>
      </c>
      <c r="J564" t="s">
        <v>16</v>
      </c>
    </row>
    <row r="565" spans="1:10" x14ac:dyDescent="0.35">
      <c r="A565" t="s">
        <v>46</v>
      </c>
      <c r="B565" t="s">
        <v>16</v>
      </c>
      <c r="C565" t="s">
        <v>34</v>
      </c>
      <c r="D565" t="s">
        <v>18</v>
      </c>
      <c r="E565" t="s">
        <v>26</v>
      </c>
      <c r="F565" t="s">
        <v>43</v>
      </c>
      <c r="G565">
        <v>43195</v>
      </c>
      <c r="H565" t="s">
        <v>41</v>
      </c>
      <c r="I565" t="s">
        <v>32</v>
      </c>
      <c r="J565" t="s">
        <v>23</v>
      </c>
    </row>
    <row r="566" spans="1:10" x14ac:dyDescent="0.35">
      <c r="A566" t="s">
        <v>10</v>
      </c>
      <c r="B566" t="s">
        <v>42</v>
      </c>
      <c r="C566">
        <v>65000</v>
      </c>
      <c r="D566" t="s">
        <v>36</v>
      </c>
      <c r="E566" t="s">
        <v>37</v>
      </c>
      <c r="F566" t="s">
        <v>13</v>
      </c>
      <c r="G566">
        <v>43881</v>
      </c>
      <c r="H566" t="s">
        <v>41</v>
      </c>
      <c r="I566" t="s">
        <v>16</v>
      </c>
      <c r="J566" t="s">
        <v>45</v>
      </c>
    </row>
    <row r="567" spans="1:10" x14ac:dyDescent="0.35">
      <c r="A567" t="s">
        <v>35</v>
      </c>
      <c r="B567">
        <v>50</v>
      </c>
      <c r="C567" t="s">
        <v>34</v>
      </c>
      <c r="D567" t="s">
        <v>11</v>
      </c>
      <c r="E567" t="s">
        <v>26</v>
      </c>
      <c r="F567" t="s">
        <v>13</v>
      </c>
      <c r="G567">
        <v>43881</v>
      </c>
      <c r="H567" t="s">
        <v>31</v>
      </c>
      <c r="I567" t="s">
        <v>22</v>
      </c>
      <c r="J567" t="s">
        <v>28</v>
      </c>
    </row>
    <row r="568" spans="1:10" x14ac:dyDescent="0.35">
      <c r="A568" t="s">
        <v>35</v>
      </c>
      <c r="B568">
        <v>40</v>
      </c>
      <c r="C568">
        <v>50000</v>
      </c>
      <c r="D568" t="s">
        <v>18</v>
      </c>
      <c r="E568" t="s">
        <v>12</v>
      </c>
      <c r="F568" t="s">
        <v>39</v>
      </c>
      <c r="G568">
        <v>43881</v>
      </c>
      <c r="H568" t="s">
        <v>31</v>
      </c>
      <c r="I568" t="s">
        <v>22</v>
      </c>
      <c r="J568" t="s">
        <v>23</v>
      </c>
    </row>
    <row r="569" spans="1:10" x14ac:dyDescent="0.35">
      <c r="A569" t="s">
        <v>38</v>
      </c>
      <c r="B569">
        <v>40</v>
      </c>
      <c r="C569">
        <v>50000</v>
      </c>
      <c r="D569" t="s">
        <v>36</v>
      </c>
      <c r="E569" t="s">
        <v>26</v>
      </c>
      <c r="F569" t="s">
        <v>43</v>
      </c>
      <c r="G569">
        <v>43195</v>
      </c>
      <c r="H569" t="s">
        <v>21</v>
      </c>
      <c r="I569" t="s">
        <v>22</v>
      </c>
      <c r="J569" t="s">
        <v>28</v>
      </c>
    </row>
    <row r="570" spans="1:10" x14ac:dyDescent="0.35">
      <c r="A570" t="s">
        <v>10</v>
      </c>
      <c r="B570" t="s">
        <v>16</v>
      </c>
      <c r="C570">
        <v>50000</v>
      </c>
      <c r="D570" t="s">
        <v>36</v>
      </c>
      <c r="E570" t="s">
        <v>30</v>
      </c>
      <c r="F570" t="s">
        <v>13</v>
      </c>
      <c r="G570" t="s">
        <v>40</v>
      </c>
      <c r="H570" t="s">
        <v>27</v>
      </c>
      <c r="I570" t="s">
        <v>15</v>
      </c>
      <c r="J570" t="s">
        <v>16</v>
      </c>
    </row>
    <row r="571" spans="1:10" x14ac:dyDescent="0.35">
      <c r="A571" t="s">
        <v>38</v>
      </c>
      <c r="B571" t="s">
        <v>42</v>
      </c>
      <c r="C571">
        <v>55000</v>
      </c>
      <c r="D571" t="s">
        <v>36</v>
      </c>
      <c r="E571" t="s">
        <v>26</v>
      </c>
      <c r="F571" t="s">
        <v>43</v>
      </c>
      <c r="G571">
        <v>43195</v>
      </c>
      <c r="H571" t="s">
        <v>31</v>
      </c>
      <c r="I571" t="s">
        <v>15</v>
      </c>
      <c r="J571" t="s">
        <v>28</v>
      </c>
    </row>
    <row r="572" spans="1:10" x14ac:dyDescent="0.35">
      <c r="A572" t="s">
        <v>47</v>
      </c>
      <c r="B572">
        <v>40</v>
      </c>
      <c r="C572" t="s">
        <v>34</v>
      </c>
      <c r="D572" t="s">
        <v>36</v>
      </c>
      <c r="E572" t="s">
        <v>37</v>
      </c>
      <c r="F572" t="s">
        <v>20</v>
      </c>
      <c r="G572">
        <v>43845</v>
      </c>
      <c r="H572" t="s">
        <v>41</v>
      </c>
      <c r="J572" t="s">
        <v>45</v>
      </c>
    </row>
    <row r="573" spans="1:10" x14ac:dyDescent="0.35">
      <c r="A573" t="s">
        <v>35</v>
      </c>
      <c r="B573">
        <v>50</v>
      </c>
      <c r="C573">
        <v>55000</v>
      </c>
      <c r="D573" t="s">
        <v>11</v>
      </c>
      <c r="E573" t="s">
        <v>30</v>
      </c>
      <c r="F573" t="s">
        <v>44</v>
      </c>
      <c r="G573">
        <v>43845</v>
      </c>
      <c r="H573" t="s">
        <v>41</v>
      </c>
      <c r="I573" t="s">
        <v>32</v>
      </c>
      <c r="J573" t="s">
        <v>33</v>
      </c>
    </row>
    <row r="574" spans="1:10" x14ac:dyDescent="0.35">
      <c r="A574" t="s">
        <v>17</v>
      </c>
      <c r="B574">
        <v>35</v>
      </c>
      <c r="C574">
        <v>55000</v>
      </c>
      <c r="D574" t="s">
        <v>36</v>
      </c>
      <c r="E574" t="s">
        <v>12</v>
      </c>
      <c r="F574" t="s">
        <v>44</v>
      </c>
      <c r="G574">
        <v>43881</v>
      </c>
      <c r="H574" t="s">
        <v>14</v>
      </c>
      <c r="I574" t="s">
        <v>32</v>
      </c>
      <c r="J574" t="s">
        <v>45</v>
      </c>
    </row>
    <row r="575" spans="1:10" x14ac:dyDescent="0.35">
      <c r="A575" t="s">
        <v>24</v>
      </c>
      <c r="B575">
        <v>25</v>
      </c>
      <c r="C575">
        <v>70000</v>
      </c>
      <c r="D575" t="s">
        <v>18</v>
      </c>
      <c r="E575" t="s">
        <v>12</v>
      </c>
      <c r="F575" t="s">
        <v>44</v>
      </c>
      <c r="G575">
        <v>43549</v>
      </c>
      <c r="H575" t="s">
        <v>31</v>
      </c>
      <c r="I575" t="s">
        <v>16</v>
      </c>
      <c r="J575" t="s">
        <v>28</v>
      </c>
    </row>
    <row r="576" spans="1:10" x14ac:dyDescent="0.35">
      <c r="A576" t="s">
        <v>49</v>
      </c>
      <c r="B576">
        <v>25</v>
      </c>
      <c r="C576">
        <v>65000</v>
      </c>
      <c r="D576" t="s">
        <v>11</v>
      </c>
      <c r="E576" t="s">
        <v>19</v>
      </c>
      <c r="F576" t="s">
        <v>43</v>
      </c>
      <c r="G576">
        <v>43881</v>
      </c>
      <c r="H576" t="s">
        <v>21</v>
      </c>
      <c r="I576" t="s">
        <v>22</v>
      </c>
      <c r="J576" t="s">
        <v>23</v>
      </c>
    </row>
    <row r="577" spans="1:10" x14ac:dyDescent="0.35">
      <c r="A577" t="s">
        <v>10</v>
      </c>
      <c r="B577">
        <v>25</v>
      </c>
      <c r="C577">
        <v>65000</v>
      </c>
      <c r="D577" t="s">
        <v>36</v>
      </c>
      <c r="E577" t="s">
        <v>30</v>
      </c>
      <c r="F577" t="s">
        <v>43</v>
      </c>
      <c r="G577">
        <v>43549</v>
      </c>
      <c r="H577" t="s">
        <v>27</v>
      </c>
      <c r="I577" t="s">
        <v>15</v>
      </c>
      <c r="J577" t="s">
        <v>16</v>
      </c>
    </row>
    <row r="578" spans="1:10" x14ac:dyDescent="0.35">
      <c r="A578" t="s">
        <v>48</v>
      </c>
      <c r="B578" t="s">
        <v>42</v>
      </c>
      <c r="C578" t="s">
        <v>25</v>
      </c>
      <c r="D578" t="s">
        <v>11</v>
      </c>
      <c r="E578" t="s">
        <v>19</v>
      </c>
      <c r="F578" t="s">
        <v>39</v>
      </c>
      <c r="G578">
        <v>43195</v>
      </c>
      <c r="H578" t="s">
        <v>21</v>
      </c>
      <c r="I578" t="s">
        <v>16</v>
      </c>
      <c r="J578" t="s">
        <v>33</v>
      </c>
    </row>
    <row r="579" spans="1:10" x14ac:dyDescent="0.35">
      <c r="A579" t="s">
        <v>38</v>
      </c>
      <c r="B579" t="s">
        <v>16</v>
      </c>
      <c r="C579">
        <v>55000</v>
      </c>
      <c r="D579" t="s">
        <v>18</v>
      </c>
      <c r="E579" t="s">
        <v>30</v>
      </c>
      <c r="F579" t="s">
        <v>44</v>
      </c>
      <c r="G579">
        <v>43845</v>
      </c>
      <c r="H579" t="s">
        <v>41</v>
      </c>
      <c r="I579" t="s">
        <v>16</v>
      </c>
      <c r="J579" t="s">
        <v>23</v>
      </c>
    </row>
    <row r="580" spans="1:10" x14ac:dyDescent="0.35">
      <c r="A580" t="s">
        <v>49</v>
      </c>
      <c r="B580">
        <v>40</v>
      </c>
      <c r="C580" t="s">
        <v>34</v>
      </c>
      <c r="D580" t="s">
        <v>36</v>
      </c>
      <c r="E580" t="s">
        <v>30</v>
      </c>
      <c r="F580" t="s">
        <v>39</v>
      </c>
      <c r="G580">
        <v>43549</v>
      </c>
      <c r="H580" t="s">
        <v>21</v>
      </c>
      <c r="I580" t="s">
        <v>15</v>
      </c>
      <c r="J580" t="s">
        <v>23</v>
      </c>
    </row>
    <row r="581" spans="1:10" x14ac:dyDescent="0.35">
      <c r="A581" t="s">
        <v>48</v>
      </c>
      <c r="B581">
        <v>35</v>
      </c>
      <c r="C581">
        <v>70000</v>
      </c>
      <c r="D581" t="s">
        <v>18</v>
      </c>
      <c r="E581" t="s">
        <v>37</v>
      </c>
      <c r="F581" t="s">
        <v>44</v>
      </c>
      <c r="G581">
        <v>43195</v>
      </c>
      <c r="H581" t="s">
        <v>41</v>
      </c>
      <c r="I581" t="s">
        <v>32</v>
      </c>
      <c r="J581" t="s">
        <v>45</v>
      </c>
    </row>
    <row r="582" spans="1:10" x14ac:dyDescent="0.35">
      <c r="A582" t="s">
        <v>49</v>
      </c>
      <c r="B582">
        <v>50</v>
      </c>
      <c r="C582">
        <v>70000</v>
      </c>
      <c r="D582" t="s">
        <v>36</v>
      </c>
      <c r="E582" t="s">
        <v>19</v>
      </c>
      <c r="F582" t="s">
        <v>39</v>
      </c>
      <c r="G582">
        <v>43845</v>
      </c>
      <c r="H582" t="s">
        <v>41</v>
      </c>
      <c r="I582" t="s">
        <v>22</v>
      </c>
      <c r="J582" t="s">
        <v>28</v>
      </c>
    </row>
    <row r="583" spans="1:10" x14ac:dyDescent="0.35">
      <c r="A583" t="s">
        <v>24</v>
      </c>
      <c r="B583">
        <v>35</v>
      </c>
      <c r="C583">
        <v>65000</v>
      </c>
      <c r="D583" t="s">
        <v>36</v>
      </c>
      <c r="E583" t="s">
        <v>37</v>
      </c>
      <c r="F583" t="s">
        <v>39</v>
      </c>
      <c r="G583">
        <v>43549</v>
      </c>
      <c r="H583" t="s">
        <v>41</v>
      </c>
      <c r="I583" t="s">
        <v>32</v>
      </c>
      <c r="J583" t="s">
        <v>45</v>
      </c>
    </row>
    <row r="584" spans="1:10" x14ac:dyDescent="0.35">
      <c r="A584" t="s">
        <v>48</v>
      </c>
      <c r="B584">
        <v>50</v>
      </c>
      <c r="C584">
        <v>55000</v>
      </c>
      <c r="D584" t="s">
        <v>36</v>
      </c>
      <c r="E584" t="s">
        <v>30</v>
      </c>
      <c r="F584" t="s">
        <v>20</v>
      </c>
      <c r="G584">
        <v>43881</v>
      </c>
      <c r="H584" t="s">
        <v>41</v>
      </c>
      <c r="I584" t="s">
        <v>16</v>
      </c>
      <c r="J584" t="s">
        <v>28</v>
      </c>
    </row>
    <row r="585" spans="1:10" x14ac:dyDescent="0.35">
      <c r="A585" t="s">
        <v>46</v>
      </c>
      <c r="B585" t="s">
        <v>42</v>
      </c>
      <c r="C585" t="s">
        <v>25</v>
      </c>
      <c r="D585" t="s">
        <v>36</v>
      </c>
      <c r="E585" t="s">
        <v>12</v>
      </c>
      <c r="F585" t="s">
        <v>39</v>
      </c>
      <c r="G585">
        <v>43881</v>
      </c>
      <c r="H585" t="s">
        <v>41</v>
      </c>
      <c r="I585" t="s">
        <v>22</v>
      </c>
      <c r="J585" t="s">
        <v>45</v>
      </c>
    </row>
    <row r="586" spans="1:10" x14ac:dyDescent="0.35">
      <c r="A586" t="s">
        <v>29</v>
      </c>
      <c r="B586">
        <v>25</v>
      </c>
      <c r="C586">
        <v>55000</v>
      </c>
      <c r="D586" t="s">
        <v>36</v>
      </c>
      <c r="E586" t="s">
        <v>30</v>
      </c>
      <c r="F586" t="s">
        <v>43</v>
      </c>
      <c r="G586">
        <v>43881</v>
      </c>
      <c r="H586" t="s">
        <v>14</v>
      </c>
      <c r="J586" t="s">
        <v>23</v>
      </c>
    </row>
    <row r="587" spans="1:10" x14ac:dyDescent="0.35">
      <c r="A587" t="s">
        <v>46</v>
      </c>
      <c r="B587" t="s">
        <v>42</v>
      </c>
      <c r="C587">
        <v>50000</v>
      </c>
      <c r="D587" t="s">
        <v>11</v>
      </c>
      <c r="E587" t="s">
        <v>37</v>
      </c>
      <c r="F587" t="s">
        <v>39</v>
      </c>
      <c r="G587">
        <v>43195</v>
      </c>
      <c r="H587" t="s">
        <v>21</v>
      </c>
      <c r="I587" t="s">
        <v>16</v>
      </c>
      <c r="J587" t="s">
        <v>16</v>
      </c>
    </row>
    <row r="588" spans="1:10" x14ac:dyDescent="0.35">
      <c r="A588" t="s">
        <v>35</v>
      </c>
      <c r="B588" t="s">
        <v>16</v>
      </c>
      <c r="C588">
        <v>55000</v>
      </c>
      <c r="D588" t="s">
        <v>36</v>
      </c>
      <c r="E588" t="s">
        <v>19</v>
      </c>
      <c r="F588" t="s">
        <v>44</v>
      </c>
      <c r="G588">
        <v>43881</v>
      </c>
      <c r="H588" t="s">
        <v>14</v>
      </c>
      <c r="I588" t="s">
        <v>32</v>
      </c>
      <c r="J588" t="s">
        <v>28</v>
      </c>
    </row>
    <row r="589" spans="1:10" x14ac:dyDescent="0.35">
      <c r="A589" t="s">
        <v>29</v>
      </c>
      <c r="B589" t="s">
        <v>16</v>
      </c>
      <c r="C589">
        <v>50000</v>
      </c>
      <c r="D589" t="s">
        <v>36</v>
      </c>
      <c r="E589" t="s">
        <v>19</v>
      </c>
      <c r="F589" t="s">
        <v>39</v>
      </c>
      <c r="G589" t="s">
        <v>40</v>
      </c>
      <c r="H589" t="s">
        <v>14</v>
      </c>
      <c r="I589" t="s">
        <v>32</v>
      </c>
      <c r="J589" t="s">
        <v>33</v>
      </c>
    </row>
    <row r="590" spans="1:10" x14ac:dyDescent="0.35">
      <c r="A590" t="s">
        <v>46</v>
      </c>
      <c r="B590">
        <v>50</v>
      </c>
      <c r="C590">
        <v>50000</v>
      </c>
      <c r="D590" t="s">
        <v>11</v>
      </c>
      <c r="E590" t="s">
        <v>37</v>
      </c>
      <c r="F590" t="s">
        <v>13</v>
      </c>
      <c r="G590">
        <v>43845</v>
      </c>
      <c r="H590" t="s">
        <v>31</v>
      </c>
      <c r="I590" t="s">
        <v>32</v>
      </c>
      <c r="J590" t="s">
        <v>33</v>
      </c>
    </row>
    <row r="591" spans="1:10" x14ac:dyDescent="0.35">
      <c r="A591" t="s">
        <v>29</v>
      </c>
      <c r="B591">
        <v>40</v>
      </c>
      <c r="C591" t="s">
        <v>25</v>
      </c>
      <c r="D591" t="s">
        <v>11</v>
      </c>
      <c r="E591" t="s">
        <v>19</v>
      </c>
      <c r="F591" t="s">
        <v>44</v>
      </c>
      <c r="G591">
        <v>43195</v>
      </c>
      <c r="H591" t="s">
        <v>31</v>
      </c>
      <c r="I591" t="s">
        <v>15</v>
      </c>
      <c r="J591" t="s">
        <v>23</v>
      </c>
    </row>
    <row r="592" spans="1:10" x14ac:dyDescent="0.35">
      <c r="A592" t="s">
        <v>29</v>
      </c>
      <c r="B592">
        <v>40</v>
      </c>
      <c r="C592" t="s">
        <v>34</v>
      </c>
      <c r="D592" t="s">
        <v>11</v>
      </c>
      <c r="E592" t="s">
        <v>26</v>
      </c>
      <c r="F592" t="s">
        <v>13</v>
      </c>
      <c r="G592">
        <v>43881</v>
      </c>
      <c r="H592" t="s">
        <v>31</v>
      </c>
      <c r="I592" t="s">
        <v>16</v>
      </c>
      <c r="J592" t="s">
        <v>45</v>
      </c>
    </row>
    <row r="593" spans="1:10" x14ac:dyDescent="0.35">
      <c r="A593" t="s">
        <v>17</v>
      </c>
      <c r="B593">
        <v>50</v>
      </c>
      <c r="C593">
        <v>65000</v>
      </c>
      <c r="D593" t="s">
        <v>11</v>
      </c>
      <c r="E593" t="s">
        <v>12</v>
      </c>
      <c r="F593" t="s">
        <v>44</v>
      </c>
      <c r="G593">
        <v>43845</v>
      </c>
      <c r="H593" t="s">
        <v>27</v>
      </c>
      <c r="I593" t="s">
        <v>22</v>
      </c>
      <c r="J593" t="s">
        <v>45</v>
      </c>
    </row>
    <row r="594" spans="1:10" x14ac:dyDescent="0.35">
      <c r="A594" t="s">
        <v>38</v>
      </c>
      <c r="B594" t="s">
        <v>16</v>
      </c>
      <c r="C594">
        <v>55000</v>
      </c>
      <c r="D594" t="s">
        <v>11</v>
      </c>
      <c r="E594" t="s">
        <v>12</v>
      </c>
      <c r="F594" t="s">
        <v>43</v>
      </c>
      <c r="G594">
        <v>43549</v>
      </c>
      <c r="H594" t="s">
        <v>31</v>
      </c>
      <c r="I594" t="s">
        <v>32</v>
      </c>
      <c r="J594" t="s">
        <v>23</v>
      </c>
    </row>
    <row r="595" spans="1:10" x14ac:dyDescent="0.35">
      <c r="A595" t="s">
        <v>38</v>
      </c>
      <c r="B595" t="s">
        <v>16</v>
      </c>
      <c r="C595">
        <v>50000</v>
      </c>
      <c r="D595" t="s">
        <v>11</v>
      </c>
      <c r="E595" t="s">
        <v>12</v>
      </c>
      <c r="F595" t="s">
        <v>43</v>
      </c>
      <c r="G595">
        <v>43881</v>
      </c>
      <c r="H595" t="s">
        <v>21</v>
      </c>
      <c r="I595" t="s">
        <v>32</v>
      </c>
      <c r="J595" t="s">
        <v>33</v>
      </c>
    </row>
    <row r="596" spans="1:10" x14ac:dyDescent="0.35">
      <c r="A596" t="s">
        <v>17</v>
      </c>
      <c r="B596" t="s">
        <v>16</v>
      </c>
      <c r="C596">
        <v>55000</v>
      </c>
      <c r="D596" t="s">
        <v>36</v>
      </c>
      <c r="E596" t="s">
        <v>19</v>
      </c>
      <c r="F596" t="s">
        <v>43</v>
      </c>
      <c r="G596">
        <v>43845</v>
      </c>
      <c r="H596" t="s">
        <v>14</v>
      </c>
      <c r="I596" t="s">
        <v>15</v>
      </c>
      <c r="J596" t="s">
        <v>33</v>
      </c>
    </row>
    <row r="597" spans="1:10" x14ac:dyDescent="0.35">
      <c r="A597" t="s">
        <v>49</v>
      </c>
      <c r="B597" t="s">
        <v>42</v>
      </c>
      <c r="C597" t="s">
        <v>34</v>
      </c>
      <c r="D597" t="s">
        <v>36</v>
      </c>
      <c r="E597" t="s">
        <v>19</v>
      </c>
      <c r="F597" t="s">
        <v>13</v>
      </c>
      <c r="G597" t="s">
        <v>40</v>
      </c>
      <c r="H597" t="s">
        <v>21</v>
      </c>
      <c r="I597" t="s">
        <v>22</v>
      </c>
      <c r="J597" t="s">
        <v>45</v>
      </c>
    </row>
    <row r="598" spans="1:10" x14ac:dyDescent="0.35">
      <c r="A598" t="s">
        <v>47</v>
      </c>
      <c r="B598" t="s">
        <v>16</v>
      </c>
      <c r="C598">
        <v>65000</v>
      </c>
      <c r="D598" t="s">
        <v>18</v>
      </c>
      <c r="E598" t="s">
        <v>30</v>
      </c>
      <c r="F598" t="s">
        <v>20</v>
      </c>
      <c r="G598">
        <v>43549</v>
      </c>
      <c r="H598" t="s">
        <v>31</v>
      </c>
      <c r="I598" t="s">
        <v>16</v>
      </c>
      <c r="J598" t="s">
        <v>28</v>
      </c>
    </row>
    <row r="599" spans="1:10" x14ac:dyDescent="0.35">
      <c r="A599" t="s">
        <v>49</v>
      </c>
      <c r="B599">
        <v>35</v>
      </c>
      <c r="C599" t="s">
        <v>34</v>
      </c>
      <c r="D599" t="s">
        <v>36</v>
      </c>
      <c r="E599" t="s">
        <v>30</v>
      </c>
      <c r="F599" t="s">
        <v>44</v>
      </c>
      <c r="G599" t="s">
        <v>40</v>
      </c>
      <c r="H599" t="s">
        <v>27</v>
      </c>
      <c r="J599" t="s">
        <v>16</v>
      </c>
    </row>
    <row r="600" spans="1:10" x14ac:dyDescent="0.35">
      <c r="A600" t="s">
        <v>48</v>
      </c>
      <c r="B600">
        <v>25</v>
      </c>
      <c r="C600">
        <v>65000</v>
      </c>
      <c r="D600" t="s">
        <v>36</v>
      </c>
      <c r="E600" t="s">
        <v>12</v>
      </c>
      <c r="F600" t="s">
        <v>43</v>
      </c>
      <c r="G600">
        <v>43845</v>
      </c>
      <c r="H600" t="s">
        <v>27</v>
      </c>
      <c r="I600" t="s">
        <v>15</v>
      </c>
      <c r="J600" t="s">
        <v>28</v>
      </c>
    </row>
    <row r="601" spans="1:10" x14ac:dyDescent="0.35">
      <c r="A601" t="s">
        <v>48</v>
      </c>
      <c r="B601" t="s">
        <v>16</v>
      </c>
      <c r="C601">
        <v>70000</v>
      </c>
      <c r="D601" t="s">
        <v>11</v>
      </c>
      <c r="E601" t="s">
        <v>26</v>
      </c>
      <c r="F601" t="s">
        <v>44</v>
      </c>
      <c r="G601" t="s">
        <v>40</v>
      </c>
      <c r="H601" t="s">
        <v>14</v>
      </c>
      <c r="I601" t="s">
        <v>16</v>
      </c>
      <c r="J601" t="s">
        <v>33</v>
      </c>
    </row>
    <row r="602" spans="1:10" x14ac:dyDescent="0.35">
      <c r="A602" t="s">
        <v>29</v>
      </c>
      <c r="B602">
        <v>50</v>
      </c>
      <c r="C602">
        <v>65000</v>
      </c>
      <c r="D602" t="s">
        <v>11</v>
      </c>
      <c r="E602" t="s">
        <v>30</v>
      </c>
      <c r="F602" t="s">
        <v>13</v>
      </c>
      <c r="G602">
        <v>43845</v>
      </c>
      <c r="H602" t="s">
        <v>21</v>
      </c>
      <c r="J602" t="s">
        <v>28</v>
      </c>
    </row>
    <row r="603" spans="1:10" x14ac:dyDescent="0.35">
      <c r="A603" t="s">
        <v>46</v>
      </c>
      <c r="B603">
        <v>25</v>
      </c>
      <c r="C603" t="s">
        <v>25</v>
      </c>
      <c r="D603" t="s">
        <v>36</v>
      </c>
      <c r="E603" t="s">
        <v>30</v>
      </c>
      <c r="F603" t="s">
        <v>20</v>
      </c>
      <c r="G603">
        <v>43845</v>
      </c>
      <c r="H603" t="s">
        <v>41</v>
      </c>
      <c r="I603" t="s">
        <v>32</v>
      </c>
      <c r="J603" t="s">
        <v>16</v>
      </c>
    </row>
    <row r="604" spans="1:10" x14ac:dyDescent="0.35">
      <c r="A604" t="s">
        <v>46</v>
      </c>
      <c r="B604" t="s">
        <v>42</v>
      </c>
      <c r="C604" t="s">
        <v>34</v>
      </c>
      <c r="D604" t="s">
        <v>18</v>
      </c>
      <c r="E604" t="s">
        <v>19</v>
      </c>
      <c r="F604" t="s">
        <v>13</v>
      </c>
      <c r="G604" t="s">
        <v>40</v>
      </c>
      <c r="H604" t="s">
        <v>21</v>
      </c>
      <c r="I604" t="s">
        <v>32</v>
      </c>
      <c r="J604" t="s">
        <v>28</v>
      </c>
    </row>
    <row r="605" spans="1:10" x14ac:dyDescent="0.35">
      <c r="A605" t="s">
        <v>38</v>
      </c>
      <c r="B605">
        <v>50</v>
      </c>
      <c r="C605">
        <v>50000</v>
      </c>
      <c r="D605" t="s">
        <v>11</v>
      </c>
      <c r="E605" t="s">
        <v>26</v>
      </c>
      <c r="F605" t="s">
        <v>44</v>
      </c>
      <c r="G605">
        <v>43845</v>
      </c>
      <c r="H605" t="s">
        <v>31</v>
      </c>
      <c r="I605" t="s">
        <v>22</v>
      </c>
      <c r="J605" t="s">
        <v>28</v>
      </c>
    </row>
    <row r="606" spans="1:10" x14ac:dyDescent="0.35">
      <c r="A606" t="s">
        <v>10</v>
      </c>
      <c r="B606">
        <v>25</v>
      </c>
      <c r="C606">
        <v>70000</v>
      </c>
      <c r="D606" t="s">
        <v>36</v>
      </c>
      <c r="E606" t="s">
        <v>12</v>
      </c>
      <c r="F606" t="s">
        <v>20</v>
      </c>
      <c r="G606">
        <v>43881</v>
      </c>
      <c r="H606" t="s">
        <v>41</v>
      </c>
      <c r="J606" t="s">
        <v>28</v>
      </c>
    </row>
    <row r="607" spans="1:10" x14ac:dyDescent="0.35">
      <c r="A607" t="s">
        <v>49</v>
      </c>
      <c r="B607">
        <v>50</v>
      </c>
      <c r="C607" t="s">
        <v>25</v>
      </c>
      <c r="D607" t="s">
        <v>36</v>
      </c>
      <c r="E607" t="s">
        <v>30</v>
      </c>
      <c r="F607" t="s">
        <v>20</v>
      </c>
      <c r="G607">
        <v>43845</v>
      </c>
      <c r="H607" t="s">
        <v>27</v>
      </c>
      <c r="I607" t="s">
        <v>32</v>
      </c>
      <c r="J607" t="s">
        <v>28</v>
      </c>
    </row>
    <row r="608" spans="1:10" x14ac:dyDescent="0.35">
      <c r="A608" t="s">
        <v>35</v>
      </c>
      <c r="B608" t="s">
        <v>42</v>
      </c>
      <c r="C608">
        <v>55000</v>
      </c>
      <c r="D608" t="s">
        <v>18</v>
      </c>
      <c r="E608" t="s">
        <v>26</v>
      </c>
      <c r="F608" t="s">
        <v>13</v>
      </c>
      <c r="G608">
        <v>43195</v>
      </c>
      <c r="H608" t="s">
        <v>14</v>
      </c>
      <c r="I608" t="s">
        <v>32</v>
      </c>
      <c r="J608" t="s">
        <v>23</v>
      </c>
    </row>
    <row r="609" spans="1:10" x14ac:dyDescent="0.35">
      <c r="A609" t="s">
        <v>24</v>
      </c>
      <c r="B609">
        <v>35</v>
      </c>
      <c r="C609" t="s">
        <v>34</v>
      </c>
      <c r="D609" t="s">
        <v>18</v>
      </c>
      <c r="E609" t="s">
        <v>26</v>
      </c>
      <c r="F609" t="s">
        <v>43</v>
      </c>
      <c r="G609">
        <v>43845</v>
      </c>
      <c r="H609" t="s">
        <v>14</v>
      </c>
      <c r="I609" t="s">
        <v>22</v>
      </c>
      <c r="J609" t="s">
        <v>33</v>
      </c>
    </row>
    <row r="610" spans="1:10" x14ac:dyDescent="0.35">
      <c r="A610" t="s">
        <v>46</v>
      </c>
      <c r="B610" t="s">
        <v>42</v>
      </c>
      <c r="C610">
        <v>50000</v>
      </c>
      <c r="D610" t="s">
        <v>11</v>
      </c>
      <c r="E610" t="s">
        <v>12</v>
      </c>
      <c r="F610" t="s">
        <v>44</v>
      </c>
      <c r="G610">
        <v>43195</v>
      </c>
      <c r="H610" t="s">
        <v>27</v>
      </c>
      <c r="I610" t="s">
        <v>16</v>
      </c>
      <c r="J610" t="s">
        <v>16</v>
      </c>
    </row>
    <row r="611" spans="1:10" x14ac:dyDescent="0.35">
      <c r="A611" t="s">
        <v>24</v>
      </c>
      <c r="B611" t="s">
        <v>42</v>
      </c>
      <c r="C611">
        <v>65000</v>
      </c>
      <c r="D611" t="s">
        <v>18</v>
      </c>
      <c r="E611" t="s">
        <v>26</v>
      </c>
      <c r="F611" t="s">
        <v>39</v>
      </c>
      <c r="G611">
        <v>43845</v>
      </c>
      <c r="H611" t="s">
        <v>31</v>
      </c>
      <c r="I611" t="s">
        <v>32</v>
      </c>
      <c r="J611" t="s">
        <v>33</v>
      </c>
    </row>
    <row r="612" spans="1:10" x14ac:dyDescent="0.35">
      <c r="A612" t="s">
        <v>29</v>
      </c>
      <c r="B612">
        <v>50</v>
      </c>
      <c r="C612">
        <v>50000</v>
      </c>
      <c r="D612" t="s">
        <v>36</v>
      </c>
      <c r="E612" t="s">
        <v>26</v>
      </c>
      <c r="F612" t="s">
        <v>39</v>
      </c>
      <c r="G612">
        <v>43845</v>
      </c>
      <c r="H612" t="s">
        <v>27</v>
      </c>
      <c r="I612" t="s">
        <v>15</v>
      </c>
      <c r="J612" t="s">
        <v>23</v>
      </c>
    </row>
    <row r="613" spans="1:10" x14ac:dyDescent="0.35">
      <c r="A613" t="s">
        <v>24</v>
      </c>
      <c r="B613">
        <v>40</v>
      </c>
      <c r="C613">
        <v>55000</v>
      </c>
      <c r="D613" t="s">
        <v>36</v>
      </c>
      <c r="E613" t="s">
        <v>26</v>
      </c>
      <c r="F613" t="s">
        <v>13</v>
      </c>
      <c r="G613" t="s">
        <v>40</v>
      </c>
      <c r="H613" t="s">
        <v>31</v>
      </c>
      <c r="I613" t="s">
        <v>15</v>
      </c>
      <c r="J613" t="s">
        <v>23</v>
      </c>
    </row>
    <row r="614" spans="1:10" x14ac:dyDescent="0.35">
      <c r="A614" t="s">
        <v>35</v>
      </c>
      <c r="B614" t="s">
        <v>16</v>
      </c>
      <c r="C614">
        <v>70000</v>
      </c>
      <c r="D614" t="s">
        <v>18</v>
      </c>
      <c r="E614" t="s">
        <v>30</v>
      </c>
      <c r="F614" t="s">
        <v>44</v>
      </c>
      <c r="G614">
        <v>43881</v>
      </c>
      <c r="H614" t="s">
        <v>41</v>
      </c>
      <c r="I614" t="s">
        <v>16</v>
      </c>
      <c r="J614" t="s">
        <v>23</v>
      </c>
    </row>
    <row r="615" spans="1:10" x14ac:dyDescent="0.35">
      <c r="A615" t="s">
        <v>17</v>
      </c>
      <c r="B615" t="s">
        <v>16</v>
      </c>
      <c r="C615">
        <v>70000</v>
      </c>
      <c r="D615" t="s">
        <v>18</v>
      </c>
      <c r="E615" t="s">
        <v>12</v>
      </c>
      <c r="F615" t="s">
        <v>44</v>
      </c>
      <c r="G615">
        <v>43881</v>
      </c>
      <c r="H615" t="s">
        <v>27</v>
      </c>
      <c r="J615" t="s">
        <v>23</v>
      </c>
    </row>
    <row r="616" spans="1:10" x14ac:dyDescent="0.35">
      <c r="A616" t="s">
        <v>35</v>
      </c>
      <c r="B616">
        <v>35</v>
      </c>
      <c r="C616" t="s">
        <v>34</v>
      </c>
      <c r="D616" t="s">
        <v>18</v>
      </c>
      <c r="E616" t="s">
        <v>26</v>
      </c>
      <c r="F616" t="s">
        <v>13</v>
      </c>
      <c r="G616">
        <v>43549</v>
      </c>
      <c r="H616" t="s">
        <v>31</v>
      </c>
      <c r="I616" t="s">
        <v>22</v>
      </c>
      <c r="J616" t="s">
        <v>28</v>
      </c>
    </row>
    <row r="617" spans="1:10" x14ac:dyDescent="0.35">
      <c r="A617" t="s">
        <v>24</v>
      </c>
      <c r="B617">
        <v>35</v>
      </c>
      <c r="C617">
        <v>70000</v>
      </c>
      <c r="D617" t="s">
        <v>18</v>
      </c>
      <c r="E617" t="s">
        <v>26</v>
      </c>
      <c r="F617" t="s">
        <v>44</v>
      </c>
      <c r="G617" t="s">
        <v>40</v>
      </c>
      <c r="H617" t="s">
        <v>41</v>
      </c>
      <c r="I617" t="s">
        <v>15</v>
      </c>
      <c r="J617" t="s">
        <v>33</v>
      </c>
    </row>
    <row r="618" spans="1:10" x14ac:dyDescent="0.35">
      <c r="A618" t="s">
        <v>35</v>
      </c>
      <c r="B618" t="s">
        <v>16</v>
      </c>
      <c r="C618" t="s">
        <v>34</v>
      </c>
      <c r="D618" t="s">
        <v>11</v>
      </c>
      <c r="E618" t="s">
        <v>30</v>
      </c>
      <c r="F618" t="s">
        <v>43</v>
      </c>
      <c r="G618" t="s">
        <v>40</v>
      </c>
      <c r="H618" t="s">
        <v>27</v>
      </c>
      <c r="I618" t="s">
        <v>15</v>
      </c>
      <c r="J618" t="s">
        <v>45</v>
      </c>
    </row>
    <row r="619" spans="1:10" x14ac:dyDescent="0.35">
      <c r="A619" t="s">
        <v>47</v>
      </c>
      <c r="B619">
        <v>40</v>
      </c>
      <c r="C619" t="s">
        <v>34</v>
      </c>
      <c r="D619" t="s">
        <v>18</v>
      </c>
      <c r="E619" t="s">
        <v>12</v>
      </c>
      <c r="F619" t="s">
        <v>13</v>
      </c>
      <c r="G619">
        <v>43881</v>
      </c>
      <c r="H619" t="s">
        <v>14</v>
      </c>
      <c r="I619" t="s">
        <v>16</v>
      </c>
      <c r="J619" t="s">
        <v>16</v>
      </c>
    </row>
    <row r="620" spans="1:10" x14ac:dyDescent="0.35">
      <c r="A620" t="s">
        <v>29</v>
      </c>
      <c r="B620" t="s">
        <v>16</v>
      </c>
      <c r="C620" t="s">
        <v>34</v>
      </c>
      <c r="D620" t="s">
        <v>11</v>
      </c>
      <c r="E620" t="s">
        <v>19</v>
      </c>
      <c r="F620" t="s">
        <v>43</v>
      </c>
      <c r="G620" t="s">
        <v>40</v>
      </c>
      <c r="H620" t="s">
        <v>27</v>
      </c>
      <c r="J620" t="s">
        <v>23</v>
      </c>
    </row>
    <row r="621" spans="1:10" x14ac:dyDescent="0.35">
      <c r="A621" t="s">
        <v>49</v>
      </c>
      <c r="B621">
        <v>40</v>
      </c>
      <c r="C621">
        <v>65000</v>
      </c>
      <c r="D621" t="s">
        <v>36</v>
      </c>
      <c r="E621" t="s">
        <v>30</v>
      </c>
      <c r="F621" t="s">
        <v>44</v>
      </c>
      <c r="G621">
        <v>43881</v>
      </c>
      <c r="H621" t="s">
        <v>21</v>
      </c>
      <c r="J621" t="s">
        <v>33</v>
      </c>
    </row>
    <row r="622" spans="1:10" x14ac:dyDescent="0.35">
      <c r="A622" t="s">
        <v>17</v>
      </c>
      <c r="B622">
        <v>35</v>
      </c>
      <c r="C622" t="s">
        <v>25</v>
      </c>
      <c r="D622" t="s">
        <v>18</v>
      </c>
      <c r="E622" t="s">
        <v>12</v>
      </c>
      <c r="F622" t="s">
        <v>13</v>
      </c>
      <c r="G622" t="s">
        <v>40</v>
      </c>
      <c r="H622" t="s">
        <v>27</v>
      </c>
      <c r="I622" t="s">
        <v>16</v>
      </c>
      <c r="J622" t="s">
        <v>23</v>
      </c>
    </row>
    <row r="623" spans="1:10" x14ac:dyDescent="0.35">
      <c r="A623" t="s">
        <v>46</v>
      </c>
      <c r="B623">
        <v>25</v>
      </c>
      <c r="C623" t="s">
        <v>34</v>
      </c>
      <c r="D623" t="s">
        <v>11</v>
      </c>
      <c r="E623" t="s">
        <v>26</v>
      </c>
      <c r="F623" t="s">
        <v>44</v>
      </c>
      <c r="G623">
        <v>43845</v>
      </c>
      <c r="H623" t="s">
        <v>21</v>
      </c>
      <c r="I623" t="s">
        <v>15</v>
      </c>
      <c r="J623" t="s">
        <v>23</v>
      </c>
    </row>
    <row r="624" spans="1:10" x14ac:dyDescent="0.35">
      <c r="A624" t="s">
        <v>48</v>
      </c>
      <c r="B624">
        <v>50</v>
      </c>
      <c r="C624" t="s">
        <v>34</v>
      </c>
      <c r="D624" t="s">
        <v>18</v>
      </c>
      <c r="E624" t="s">
        <v>12</v>
      </c>
      <c r="F624" t="s">
        <v>13</v>
      </c>
      <c r="G624">
        <v>43881</v>
      </c>
      <c r="H624" t="s">
        <v>41</v>
      </c>
      <c r="I624" t="s">
        <v>22</v>
      </c>
      <c r="J624" t="s">
        <v>23</v>
      </c>
    </row>
    <row r="625" spans="1:10" x14ac:dyDescent="0.35">
      <c r="A625" t="s">
        <v>49</v>
      </c>
      <c r="B625">
        <v>35</v>
      </c>
      <c r="C625" t="s">
        <v>25</v>
      </c>
      <c r="D625" t="s">
        <v>36</v>
      </c>
      <c r="E625" t="s">
        <v>12</v>
      </c>
      <c r="F625" t="s">
        <v>44</v>
      </c>
      <c r="G625">
        <v>43881</v>
      </c>
      <c r="H625" t="s">
        <v>27</v>
      </c>
      <c r="I625" t="s">
        <v>15</v>
      </c>
      <c r="J625" t="s">
        <v>23</v>
      </c>
    </row>
    <row r="626" spans="1:10" x14ac:dyDescent="0.35">
      <c r="A626" t="s">
        <v>48</v>
      </c>
      <c r="B626">
        <v>35</v>
      </c>
      <c r="C626">
        <v>50000</v>
      </c>
      <c r="D626" t="s">
        <v>36</v>
      </c>
      <c r="E626" t="s">
        <v>12</v>
      </c>
      <c r="F626" t="s">
        <v>43</v>
      </c>
      <c r="G626">
        <v>43195</v>
      </c>
      <c r="H626" t="s">
        <v>41</v>
      </c>
      <c r="J626" t="s">
        <v>23</v>
      </c>
    </row>
    <row r="627" spans="1:10" x14ac:dyDescent="0.35">
      <c r="A627" t="s">
        <v>29</v>
      </c>
      <c r="B627" t="s">
        <v>42</v>
      </c>
      <c r="C627" t="s">
        <v>34</v>
      </c>
      <c r="D627" t="s">
        <v>36</v>
      </c>
      <c r="E627" t="s">
        <v>19</v>
      </c>
      <c r="F627" t="s">
        <v>43</v>
      </c>
      <c r="G627" t="s">
        <v>40</v>
      </c>
      <c r="H627" t="s">
        <v>41</v>
      </c>
      <c r="I627" t="s">
        <v>15</v>
      </c>
      <c r="J627" t="s">
        <v>16</v>
      </c>
    </row>
    <row r="628" spans="1:10" x14ac:dyDescent="0.35">
      <c r="A628" t="s">
        <v>17</v>
      </c>
      <c r="B628" t="s">
        <v>42</v>
      </c>
      <c r="C628">
        <v>65000</v>
      </c>
      <c r="D628" t="s">
        <v>18</v>
      </c>
      <c r="E628" t="s">
        <v>12</v>
      </c>
      <c r="F628" t="s">
        <v>44</v>
      </c>
      <c r="G628" t="s">
        <v>40</v>
      </c>
      <c r="H628" t="s">
        <v>31</v>
      </c>
      <c r="I628" t="s">
        <v>22</v>
      </c>
      <c r="J628" t="s">
        <v>33</v>
      </c>
    </row>
    <row r="629" spans="1:10" x14ac:dyDescent="0.35">
      <c r="A629" t="s">
        <v>38</v>
      </c>
      <c r="B629" t="s">
        <v>42</v>
      </c>
      <c r="C629">
        <v>70000</v>
      </c>
      <c r="D629" t="s">
        <v>18</v>
      </c>
      <c r="E629" t="s">
        <v>19</v>
      </c>
      <c r="F629" t="s">
        <v>13</v>
      </c>
      <c r="G629">
        <v>43881</v>
      </c>
      <c r="H629" t="s">
        <v>41</v>
      </c>
      <c r="I629" t="s">
        <v>32</v>
      </c>
      <c r="J629" t="s">
        <v>23</v>
      </c>
    </row>
    <row r="630" spans="1:10" x14ac:dyDescent="0.35">
      <c r="A630" t="s">
        <v>46</v>
      </c>
      <c r="B630">
        <v>50</v>
      </c>
      <c r="C630">
        <v>70000</v>
      </c>
      <c r="D630" t="s">
        <v>11</v>
      </c>
      <c r="E630" t="s">
        <v>26</v>
      </c>
      <c r="F630" t="s">
        <v>39</v>
      </c>
      <c r="G630">
        <v>43845</v>
      </c>
      <c r="H630" t="s">
        <v>41</v>
      </c>
      <c r="I630" t="s">
        <v>15</v>
      </c>
      <c r="J630" t="s">
        <v>23</v>
      </c>
    </row>
    <row r="631" spans="1:10" x14ac:dyDescent="0.35">
      <c r="A631" t="s">
        <v>47</v>
      </c>
      <c r="B631" t="s">
        <v>42</v>
      </c>
      <c r="C631">
        <v>55000</v>
      </c>
      <c r="D631" t="s">
        <v>36</v>
      </c>
      <c r="E631" t="s">
        <v>19</v>
      </c>
      <c r="F631" t="s">
        <v>43</v>
      </c>
      <c r="G631">
        <v>43845</v>
      </c>
      <c r="H631" t="s">
        <v>27</v>
      </c>
      <c r="I631" t="s">
        <v>16</v>
      </c>
      <c r="J631" t="s">
        <v>23</v>
      </c>
    </row>
    <row r="632" spans="1:10" x14ac:dyDescent="0.35">
      <c r="A632" t="s">
        <v>38</v>
      </c>
      <c r="B632">
        <v>40</v>
      </c>
      <c r="C632">
        <v>55000</v>
      </c>
      <c r="D632" t="s">
        <v>18</v>
      </c>
      <c r="E632" t="s">
        <v>26</v>
      </c>
      <c r="F632" t="s">
        <v>43</v>
      </c>
      <c r="G632">
        <v>43845</v>
      </c>
      <c r="H632" t="s">
        <v>27</v>
      </c>
      <c r="I632" t="s">
        <v>32</v>
      </c>
      <c r="J632" t="s">
        <v>23</v>
      </c>
    </row>
    <row r="633" spans="1:10" x14ac:dyDescent="0.35">
      <c r="A633" t="s">
        <v>29</v>
      </c>
      <c r="B633" t="s">
        <v>16</v>
      </c>
      <c r="C633">
        <v>70000</v>
      </c>
      <c r="D633" t="s">
        <v>36</v>
      </c>
      <c r="E633" t="s">
        <v>26</v>
      </c>
      <c r="F633" t="s">
        <v>39</v>
      </c>
      <c r="G633" t="s">
        <v>40</v>
      </c>
      <c r="H633" t="s">
        <v>14</v>
      </c>
      <c r="I633" t="s">
        <v>16</v>
      </c>
      <c r="J633" t="s">
        <v>28</v>
      </c>
    </row>
    <row r="634" spans="1:10" x14ac:dyDescent="0.35">
      <c r="A634" t="s">
        <v>49</v>
      </c>
      <c r="B634">
        <v>25</v>
      </c>
      <c r="C634">
        <v>70000</v>
      </c>
      <c r="D634" t="s">
        <v>36</v>
      </c>
      <c r="E634" t="s">
        <v>19</v>
      </c>
      <c r="F634" t="s">
        <v>44</v>
      </c>
      <c r="G634">
        <v>43195</v>
      </c>
      <c r="H634" t="s">
        <v>31</v>
      </c>
      <c r="I634" t="s">
        <v>16</v>
      </c>
      <c r="J634" t="s">
        <v>28</v>
      </c>
    </row>
    <row r="635" spans="1:10" x14ac:dyDescent="0.35">
      <c r="A635" t="s">
        <v>47</v>
      </c>
      <c r="B635">
        <v>35</v>
      </c>
      <c r="C635">
        <v>65000</v>
      </c>
      <c r="D635" t="s">
        <v>11</v>
      </c>
      <c r="E635" t="s">
        <v>30</v>
      </c>
      <c r="F635" t="s">
        <v>13</v>
      </c>
      <c r="G635">
        <v>43881</v>
      </c>
      <c r="H635" t="s">
        <v>41</v>
      </c>
      <c r="I635" t="s">
        <v>16</v>
      </c>
      <c r="J635" t="s">
        <v>45</v>
      </c>
    </row>
    <row r="636" spans="1:10" x14ac:dyDescent="0.35">
      <c r="A636" t="s">
        <v>35</v>
      </c>
      <c r="B636">
        <v>40</v>
      </c>
      <c r="C636" t="s">
        <v>25</v>
      </c>
      <c r="D636" t="s">
        <v>11</v>
      </c>
      <c r="E636" t="s">
        <v>37</v>
      </c>
      <c r="F636" t="s">
        <v>44</v>
      </c>
      <c r="G636">
        <v>43549</v>
      </c>
      <c r="H636" t="s">
        <v>31</v>
      </c>
      <c r="I636" t="s">
        <v>15</v>
      </c>
      <c r="J636" t="s">
        <v>23</v>
      </c>
    </row>
    <row r="637" spans="1:10" x14ac:dyDescent="0.35">
      <c r="A637" t="s">
        <v>24</v>
      </c>
      <c r="B637">
        <v>25</v>
      </c>
      <c r="C637">
        <v>55000</v>
      </c>
      <c r="D637" t="s">
        <v>11</v>
      </c>
      <c r="E637" t="s">
        <v>12</v>
      </c>
      <c r="F637" t="s">
        <v>20</v>
      </c>
      <c r="G637">
        <v>43195</v>
      </c>
      <c r="H637" t="s">
        <v>21</v>
      </c>
      <c r="J637" t="s">
        <v>45</v>
      </c>
    </row>
    <row r="638" spans="1:10" x14ac:dyDescent="0.35">
      <c r="A638" t="s">
        <v>47</v>
      </c>
      <c r="B638">
        <v>40</v>
      </c>
      <c r="C638" t="s">
        <v>25</v>
      </c>
      <c r="D638" t="s">
        <v>11</v>
      </c>
      <c r="E638" t="s">
        <v>37</v>
      </c>
      <c r="F638" t="s">
        <v>43</v>
      </c>
      <c r="G638">
        <v>43549</v>
      </c>
      <c r="H638" t="s">
        <v>41</v>
      </c>
      <c r="I638" t="s">
        <v>32</v>
      </c>
      <c r="J638" t="s">
        <v>16</v>
      </c>
    </row>
    <row r="639" spans="1:10" x14ac:dyDescent="0.35">
      <c r="A639" t="s">
        <v>29</v>
      </c>
      <c r="B639">
        <v>40</v>
      </c>
      <c r="C639">
        <v>65000</v>
      </c>
      <c r="D639" t="s">
        <v>36</v>
      </c>
      <c r="E639" t="s">
        <v>12</v>
      </c>
      <c r="F639" t="s">
        <v>20</v>
      </c>
      <c r="G639">
        <v>43195</v>
      </c>
      <c r="H639" t="s">
        <v>31</v>
      </c>
      <c r="I639" t="s">
        <v>22</v>
      </c>
      <c r="J639" t="s">
        <v>45</v>
      </c>
    </row>
    <row r="640" spans="1:10" x14ac:dyDescent="0.35">
      <c r="A640" t="s">
        <v>10</v>
      </c>
      <c r="B640">
        <v>35</v>
      </c>
      <c r="C640">
        <v>70000</v>
      </c>
      <c r="D640" t="s">
        <v>11</v>
      </c>
      <c r="E640" t="s">
        <v>12</v>
      </c>
      <c r="F640" t="s">
        <v>43</v>
      </c>
      <c r="G640">
        <v>43845</v>
      </c>
      <c r="H640" t="s">
        <v>14</v>
      </c>
      <c r="J640" t="s">
        <v>33</v>
      </c>
    </row>
    <row r="641" spans="1:10" x14ac:dyDescent="0.35">
      <c r="A641" t="s">
        <v>24</v>
      </c>
      <c r="B641" t="s">
        <v>16</v>
      </c>
      <c r="C641" t="s">
        <v>34</v>
      </c>
      <c r="D641" t="s">
        <v>11</v>
      </c>
      <c r="E641" t="s">
        <v>26</v>
      </c>
      <c r="F641" t="s">
        <v>43</v>
      </c>
      <c r="G641" t="s">
        <v>40</v>
      </c>
      <c r="H641" t="s">
        <v>14</v>
      </c>
      <c r="I641" t="s">
        <v>15</v>
      </c>
      <c r="J641" t="s">
        <v>28</v>
      </c>
    </row>
    <row r="642" spans="1:10" x14ac:dyDescent="0.35">
      <c r="A642" t="s">
        <v>48</v>
      </c>
      <c r="B642" t="s">
        <v>42</v>
      </c>
      <c r="C642" t="s">
        <v>25</v>
      </c>
      <c r="D642" t="s">
        <v>11</v>
      </c>
      <c r="E642" t="s">
        <v>12</v>
      </c>
      <c r="F642" t="s">
        <v>20</v>
      </c>
      <c r="G642">
        <v>43549</v>
      </c>
      <c r="H642" t="s">
        <v>41</v>
      </c>
      <c r="I642" t="s">
        <v>16</v>
      </c>
      <c r="J642" t="s">
        <v>28</v>
      </c>
    </row>
    <row r="643" spans="1:10" x14ac:dyDescent="0.35">
      <c r="A643" t="s">
        <v>46</v>
      </c>
      <c r="B643">
        <v>50</v>
      </c>
      <c r="C643">
        <v>70000</v>
      </c>
      <c r="D643" t="s">
        <v>11</v>
      </c>
      <c r="E643" t="s">
        <v>12</v>
      </c>
      <c r="F643" t="s">
        <v>20</v>
      </c>
      <c r="G643">
        <v>43195</v>
      </c>
      <c r="H643" t="s">
        <v>21</v>
      </c>
      <c r="I643" t="s">
        <v>22</v>
      </c>
      <c r="J643" t="s">
        <v>23</v>
      </c>
    </row>
    <row r="644" spans="1:10" x14ac:dyDescent="0.35">
      <c r="A644" t="s">
        <v>48</v>
      </c>
      <c r="B644" t="s">
        <v>16</v>
      </c>
      <c r="C644">
        <v>70000</v>
      </c>
      <c r="D644" t="s">
        <v>36</v>
      </c>
      <c r="E644" t="s">
        <v>19</v>
      </c>
      <c r="F644" t="s">
        <v>44</v>
      </c>
      <c r="G644" t="s">
        <v>40</v>
      </c>
      <c r="H644" t="s">
        <v>14</v>
      </c>
      <c r="I644" t="s">
        <v>32</v>
      </c>
      <c r="J644" t="s">
        <v>23</v>
      </c>
    </row>
    <row r="645" spans="1:10" x14ac:dyDescent="0.35">
      <c r="A645" t="s">
        <v>47</v>
      </c>
      <c r="B645">
        <v>50</v>
      </c>
      <c r="C645">
        <v>50000</v>
      </c>
      <c r="D645" t="s">
        <v>11</v>
      </c>
      <c r="E645" t="s">
        <v>37</v>
      </c>
      <c r="F645" t="s">
        <v>20</v>
      </c>
      <c r="G645">
        <v>43549</v>
      </c>
      <c r="H645" t="s">
        <v>14</v>
      </c>
      <c r="J645" t="s">
        <v>16</v>
      </c>
    </row>
    <row r="646" spans="1:10" x14ac:dyDescent="0.35">
      <c r="A646" t="s">
        <v>48</v>
      </c>
      <c r="B646">
        <v>35</v>
      </c>
      <c r="C646" t="s">
        <v>25</v>
      </c>
      <c r="D646" t="s">
        <v>36</v>
      </c>
      <c r="E646" t="s">
        <v>19</v>
      </c>
      <c r="F646" t="s">
        <v>44</v>
      </c>
      <c r="G646">
        <v>43881</v>
      </c>
      <c r="H646" t="s">
        <v>21</v>
      </c>
      <c r="J646" t="s">
        <v>16</v>
      </c>
    </row>
    <row r="647" spans="1:10" x14ac:dyDescent="0.35">
      <c r="A647" t="s">
        <v>29</v>
      </c>
      <c r="B647">
        <v>35</v>
      </c>
      <c r="C647" t="s">
        <v>34</v>
      </c>
      <c r="D647" t="s">
        <v>18</v>
      </c>
      <c r="E647" t="s">
        <v>12</v>
      </c>
      <c r="F647" t="s">
        <v>44</v>
      </c>
      <c r="G647">
        <v>43195</v>
      </c>
      <c r="H647" t="s">
        <v>31</v>
      </c>
      <c r="I647" t="s">
        <v>22</v>
      </c>
      <c r="J647" t="s">
        <v>33</v>
      </c>
    </row>
    <row r="648" spans="1:10" x14ac:dyDescent="0.35">
      <c r="A648" t="s">
        <v>35</v>
      </c>
      <c r="B648">
        <v>35</v>
      </c>
      <c r="C648" t="s">
        <v>25</v>
      </c>
      <c r="D648" t="s">
        <v>36</v>
      </c>
      <c r="E648" t="s">
        <v>26</v>
      </c>
      <c r="F648" t="s">
        <v>44</v>
      </c>
      <c r="G648">
        <v>43881</v>
      </c>
      <c r="H648" t="s">
        <v>14</v>
      </c>
      <c r="I648" t="s">
        <v>15</v>
      </c>
      <c r="J648" t="s">
        <v>23</v>
      </c>
    </row>
    <row r="649" spans="1:10" x14ac:dyDescent="0.35">
      <c r="A649" t="s">
        <v>49</v>
      </c>
      <c r="B649">
        <v>25</v>
      </c>
      <c r="C649">
        <v>70000</v>
      </c>
      <c r="D649" t="s">
        <v>36</v>
      </c>
      <c r="E649" t="s">
        <v>19</v>
      </c>
      <c r="F649" t="s">
        <v>43</v>
      </c>
      <c r="G649">
        <v>43845</v>
      </c>
      <c r="H649" t="s">
        <v>27</v>
      </c>
      <c r="I649" t="s">
        <v>32</v>
      </c>
      <c r="J649" t="s">
        <v>23</v>
      </c>
    </row>
    <row r="650" spans="1:10" x14ac:dyDescent="0.35">
      <c r="A650" t="s">
        <v>46</v>
      </c>
      <c r="B650">
        <v>50</v>
      </c>
      <c r="C650" t="s">
        <v>34</v>
      </c>
      <c r="D650" t="s">
        <v>11</v>
      </c>
      <c r="E650" t="s">
        <v>19</v>
      </c>
      <c r="F650" t="s">
        <v>43</v>
      </c>
      <c r="G650">
        <v>43881</v>
      </c>
      <c r="H650" t="s">
        <v>14</v>
      </c>
      <c r="I650" t="s">
        <v>22</v>
      </c>
      <c r="J650" t="s">
        <v>16</v>
      </c>
    </row>
    <row r="651" spans="1:10" x14ac:dyDescent="0.35">
      <c r="A651" t="s">
        <v>48</v>
      </c>
      <c r="B651" t="s">
        <v>16</v>
      </c>
      <c r="C651">
        <v>65000</v>
      </c>
      <c r="D651" t="s">
        <v>18</v>
      </c>
      <c r="E651" t="s">
        <v>30</v>
      </c>
      <c r="F651" t="s">
        <v>20</v>
      </c>
      <c r="G651">
        <v>43881</v>
      </c>
      <c r="H651" t="s">
        <v>31</v>
      </c>
      <c r="I651" t="s">
        <v>16</v>
      </c>
      <c r="J651" t="s">
        <v>16</v>
      </c>
    </row>
    <row r="652" spans="1:10" x14ac:dyDescent="0.35">
      <c r="A652" t="s">
        <v>48</v>
      </c>
      <c r="B652" t="s">
        <v>16</v>
      </c>
      <c r="C652">
        <v>50000</v>
      </c>
      <c r="D652" t="s">
        <v>18</v>
      </c>
      <c r="E652" t="s">
        <v>12</v>
      </c>
      <c r="F652" t="s">
        <v>43</v>
      </c>
      <c r="G652">
        <v>43195</v>
      </c>
      <c r="H652" t="s">
        <v>31</v>
      </c>
      <c r="I652" t="s">
        <v>32</v>
      </c>
      <c r="J652" t="s">
        <v>16</v>
      </c>
    </row>
    <row r="653" spans="1:10" x14ac:dyDescent="0.35">
      <c r="A653" t="s">
        <v>47</v>
      </c>
      <c r="B653">
        <v>40</v>
      </c>
      <c r="C653">
        <v>70000</v>
      </c>
      <c r="D653" t="s">
        <v>18</v>
      </c>
      <c r="E653" t="s">
        <v>26</v>
      </c>
      <c r="F653" t="s">
        <v>20</v>
      </c>
      <c r="G653">
        <v>43845</v>
      </c>
      <c r="H653" t="s">
        <v>41</v>
      </c>
      <c r="J653" t="s">
        <v>28</v>
      </c>
    </row>
    <row r="654" spans="1:10" x14ac:dyDescent="0.35">
      <c r="A654" t="s">
        <v>49</v>
      </c>
      <c r="B654">
        <v>40</v>
      </c>
      <c r="C654">
        <v>55000</v>
      </c>
      <c r="D654" t="s">
        <v>18</v>
      </c>
      <c r="E654" t="s">
        <v>19</v>
      </c>
      <c r="F654" t="s">
        <v>43</v>
      </c>
      <c r="G654">
        <v>43881</v>
      </c>
      <c r="H654" t="s">
        <v>27</v>
      </c>
      <c r="I654" t="s">
        <v>22</v>
      </c>
      <c r="J654" t="s">
        <v>45</v>
      </c>
    </row>
    <row r="655" spans="1:10" x14ac:dyDescent="0.35">
      <c r="A655" t="s">
        <v>38</v>
      </c>
      <c r="B655">
        <v>40</v>
      </c>
      <c r="C655">
        <v>55000</v>
      </c>
      <c r="D655" t="s">
        <v>36</v>
      </c>
      <c r="E655" t="s">
        <v>19</v>
      </c>
      <c r="F655" t="s">
        <v>13</v>
      </c>
      <c r="G655" t="s">
        <v>40</v>
      </c>
      <c r="H655" t="s">
        <v>31</v>
      </c>
      <c r="J655" t="s">
        <v>45</v>
      </c>
    </row>
    <row r="656" spans="1:10" x14ac:dyDescent="0.35">
      <c r="A656" t="s">
        <v>48</v>
      </c>
      <c r="B656">
        <v>35</v>
      </c>
      <c r="C656">
        <v>50000</v>
      </c>
      <c r="D656" t="s">
        <v>18</v>
      </c>
      <c r="E656" t="s">
        <v>26</v>
      </c>
      <c r="F656" t="s">
        <v>13</v>
      </c>
      <c r="G656">
        <v>43549</v>
      </c>
      <c r="H656" t="s">
        <v>21</v>
      </c>
      <c r="J656" t="s">
        <v>23</v>
      </c>
    </row>
    <row r="657" spans="1:10" x14ac:dyDescent="0.35">
      <c r="A657" t="s">
        <v>29</v>
      </c>
      <c r="B657" t="s">
        <v>16</v>
      </c>
      <c r="C657">
        <v>65000</v>
      </c>
      <c r="D657" t="s">
        <v>36</v>
      </c>
      <c r="E657" t="s">
        <v>12</v>
      </c>
      <c r="F657" t="s">
        <v>20</v>
      </c>
      <c r="G657">
        <v>43881</v>
      </c>
      <c r="H657" t="s">
        <v>27</v>
      </c>
      <c r="J657" t="s">
        <v>28</v>
      </c>
    </row>
    <row r="658" spans="1:10" x14ac:dyDescent="0.35">
      <c r="A658" t="s">
        <v>10</v>
      </c>
      <c r="B658">
        <v>50</v>
      </c>
      <c r="C658">
        <v>70000</v>
      </c>
      <c r="D658" t="s">
        <v>36</v>
      </c>
      <c r="E658" t="s">
        <v>30</v>
      </c>
      <c r="F658" t="s">
        <v>43</v>
      </c>
      <c r="G658">
        <v>43845</v>
      </c>
      <c r="H658" t="s">
        <v>27</v>
      </c>
      <c r="I658" t="s">
        <v>15</v>
      </c>
      <c r="J658" t="s">
        <v>16</v>
      </c>
    </row>
    <row r="659" spans="1:10" x14ac:dyDescent="0.35">
      <c r="A659" t="s">
        <v>46</v>
      </c>
      <c r="B659">
        <v>35</v>
      </c>
      <c r="C659" t="s">
        <v>25</v>
      </c>
      <c r="D659" t="s">
        <v>36</v>
      </c>
      <c r="E659" t="s">
        <v>19</v>
      </c>
      <c r="F659" t="s">
        <v>43</v>
      </c>
      <c r="G659">
        <v>43881</v>
      </c>
      <c r="H659" t="s">
        <v>21</v>
      </c>
      <c r="J659" t="s">
        <v>23</v>
      </c>
    </row>
    <row r="660" spans="1:10" x14ac:dyDescent="0.35">
      <c r="A660" t="s">
        <v>48</v>
      </c>
      <c r="B660">
        <v>25</v>
      </c>
      <c r="C660">
        <v>50000</v>
      </c>
      <c r="D660" t="s">
        <v>18</v>
      </c>
      <c r="E660" t="s">
        <v>30</v>
      </c>
      <c r="F660" t="s">
        <v>44</v>
      </c>
      <c r="G660">
        <v>43549</v>
      </c>
      <c r="H660" t="s">
        <v>14</v>
      </c>
      <c r="I660" t="s">
        <v>16</v>
      </c>
      <c r="J660" t="s">
        <v>28</v>
      </c>
    </row>
    <row r="661" spans="1:10" x14ac:dyDescent="0.35">
      <c r="A661" t="s">
        <v>29</v>
      </c>
      <c r="B661">
        <v>40</v>
      </c>
      <c r="C661">
        <v>65000</v>
      </c>
      <c r="D661" t="s">
        <v>11</v>
      </c>
      <c r="E661" t="s">
        <v>37</v>
      </c>
      <c r="F661" t="s">
        <v>39</v>
      </c>
      <c r="G661">
        <v>43845</v>
      </c>
      <c r="H661" t="s">
        <v>21</v>
      </c>
      <c r="I661" t="s">
        <v>16</v>
      </c>
      <c r="J661" t="s">
        <v>33</v>
      </c>
    </row>
    <row r="662" spans="1:10" x14ac:dyDescent="0.35">
      <c r="A662" t="s">
        <v>29</v>
      </c>
      <c r="B662">
        <v>35</v>
      </c>
      <c r="C662" t="s">
        <v>25</v>
      </c>
      <c r="D662" t="s">
        <v>11</v>
      </c>
      <c r="E662" t="s">
        <v>12</v>
      </c>
      <c r="F662" t="s">
        <v>20</v>
      </c>
      <c r="G662">
        <v>43195</v>
      </c>
      <c r="H662" t="s">
        <v>21</v>
      </c>
      <c r="I662" t="s">
        <v>32</v>
      </c>
      <c r="J662" t="s">
        <v>28</v>
      </c>
    </row>
    <row r="663" spans="1:10" x14ac:dyDescent="0.35">
      <c r="A663" t="s">
        <v>46</v>
      </c>
      <c r="B663">
        <v>35</v>
      </c>
      <c r="C663">
        <v>55000</v>
      </c>
      <c r="D663" t="s">
        <v>18</v>
      </c>
      <c r="E663" t="s">
        <v>37</v>
      </c>
      <c r="F663" t="s">
        <v>39</v>
      </c>
      <c r="G663">
        <v>43845</v>
      </c>
      <c r="H663" t="s">
        <v>14</v>
      </c>
      <c r="J663" t="s">
        <v>23</v>
      </c>
    </row>
    <row r="664" spans="1:10" x14ac:dyDescent="0.35">
      <c r="A664" t="s">
        <v>38</v>
      </c>
      <c r="B664">
        <v>25</v>
      </c>
      <c r="C664">
        <v>55000</v>
      </c>
      <c r="D664" t="s">
        <v>11</v>
      </c>
      <c r="E664" t="s">
        <v>37</v>
      </c>
      <c r="F664" t="s">
        <v>39</v>
      </c>
      <c r="G664">
        <v>43195</v>
      </c>
      <c r="H664" t="s">
        <v>14</v>
      </c>
      <c r="J664" t="s">
        <v>45</v>
      </c>
    </row>
    <row r="665" spans="1:10" x14ac:dyDescent="0.35">
      <c r="A665" t="s">
        <v>29</v>
      </c>
      <c r="B665" t="s">
        <v>42</v>
      </c>
      <c r="C665" t="s">
        <v>25</v>
      </c>
      <c r="D665" t="s">
        <v>11</v>
      </c>
      <c r="E665" t="s">
        <v>37</v>
      </c>
      <c r="F665" t="s">
        <v>20</v>
      </c>
      <c r="G665">
        <v>43845</v>
      </c>
      <c r="H665" t="s">
        <v>14</v>
      </c>
      <c r="I665" t="s">
        <v>22</v>
      </c>
      <c r="J665" t="s">
        <v>16</v>
      </c>
    </row>
    <row r="666" spans="1:10" x14ac:dyDescent="0.35">
      <c r="A666" t="s">
        <v>10</v>
      </c>
      <c r="B666" t="s">
        <v>16</v>
      </c>
      <c r="C666">
        <v>50000</v>
      </c>
      <c r="D666" t="s">
        <v>36</v>
      </c>
      <c r="E666" t="s">
        <v>12</v>
      </c>
      <c r="F666" t="s">
        <v>43</v>
      </c>
      <c r="G666">
        <v>43549</v>
      </c>
      <c r="H666" t="s">
        <v>14</v>
      </c>
      <c r="I666" t="s">
        <v>15</v>
      </c>
      <c r="J666" t="s">
        <v>33</v>
      </c>
    </row>
    <row r="667" spans="1:10" x14ac:dyDescent="0.35">
      <c r="A667" t="s">
        <v>29</v>
      </c>
      <c r="B667">
        <v>50</v>
      </c>
      <c r="C667">
        <v>55000</v>
      </c>
      <c r="D667" t="s">
        <v>36</v>
      </c>
      <c r="E667" t="s">
        <v>12</v>
      </c>
      <c r="F667" t="s">
        <v>20</v>
      </c>
      <c r="G667">
        <v>43549</v>
      </c>
      <c r="H667" t="s">
        <v>14</v>
      </c>
      <c r="I667" t="s">
        <v>32</v>
      </c>
      <c r="J667" t="s">
        <v>28</v>
      </c>
    </row>
    <row r="668" spans="1:10" x14ac:dyDescent="0.35">
      <c r="A668" t="s">
        <v>29</v>
      </c>
      <c r="B668" t="s">
        <v>42</v>
      </c>
      <c r="C668">
        <v>70000</v>
      </c>
      <c r="D668" t="s">
        <v>18</v>
      </c>
      <c r="E668" t="s">
        <v>26</v>
      </c>
      <c r="F668" t="s">
        <v>39</v>
      </c>
      <c r="G668">
        <v>43845</v>
      </c>
      <c r="H668" t="s">
        <v>21</v>
      </c>
      <c r="J668" t="s">
        <v>23</v>
      </c>
    </row>
    <row r="669" spans="1:10" x14ac:dyDescent="0.35">
      <c r="A669" t="s">
        <v>29</v>
      </c>
      <c r="B669">
        <v>40</v>
      </c>
      <c r="C669" t="s">
        <v>34</v>
      </c>
      <c r="D669" t="s">
        <v>18</v>
      </c>
      <c r="E669" t="s">
        <v>30</v>
      </c>
      <c r="F669" t="s">
        <v>43</v>
      </c>
      <c r="G669">
        <v>43881</v>
      </c>
      <c r="H669" t="s">
        <v>41</v>
      </c>
      <c r="I669" t="s">
        <v>22</v>
      </c>
      <c r="J669" t="s">
        <v>23</v>
      </c>
    </row>
    <row r="670" spans="1:10" x14ac:dyDescent="0.35">
      <c r="A670" t="s">
        <v>35</v>
      </c>
      <c r="B670">
        <v>35</v>
      </c>
      <c r="C670" t="s">
        <v>25</v>
      </c>
      <c r="D670" t="s">
        <v>11</v>
      </c>
      <c r="E670" t="s">
        <v>30</v>
      </c>
      <c r="F670" t="s">
        <v>13</v>
      </c>
      <c r="G670">
        <v>43549</v>
      </c>
      <c r="H670" t="s">
        <v>41</v>
      </c>
      <c r="I670" t="s">
        <v>15</v>
      </c>
      <c r="J670" t="s">
        <v>16</v>
      </c>
    </row>
    <row r="671" spans="1:10" x14ac:dyDescent="0.35">
      <c r="A671" t="s">
        <v>35</v>
      </c>
      <c r="B671">
        <v>25</v>
      </c>
      <c r="C671" t="s">
        <v>25</v>
      </c>
      <c r="D671" t="s">
        <v>36</v>
      </c>
      <c r="E671" t="s">
        <v>26</v>
      </c>
      <c r="F671" t="s">
        <v>20</v>
      </c>
      <c r="G671">
        <v>43195</v>
      </c>
      <c r="H671" t="s">
        <v>31</v>
      </c>
      <c r="I671" t="s">
        <v>32</v>
      </c>
      <c r="J671" t="s">
        <v>23</v>
      </c>
    </row>
    <row r="672" spans="1:10" x14ac:dyDescent="0.35">
      <c r="A672" t="s">
        <v>38</v>
      </c>
      <c r="B672">
        <v>25</v>
      </c>
      <c r="C672">
        <v>55000</v>
      </c>
      <c r="D672" t="s">
        <v>18</v>
      </c>
      <c r="E672" t="s">
        <v>26</v>
      </c>
      <c r="F672" t="s">
        <v>20</v>
      </c>
      <c r="G672">
        <v>43195</v>
      </c>
      <c r="H672" t="s">
        <v>41</v>
      </c>
      <c r="I672" t="s">
        <v>32</v>
      </c>
      <c r="J672" t="s">
        <v>23</v>
      </c>
    </row>
    <row r="673" spans="1:10" x14ac:dyDescent="0.35">
      <c r="A673" t="s">
        <v>48</v>
      </c>
      <c r="B673" t="s">
        <v>16</v>
      </c>
      <c r="C673">
        <v>50000</v>
      </c>
      <c r="D673" t="s">
        <v>18</v>
      </c>
      <c r="E673" t="s">
        <v>37</v>
      </c>
      <c r="F673" t="s">
        <v>43</v>
      </c>
      <c r="G673" t="s">
        <v>40</v>
      </c>
      <c r="H673" t="s">
        <v>41</v>
      </c>
      <c r="J673" t="s">
        <v>16</v>
      </c>
    </row>
    <row r="674" spans="1:10" x14ac:dyDescent="0.35">
      <c r="A674" t="s">
        <v>29</v>
      </c>
      <c r="B674" t="s">
        <v>42</v>
      </c>
      <c r="C674">
        <v>70000</v>
      </c>
      <c r="D674" t="s">
        <v>18</v>
      </c>
      <c r="E674" t="s">
        <v>26</v>
      </c>
      <c r="F674" t="s">
        <v>13</v>
      </c>
      <c r="G674">
        <v>43195</v>
      </c>
      <c r="H674" t="s">
        <v>21</v>
      </c>
      <c r="I674" t="s">
        <v>32</v>
      </c>
      <c r="J674" t="s">
        <v>33</v>
      </c>
    </row>
    <row r="675" spans="1:10" x14ac:dyDescent="0.35">
      <c r="A675" t="s">
        <v>49</v>
      </c>
      <c r="B675" t="s">
        <v>16</v>
      </c>
      <c r="C675">
        <v>50000</v>
      </c>
      <c r="D675" t="s">
        <v>18</v>
      </c>
      <c r="E675" t="s">
        <v>19</v>
      </c>
      <c r="F675" t="s">
        <v>13</v>
      </c>
      <c r="G675" t="s">
        <v>40</v>
      </c>
      <c r="H675" t="s">
        <v>14</v>
      </c>
      <c r="I675" t="s">
        <v>22</v>
      </c>
      <c r="J675" t="s">
        <v>45</v>
      </c>
    </row>
    <row r="676" spans="1:10" x14ac:dyDescent="0.35">
      <c r="A676" t="s">
        <v>48</v>
      </c>
      <c r="B676">
        <v>35</v>
      </c>
      <c r="C676">
        <v>65000</v>
      </c>
      <c r="D676" t="s">
        <v>18</v>
      </c>
      <c r="E676" t="s">
        <v>30</v>
      </c>
      <c r="F676" t="s">
        <v>43</v>
      </c>
      <c r="G676">
        <v>43845</v>
      </c>
      <c r="H676" t="s">
        <v>14</v>
      </c>
      <c r="I676" t="s">
        <v>32</v>
      </c>
      <c r="J676" t="s">
        <v>45</v>
      </c>
    </row>
    <row r="677" spans="1:10" x14ac:dyDescent="0.35">
      <c r="A677" t="s">
        <v>38</v>
      </c>
      <c r="B677" t="s">
        <v>16</v>
      </c>
      <c r="C677">
        <v>65000</v>
      </c>
      <c r="D677" t="s">
        <v>18</v>
      </c>
      <c r="E677" t="s">
        <v>26</v>
      </c>
      <c r="F677" t="s">
        <v>44</v>
      </c>
      <c r="G677">
        <v>43845</v>
      </c>
      <c r="H677" t="s">
        <v>21</v>
      </c>
      <c r="I677" t="s">
        <v>16</v>
      </c>
      <c r="J677" t="s">
        <v>28</v>
      </c>
    </row>
    <row r="678" spans="1:10" x14ac:dyDescent="0.35">
      <c r="A678" t="s">
        <v>17</v>
      </c>
      <c r="B678">
        <v>50</v>
      </c>
      <c r="C678" t="s">
        <v>34</v>
      </c>
      <c r="D678" t="s">
        <v>11</v>
      </c>
      <c r="E678" t="s">
        <v>19</v>
      </c>
      <c r="F678" t="s">
        <v>20</v>
      </c>
      <c r="G678">
        <v>43845</v>
      </c>
      <c r="H678" t="s">
        <v>41</v>
      </c>
      <c r="I678" t="s">
        <v>22</v>
      </c>
      <c r="J678" t="s">
        <v>33</v>
      </c>
    </row>
    <row r="679" spans="1:10" x14ac:dyDescent="0.35">
      <c r="A679" t="s">
        <v>48</v>
      </c>
      <c r="B679">
        <v>25</v>
      </c>
      <c r="C679">
        <v>55000</v>
      </c>
      <c r="D679" t="s">
        <v>36</v>
      </c>
      <c r="E679" t="s">
        <v>19</v>
      </c>
      <c r="F679" t="s">
        <v>20</v>
      </c>
      <c r="G679">
        <v>43881</v>
      </c>
      <c r="H679" t="s">
        <v>21</v>
      </c>
      <c r="I679" t="s">
        <v>15</v>
      </c>
      <c r="J679" t="s">
        <v>28</v>
      </c>
    </row>
    <row r="680" spans="1:10" x14ac:dyDescent="0.35">
      <c r="A680" t="s">
        <v>48</v>
      </c>
      <c r="B680">
        <v>25</v>
      </c>
      <c r="C680">
        <v>55000</v>
      </c>
      <c r="D680" t="s">
        <v>36</v>
      </c>
      <c r="E680" t="s">
        <v>19</v>
      </c>
      <c r="F680" t="s">
        <v>39</v>
      </c>
      <c r="G680">
        <v>43881</v>
      </c>
      <c r="H680" t="s">
        <v>31</v>
      </c>
      <c r="I680" t="s">
        <v>15</v>
      </c>
      <c r="J680" t="s">
        <v>45</v>
      </c>
    </row>
    <row r="681" spans="1:10" x14ac:dyDescent="0.35">
      <c r="A681" t="s">
        <v>24</v>
      </c>
      <c r="B681">
        <v>40</v>
      </c>
      <c r="C681">
        <v>55000</v>
      </c>
      <c r="D681" t="s">
        <v>18</v>
      </c>
      <c r="E681" t="s">
        <v>19</v>
      </c>
      <c r="F681" t="s">
        <v>43</v>
      </c>
      <c r="G681" t="s">
        <v>40</v>
      </c>
      <c r="H681" t="s">
        <v>14</v>
      </c>
      <c r="J681" t="s">
        <v>16</v>
      </c>
    </row>
    <row r="682" spans="1:10" x14ac:dyDescent="0.35">
      <c r="A682" t="s">
        <v>47</v>
      </c>
      <c r="B682">
        <v>40</v>
      </c>
      <c r="C682" t="s">
        <v>34</v>
      </c>
      <c r="D682" t="s">
        <v>36</v>
      </c>
      <c r="E682" t="s">
        <v>37</v>
      </c>
      <c r="F682" t="s">
        <v>39</v>
      </c>
      <c r="G682">
        <v>43195</v>
      </c>
      <c r="H682" t="s">
        <v>27</v>
      </c>
      <c r="J682" t="s">
        <v>23</v>
      </c>
    </row>
    <row r="683" spans="1:10" x14ac:dyDescent="0.35">
      <c r="A683" t="s">
        <v>24</v>
      </c>
      <c r="B683">
        <v>35</v>
      </c>
      <c r="C683">
        <v>65000</v>
      </c>
      <c r="D683" t="s">
        <v>36</v>
      </c>
      <c r="E683" t="s">
        <v>19</v>
      </c>
      <c r="F683" t="s">
        <v>39</v>
      </c>
      <c r="G683">
        <v>43195</v>
      </c>
      <c r="H683" t="s">
        <v>31</v>
      </c>
      <c r="I683" t="s">
        <v>16</v>
      </c>
      <c r="J683" t="s">
        <v>45</v>
      </c>
    </row>
    <row r="684" spans="1:10" x14ac:dyDescent="0.35">
      <c r="A684" t="s">
        <v>10</v>
      </c>
      <c r="B684">
        <v>50</v>
      </c>
      <c r="C684">
        <v>50000</v>
      </c>
      <c r="D684" t="s">
        <v>36</v>
      </c>
      <c r="E684" t="s">
        <v>37</v>
      </c>
      <c r="F684" t="s">
        <v>13</v>
      </c>
      <c r="G684">
        <v>43845</v>
      </c>
      <c r="H684" t="s">
        <v>31</v>
      </c>
      <c r="I684" t="s">
        <v>15</v>
      </c>
      <c r="J684" t="s">
        <v>33</v>
      </c>
    </row>
    <row r="685" spans="1:10" x14ac:dyDescent="0.35">
      <c r="A685" t="s">
        <v>35</v>
      </c>
      <c r="B685" t="s">
        <v>42</v>
      </c>
      <c r="C685" t="s">
        <v>34</v>
      </c>
      <c r="D685" t="s">
        <v>18</v>
      </c>
      <c r="E685" t="s">
        <v>37</v>
      </c>
      <c r="F685" t="s">
        <v>20</v>
      </c>
      <c r="G685">
        <v>43549</v>
      </c>
      <c r="H685" t="s">
        <v>21</v>
      </c>
      <c r="I685" t="s">
        <v>15</v>
      </c>
      <c r="J685" t="s">
        <v>45</v>
      </c>
    </row>
    <row r="686" spans="1:10" x14ac:dyDescent="0.35">
      <c r="A686" t="s">
        <v>35</v>
      </c>
      <c r="B686" t="s">
        <v>16</v>
      </c>
      <c r="C686" t="s">
        <v>34</v>
      </c>
      <c r="D686" t="s">
        <v>18</v>
      </c>
      <c r="E686" t="s">
        <v>19</v>
      </c>
      <c r="F686" t="s">
        <v>39</v>
      </c>
      <c r="G686">
        <v>43881</v>
      </c>
      <c r="H686" t="s">
        <v>41</v>
      </c>
      <c r="I686" t="s">
        <v>15</v>
      </c>
      <c r="J686" t="s">
        <v>33</v>
      </c>
    </row>
    <row r="687" spans="1:10" x14ac:dyDescent="0.35">
      <c r="A687" t="s">
        <v>47</v>
      </c>
      <c r="B687">
        <v>35</v>
      </c>
      <c r="C687">
        <v>50000</v>
      </c>
      <c r="D687" t="s">
        <v>36</v>
      </c>
      <c r="E687" t="s">
        <v>30</v>
      </c>
      <c r="F687" t="s">
        <v>13</v>
      </c>
      <c r="G687">
        <v>43881</v>
      </c>
      <c r="H687" t="s">
        <v>14</v>
      </c>
      <c r="I687" t="s">
        <v>15</v>
      </c>
      <c r="J687" t="s">
        <v>33</v>
      </c>
    </row>
    <row r="688" spans="1:10" x14ac:dyDescent="0.35">
      <c r="A688" t="s">
        <v>46</v>
      </c>
      <c r="B688">
        <v>40</v>
      </c>
      <c r="C688">
        <v>55000</v>
      </c>
      <c r="D688" t="s">
        <v>36</v>
      </c>
      <c r="E688" t="s">
        <v>19</v>
      </c>
      <c r="F688" t="s">
        <v>43</v>
      </c>
      <c r="G688">
        <v>43845</v>
      </c>
      <c r="H688" t="s">
        <v>27</v>
      </c>
      <c r="I688" t="s">
        <v>32</v>
      </c>
      <c r="J688" t="s">
        <v>33</v>
      </c>
    </row>
    <row r="689" spans="1:10" x14ac:dyDescent="0.35">
      <c r="A689" t="s">
        <v>46</v>
      </c>
      <c r="B689" t="s">
        <v>16</v>
      </c>
      <c r="C689">
        <v>70000</v>
      </c>
      <c r="D689" t="s">
        <v>18</v>
      </c>
      <c r="E689" t="s">
        <v>19</v>
      </c>
      <c r="F689" t="s">
        <v>39</v>
      </c>
      <c r="G689">
        <v>43881</v>
      </c>
      <c r="H689" t="s">
        <v>31</v>
      </c>
      <c r="I689" t="s">
        <v>22</v>
      </c>
      <c r="J689" t="s">
        <v>28</v>
      </c>
    </row>
    <row r="690" spans="1:10" x14ac:dyDescent="0.35">
      <c r="A690" t="s">
        <v>38</v>
      </c>
      <c r="B690">
        <v>40</v>
      </c>
      <c r="C690">
        <v>50000</v>
      </c>
      <c r="D690" t="s">
        <v>11</v>
      </c>
      <c r="E690" t="s">
        <v>19</v>
      </c>
      <c r="F690" t="s">
        <v>20</v>
      </c>
      <c r="G690">
        <v>43845</v>
      </c>
      <c r="H690" t="s">
        <v>27</v>
      </c>
      <c r="I690" t="s">
        <v>22</v>
      </c>
      <c r="J690" t="s">
        <v>16</v>
      </c>
    </row>
    <row r="691" spans="1:10" x14ac:dyDescent="0.35">
      <c r="A691" t="s">
        <v>47</v>
      </c>
      <c r="B691" t="s">
        <v>16</v>
      </c>
      <c r="C691">
        <v>65000</v>
      </c>
      <c r="D691" t="s">
        <v>36</v>
      </c>
      <c r="E691" t="s">
        <v>30</v>
      </c>
      <c r="F691" t="s">
        <v>39</v>
      </c>
      <c r="G691" t="s">
        <v>40</v>
      </c>
      <c r="H691" t="s">
        <v>41</v>
      </c>
      <c r="I691" t="s">
        <v>16</v>
      </c>
      <c r="J691" t="s">
        <v>45</v>
      </c>
    </row>
    <row r="692" spans="1:10" x14ac:dyDescent="0.35">
      <c r="A692" t="s">
        <v>48</v>
      </c>
      <c r="B692" t="s">
        <v>42</v>
      </c>
      <c r="C692" t="s">
        <v>25</v>
      </c>
      <c r="D692" t="s">
        <v>11</v>
      </c>
      <c r="E692" t="s">
        <v>12</v>
      </c>
      <c r="F692" t="s">
        <v>43</v>
      </c>
      <c r="G692">
        <v>43195</v>
      </c>
      <c r="H692" t="s">
        <v>41</v>
      </c>
      <c r="I692" t="s">
        <v>32</v>
      </c>
      <c r="J692" t="s">
        <v>16</v>
      </c>
    </row>
    <row r="693" spans="1:10" x14ac:dyDescent="0.35">
      <c r="A693" t="s">
        <v>46</v>
      </c>
      <c r="B693">
        <v>35</v>
      </c>
      <c r="C693" t="s">
        <v>25</v>
      </c>
      <c r="D693" t="s">
        <v>36</v>
      </c>
      <c r="E693" t="s">
        <v>12</v>
      </c>
      <c r="F693" t="s">
        <v>39</v>
      </c>
      <c r="G693">
        <v>43549</v>
      </c>
      <c r="H693" t="s">
        <v>27</v>
      </c>
      <c r="I693" t="s">
        <v>15</v>
      </c>
      <c r="J693" t="s">
        <v>23</v>
      </c>
    </row>
    <row r="694" spans="1:10" x14ac:dyDescent="0.35">
      <c r="A694" t="s">
        <v>29</v>
      </c>
      <c r="B694" t="s">
        <v>16</v>
      </c>
      <c r="C694" t="s">
        <v>34</v>
      </c>
      <c r="D694" t="s">
        <v>11</v>
      </c>
      <c r="E694" t="s">
        <v>37</v>
      </c>
      <c r="F694" t="s">
        <v>20</v>
      </c>
      <c r="G694">
        <v>43195</v>
      </c>
      <c r="H694" t="s">
        <v>14</v>
      </c>
      <c r="I694" t="s">
        <v>15</v>
      </c>
      <c r="J694" t="s">
        <v>45</v>
      </c>
    </row>
    <row r="695" spans="1:10" x14ac:dyDescent="0.35">
      <c r="A695" t="s">
        <v>49</v>
      </c>
      <c r="B695">
        <v>50</v>
      </c>
      <c r="C695" t="s">
        <v>25</v>
      </c>
      <c r="D695" t="s">
        <v>11</v>
      </c>
      <c r="E695" t="s">
        <v>37</v>
      </c>
      <c r="F695" t="s">
        <v>13</v>
      </c>
      <c r="G695">
        <v>43195</v>
      </c>
      <c r="H695" t="s">
        <v>41</v>
      </c>
      <c r="J695" t="s">
        <v>16</v>
      </c>
    </row>
    <row r="696" spans="1:10" x14ac:dyDescent="0.35">
      <c r="A696" t="s">
        <v>48</v>
      </c>
      <c r="B696">
        <v>25</v>
      </c>
      <c r="C696">
        <v>70000</v>
      </c>
      <c r="D696" t="s">
        <v>11</v>
      </c>
      <c r="E696" t="s">
        <v>30</v>
      </c>
      <c r="F696" t="s">
        <v>20</v>
      </c>
      <c r="G696" t="s">
        <v>40</v>
      </c>
      <c r="H696" t="s">
        <v>27</v>
      </c>
      <c r="J696" t="s">
        <v>16</v>
      </c>
    </row>
    <row r="697" spans="1:10" x14ac:dyDescent="0.35">
      <c r="A697" t="s">
        <v>10</v>
      </c>
      <c r="B697">
        <v>50</v>
      </c>
      <c r="C697">
        <v>55000</v>
      </c>
      <c r="D697" t="s">
        <v>18</v>
      </c>
      <c r="E697" t="s">
        <v>26</v>
      </c>
      <c r="F697" t="s">
        <v>13</v>
      </c>
      <c r="G697">
        <v>43881</v>
      </c>
      <c r="H697" t="s">
        <v>31</v>
      </c>
      <c r="I697" t="s">
        <v>16</v>
      </c>
      <c r="J697" t="s">
        <v>23</v>
      </c>
    </row>
    <row r="698" spans="1:10" x14ac:dyDescent="0.35">
      <c r="A698" t="s">
        <v>29</v>
      </c>
      <c r="B698">
        <v>50</v>
      </c>
      <c r="C698">
        <v>65000</v>
      </c>
      <c r="D698" t="s">
        <v>11</v>
      </c>
      <c r="E698" t="s">
        <v>12</v>
      </c>
      <c r="F698" t="s">
        <v>44</v>
      </c>
      <c r="G698">
        <v>43549</v>
      </c>
      <c r="H698" t="s">
        <v>27</v>
      </c>
      <c r="I698" t="s">
        <v>15</v>
      </c>
      <c r="J698" t="s">
        <v>33</v>
      </c>
    </row>
    <row r="699" spans="1:10" x14ac:dyDescent="0.35">
      <c r="A699" t="s">
        <v>29</v>
      </c>
      <c r="B699">
        <v>25</v>
      </c>
      <c r="C699">
        <v>70000</v>
      </c>
      <c r="D699" t="s">
        <v>11</v>
      </c>
      <c r="E699" t="s">
        <v>37</v>
      </c>
      <c r="F699" t="s">
        <v>20</v>
      </c>
      <c r="G699">
        <v>43881</v>
      </c>
      <c r="H699" t="s">
        <v>27</v>
      </c>
      <c r="I699" t="s">
        <v>16</v>
      </c>
      <c r="J699" t="s">
        <v>45</v>
      </c>
    </row>
    <row r="700" spans="1:10" x14ac:dyDescent="0.35">
      <c r="A700" t="s">
        <v>47</v>
      </c>
      <c r="B700">
        <v>50</v>
      </c>
      <c r="C700">
        <v>65000</v>
      </c>
      <c r="D700" t="s">
        <v>11</v>
      </c>
      <c r="E700" t="s">
        <v>12</v>
      </c>
      <c r="F700" t="s">
        <v>20</v>
      </c>
      <c r="G700">
        <v>43195</v>
      </c>
      <c r="H700" t="s">
        <v>21</v>
      </c>
      <c r="I700" t="s">
        <v>32</v>
      </c>
      <c r="J700" t="s">
        <v>45</v>
      </c>
    </row>
    <row r="701" spans="1:10" x14ac:dyDescent="0.35">
      <c r="A701" t="s">
        <v>38</v>
      </c>
      <c r="B701" t="s">
        <v>16</v>
      </c>
      <c r="C701">
        <v>65000</v>
      </c>
      <c r="D701" t="s">
        <v>36</v>
      </c>
      <c r="E701" t="s">
        <v>30</v>
      </c>
      <c r="F701" t="s">
        <v>43</v>
      </c>
      <c r="G701">
        <v>43845</v>
      </c>
      <c r="H701" t="s">
        <v>41</v>
      </c>
      <c r="I701" t="s">
        <v>22</v>
      </c>
      <c r="J701" t="s">
        <v>23</v>
      </c>
    </row>
    <row r="702" spans="1:10" x14ac:dyDescent="0.35">
      <c r="A702" t="s">
        <v>10</v>
      </c>
      <c r="B702" t="s">
        <v>16</v>
      </c>
      <c r="C702">
        <v>55000</v>
      </c>
      <c r="D702" t="s">
        <v>11</v>
      </c>
      <c r="E702" t="s">
        <v>30</v>
      </c>
      <c r="F702" t="s">
        <v>39</v>
      </c>
      <c r="G702">
        <v>43195</v>
      </c>
      <c r="H702" t="s">
        <v>14</v>
      </c>
      <c r="I702" t="s">
        <v>15</v>
      </c>
      <c r="J702" t="s">
        <v>33</v>
      </c>
    </row>
    <row r="703" spans="1:10" x14ac:dyDescent="0.35">
      <c r="A703" t="s">
        <v>46</v>
      </c>
      <c r="B703" t="s">
        <v>16</v>
      </c>
      <c r="C703" t="s">
        <v>34</v>
      </c>
      <c r="D703" t="s">
        <v>36</v>
      </c>
      <c r="E703" t="s">
        <v>26</v>
      </c>
      <c r="F703" t="s">
        <v>13</v>
      </c>
      <c r="G703">
        <v>43881</v>
      </c>
      <c r="H703" t="s">
        <v>14</v>
      </c>
      <c r="I703" t="s">
        <v>32</v>
      </c>
      <c r="J703" t="s">
        <v>45</v>
      </c>
    </row>
    <row r="704" spans="1:10" x14ac:dyDescent="0.35">
      <c r="A704" t="s">
        <v>47</v>
      </c>
      <c r="B704">
        <v>25</v>
      </c>
      <c r="C704" t="s">
        <v>25</v>
      </c>
      <c r="D704" t="s">
        <v>11</v>
      </c>
      <c r="E704" t="s">
        <v>26</v>
      </c>
      <c r="F704" t="s">
        <v>13</v>
      </c>
      <c r="G704">
        <v>43195</v>
      </c>
      <c r="H704" t="s">
        <v>21</v>
      </c>
      <c r="I704" t="s">
        <v>15</v>
      </c>
      <c r="J704" t="s">
        <v>45</v>
      </c>
    </row>
    <row r="705" spans="1:10" x14ac:dyDescent="0.35">
      <c r="A705" t="s">
        <v>46</v>
      </c>
      <c r="B705">
        <v>50</v>
      </c>
      <c r="C705">
        <v>55000</v>
      </c>
      <c r="D705" t="s">
        <v>11</v>
      </c>
      <c r="E705" t="s">
        <v>30</v>
      </c>
      <c r="F705" t="s">
        <v>43</v>
      </c>
      <c r="G705">
        <v>43845</v>
      </c>
      <c r="H705" t="s">
        <v>14</v>
      </c>
      <c r="J705" t="s">
        <v>45</v>
      </c>
    </row>
    <row r="706" spans="1:10" x14ac:dyDescent="0.35">
      <c r="A706" t="s">
        <v>47</v>
      </c>
      <c r="B706">
        <v>25</v>
      </c>
      <c r="C706">
        <v>70000</v>
      </c>
      <c r="D706" t="s">
        <v>18</v>
      </c>
      <c r="E706" t="s">
        <v>37</v>
      </c>
      <c r="F706" t="s">
        <v>43</v>
      </c>
      <c r="G706" t="s">
        <v>40</v>
      </c>
      <c r="H706" t="s">
        <v>27</v>
      </c>
      <c r="I706" t="s">
        <v>16</v>
      </c>
      <c r="J706" t="s">
        <v>33</v>
      </c>
    </row>
    <row r="707" spans="1:10" x14ac:dyDescent="0.35">
      <c r="A707" t="s">
        <v>47</v>
      </c>
      <c r="B707" t="s">
        <v>16</v>
      </c>
      <c r="C707" t="s">
        <v>34</v>
      </c>
      <c r="D707" t="s">
        <v>36</v>
      </c>
      <c r="E707" t="s">
        <v>12</v>
      </c>
      <c r="F707" t="s">
        <v>39</v>
      </c>
      <c r="G707">
        <v>43881</v>
      </c>
      <c r="H707" t="s">
        <v>21</v>
      </c>
      <c r="J707" t="s">
        <v>23</v>
      </c>
    </row>
    <row r="708" spans="1:10" x14ac:dyDescent="0.35">
      <c r="A708" t="s">
        <v>47</v>
      </c>
      <c r="B708">
        <v>50</v>
      </c>
      <c r="C708">
        <v>70000</v>
      </c>
      <c r="D708" t="s">
        <v>11</v>
      </c>
      <c r="E708" t="s">
        <v>19</v>
      </c>
      <c r="F708" t="s">
        <v>39</v>
      </c>
      <c r="G708">
        <v>43195</v>
      </c>
      <c r="H708" t="s">
        <v>31</v>
      </c>
      <c r="I708" t="s">
        <v>22</v>
      </c>
      <c r="J708" t="s">
        <v>45</v>
      </c>
    </row>
    <row r="709" spans="1:10" x14ac:dyDescent="0.35">
      <c r="A709" t="s">
        <v>38</v>
      </c>
      <c r="B709">
        <v>50</v>
      </c>
      <c r="C709" t="s">
        <v>34</v>
      </c>
      <c r="D709" t="s">
        <v>36</v>
      </c>
      <c r="E709" t="s">
        <v>26</v>
      </c>
      <c r="F709" t="s">
        <v>20</v>
      </c>
      <c r="G709">
        <v>43881</v>
      </c>
      <c r="H709" t="s">
        <v>41</v>
      </c>
      <c r="J709" t="s">
        <v>16</v>
      </c>
    </row>
    <row r="710" spans="1:10" x14ac:dyDescent="0.35">
      <c r="A710" t="s">
        <v>47</v>
      </c>
      <c r="B710">
        <v>40</v>
      </c>
      <c r="C710">
        <v>70000</v>
      </c>
      <c r="D710" t="s">
        <v>36</v>
      </c>
      <c r="E710" t="s">
        <v>19</v>
      </c>
      <c r="F710" t="s">
        <v>44</v>
      </c>
      <c r="G710" t="s">
        <v>40</v>
      </c>
      <c r="H710" t="s">
        <v>41</v>
      </c>
      <c r="I710" t="s">
        <v>15</v>
      </c>
      <c r="J710" t="s">
        <v>33</v>
      </c>
    </row>
    <row r="711" spans="1:10" x14ac:dyDescent="0.35">
      <c r="A711" t="s">
        <v>17</v>
      </c>
      <c r="B711">
        <v>40</v>
      </c>
      <c r="C711">
        <v>55000</v>
      </c>
      <c r="D711" t="s">
        <v>18</v>
      </c>
      <c r="E711" t="s">
        <v>37</v>
      </c>
      <c r="F711" t="s">
        <v>39</v>
      </c>
      <c r="G711">
        <v>43195</v>
      </c>
      <c r="H711" t="s">
        <v>41</v>
      </c>
      <c r="J711" t="s">
        <v>28</v>
      </c>
    </row>
    <row r="712" spans="1:10" x14ac:dyDescent="0.35">
      <c r="A712" t="s">
        <v>49</v>
      </c>
      <c r="B712" t="s">
        <v>42</v>
      </c>
      <c r="C712" t="s">
        <v>34</v>
      </c>
      <c r="D712" t="s">
        <v>18</v>
      </c>
      <c r="E712" t="s">
        <v>26</v>
      </c>
      <c r="F712" t="s">
        <v>43</v>
      </c>
      <c r="G712">
        <v>43195</v>
      </c>
      <c r="H712" t="s">
        <v>27</v>
      </c>
      <c r="I712" t="s">
        <v>15</v>
      </c>
      <c r="J712" t="s">
        <v>23</v>
      </c>
    </row>
    <row r="713" spans="1:10" x14ac:dyDescent="0.35">
      <c r="A713" t="s">
        <v>46</v>
      </c>
      <c r="B713">
        <v>35</v>
      </c>
      <c r="C713" t="s">
        <v>34</v>
      </c>
      <c r="D713" t="s">
        <v>18</v>
      </c>
      <c r="E713" t="s">
        <v>19</v>
      </c>
      <c r="F713" t="s">
        <v>39</v>
      </c>
      <c r="G713">
        <v>43881</v>
      </c>
      <c r="H713" t="s">
        <v>31</v>
      </c>
      <c r="I713" t="s">
        <v>22</v>
      </c>
      <c r="J713" t="s">
        <v>16</v>
      </c>
    </row>
    <row r="714" spans="1:10" x14ac:dyDescent="0.35">
      <c r="A714" t="s">
        <v>48</v>
      </c>
      <c r="B714">
        <v>40</v>
      </c>
      <c r="C714">
        <v>65000</v>
      </c>
      <c r="D714" t="s">
        <v>18</v>
      </c>
      <c r="E714" t="s">
        <v>37</v>
      </c>
      <c r="F714" t="s">
        <v>13</v>
      </c>
      <c r="G714">
        <v>43881</v>
      </c>
      <c r="H714" t="s">
        <v>21</v>
      </c>
      <c r="J714" t="s">
        <v>45</v>
      </c>
    </row>
    <row r="715" spans="1:10" x14ac:dyDescent="0.35">
      <c r="A715" t="s">
        <v>24</v>
      </c>
      <c r="B715">
        <v>25</v>
      </c>
      <c r="C715">
        <v>65000</v>
      </c>
      <c r="D715" t="s">
        <v>18</v>
      </c>
      <c r="E715" t="s">
        <v>12</v>
      </c>
      <c r="F715" t="s">
        <v>44</v>
      </c>
      <c r="G715">
        <v>43845</v>
      </c>
      <c r="H715" t="s">
        <v>21</v>
      </c>
      <c r="I715" t="s">
        <v>16</v>
      </c>
      <c r="J715" t="s">
        <v>28</v>
      </c>
    </row>
    <row r="716" spans="1:10" x14ac:dyDescent="0.35">
      <c r="A716" t="s">
        <v>10</v>
      </c>
      <c r="B716">
        <v>40</v>
      </c>
      <c r="C716">
        <v>50000</v>
      </c>
      <c r="D716" t="s">
        <v>18</v>
      </c>
      <c r="E716" t="s">
        <v>37</v>
      </c>
      <c r="F716" t="s">
        <v>20</v>
      </c>
      <c r="G716" t="s">
        <v>40</v>
      </c>
      <c r="H716" t="s">
        <v>41</v>
      </c>
      <c r="I716" t="s">
        <v>16</v>
      </c>
      <c r="J716" t="s">
        <v>23</v>
      </c>
    </row>
    <row r="717" spans="1:10" x14ac:dyDescent="0.35">
      <c r="A717" t="s">
        <v>35</v>
      </c>
      <c r="B717" t="s">
        <v>42</v>
      </c>
      <c r="C717">
        <v>70000</v>
      </c>
      <c r="D717" t="s">
        <v>18</v>
      </c>
      <c r="E717" t="s">
        <v>26</v>
      </c>
      <c r="F717" t="s">
        <v>13</v>
      </c>
      <c r="G717">
        <v>43845</v>
      </c>
      <c r="H717" t="s">
        <v>31</v>
      </c>
      <c r="I717" t="s">
        <v>16</v>
      </c>
      <c r="J717" t="s">
        <v>33</v>
      </c>
    </row>
    <row r="718" spans="1:10" x14ac:dyDescent="0.35">
      <c r="A718" t="s">
        <v>38</v>
      </c>
      <c r="B718">
        <v>50</v>
      </c>
      <c r="C718">
        <v>65000</v>
      </c>
      <c r="D718" t="s">
        <v>18</v>
      </c>
      <c r="E718" t="s">
        <v>30</v>
      </c>
      <c r="F718" t="s">
        <v>13</v>
      </c>
      <c r="G718">
        <v>43195</v>
      </c>
      <c r="H718" t="s">
        <v>31</v>
      </c>
      <c r="J718" t="s">
        <v>28</v>
      </c>
    </row>
    <row r="719" spans="1:10" x14ac:dyDescent="0.35">
      <c r="A719" t="s">
        <v>48</v>
      </c>
      <c r="B719" t="s">
        <v>42</v>
      </c>
      <c r="C719">
        <v>50000</v>
      </c>
      <c r="D719" t="s">
        <v>11</v>
      </c>
      <c r="E719" t="s">
        <v>12</v>
      </c>
      <c r="F719" t="s">
        <v>44</v>
      </c>
      <c r="G719">
        <v>43881</v>
      </c>
      <c r="H719" t="s">
        <v>31</v>
      </c>
      <c r="J719" t="s">
        <v>28</v>
      </c>
    </row>
    <row r="720" spans="1:10" x14ac:dyDescent="0.35">
      <c r="A720" t="s">
        <v>29</v>
      </c>
      <c r="B720">
        <v>50</v>
      </c>
      <c r="C720">
        <v>65000</v>
      </c>
      <c r="D720" t="s">
        <v>36</v>
      </c>
      <c r="E720" t="s">
        <v>19</v>
      </c>
      <c r="F720" t="s">
        <v>20</v>
      </c>
      <c r="G720">
        <v>43195</v>
      </c>
      <c r="H720" t="s">
        <v>14</v>
      </c>
      <c r="J720" t="s">
        <v>16</v>
      </c>
    </row>
    <row r="721" spans="1:10" x14ac:dyDescent="0.35">
      <c r="A721" t="s">
        <v>17</v>
      </c>
      <c r="B721">
        <v>50</v>
      </c>
      <c r="C721">
        <v>70000</v>
      </c>
      <c r="D721" t="s">
        <v>18</v>
      </c>
      <c r="E721" t="s">
        <v>26</v>
      </c>
      <c r="F721" t="s">
        <v>43</v>
      </c>
      <c r="G721">
        <v>43195</v>
      </c>
      <c r="H721" t="s">
        <v>14</v>
      </c>
      <c r="I721" t="s">
        <v>15</v>
      </c>
      <c r="J721" t="s">
        <v>23</v>
      </c>
    </row>
    <row r="722" spans="1:10" x14ac:dyDescent="0.35">
      <c r="A722" t="s">
        <v>35</v>
      </c>
      <c r="B722">
        <v>35</v>
      </c>
      <c r="C722" t="s">
        <v>34</v>
      </c>
      <c r="D722" t="s">
        <v>18</v>
      </c>
      <c r="E722" t="s">
        <v>30</v>
      </c>
      <c r="F722" t="s">
        <v>20</v>
      </c>
      <c r="G722">
        <v>43549</v>
      </c>
      <c r="H722" t="s">
        <v>41</v>
      </c>
      <c r="I722" t="s">
        <v>22</v>
      </c>
      <c r="J722" t="s">
        <v>16</v>
      </c>
    </row>
    <row r="723" spans="1:10" x14ac:dyDescent="0.35">
      <c r="A723" t="s">
        <v>24</v>
      </c>
      <c r="B723">
        <v>40</v>
      </c>
      <c r="C723" t="s">
        <v>25</v>
      </c>
      <c r="D723" t="s">
        <v>36</v>
      </c>
      <c r="E723" t="s">
        <v>37</v>
      </c>
      <c r="F723" t="s">
        <v>39</v>
      </c>
      <c r="G723">
        <v>43549</v>
      </c>
      <c r="H723" t="s">
        <v>31</v>
      </c>
      <c r="I723" t="s">
        <v>16</v>
      </c>
      <c r="J723" t="s">
        <v>16</v>
      </c>
    </row>
    <row r="724" spans="1:10" x14ac:dyDescent="0.35">
      <c r="A724" t="s">
        <v>48</v>
      </c>
      <c r="B724">
        <v>25</v>
      </c>
      <c r="C724">
        <v>70000</v>
      </c>
      <c r="D724" t="s">
        <v>11</v>
      </c>
      <c r="E724" t="s">
        <v>30</v>
      </c>
      <c r="F724" t="s">
        <v>13</v>
      </c>
      <c r="G724">
        <v>43195</v>
      </c>
      <c r="H724" t="s">
        <v>31</v>
      </c>
      <c r="I724" t="s">
        <v>15</v>
      </c>
      <c r="J724" t="s">
        <v>45</v>
      </c>
    </row>
    <row r="725" spans="1:10" x14ac:dyDescent="0.35">
      <c r="A725" t="s">
        <v>35</v>
      </c>
      <c r="B725">
        <v>25</v>
      </c>
      <c r="C725">
        <v>55000</v>
      </c>
      <c r="D725" t="s">
        <v>36</v>
      </c>
      <c r="E725" t="s">
        <v>26</v>
      </c>
      <c r="F725" t="s">
        <v>39</v>
      </c>
      <c r="G725">
        <v>43881</v>
      </c>
      <c r="H725" t="s">
        <v>21</v>
      </c>
      <c r="I725" t="s">
        <v>16</v>
      </c>
      <c r="J725" t="s">
        <v>33</v>
      </c>
    </row>
    <row r="726" spans="1:10" x14ac:dyDescent="0.35">
      <c r="A726" t="s">
        <v>48</v>
      </c>
      <c r="B726" t="s">
        <v>16</v>
      </c>
      <c r="C726">
        <v>65000</v>
      </c>
      <c r="D726" t="s">
        <v>36</v>
      </c>
      <c r="E726" t="s">
        <v>26</v>
      </c>
      <c r="F726" t="s">
        <v>43</v>
      </c>
      <c r="G726">
        <v>43195</v>
      </c>
      <c r="H726" t="s">
        <v>21</v>
      </c>
      <c r="I726" t="s">
        <v>15</v>
      </c>
      <c r="J726" t="s">
        <v>28</v>
      </c>
    </row>
    <row r="727" spans="1:10" x14ac:dyDescent="0.35">
      <c r="A727" t="s">
        <v>17</v>
      </c>
      <c r="B727">
        <v>50</v>
      </c>
      <c r="C727">
        <v>65000</v>
      </c>
      <c r="D727" t="s">
        <v>18</v>
      </c>
      <c r="E727" t="s">
        <v>30</v>
      </c>
      <c r="F727" t="s">
        <v>39</v>
      </c>
      <c r="G727">
        <v>43549</v>
      </c>
      <c r="H727" t="s">
        <v>41</v>
      </c>
      <c r="J727" t="s">
        <v>23</v>
      </c>
    </row>
    <row r="728" spans="1:10" x14ac:dyDescent="0.35">
      <c r="A728" t="s">
        <v>24</v>
      </c>
      <c r="B728">
        <v>25</v>
      </c>
      <c r="C728" t="s">
        <v>34</v>
      </c>
      <c r="D728" t="s">
        <v>36</v>
      </c>
      <c r="E728" t="s">
        <v>37</v>
      </c>
      <c r="F728" t="s">
        <v>20</v>
      </c>
      <c r="G728">
        <v>43881</v>
      </c>
      <c r="H728" t="s">
        <v>31</v>
      </c>
      <c r="I728" t="s">
        <v>16</v>
      </c>
      <c r="J728" t="s">
        <v>33</v>
      </c>
    </row>
    <row r="729" spans="1:10" x14ac:dyDescent="0.35">
      <c r="A729" t="s">
        <v>29</v>
      </c>
      <c r="B729">
        <v>35</v>
      </c>
      <c r="C729">
        <v>55000</v>
      </c>
      <c r="D729" t="s">
        <v>36</v>
      </c>
      <c r="E729" t="s">
        <v>30</v>
      </c>
      <c r="F729" t="s">
        <v>39</v>
      </c>
      <c r="G729">
        <v>43195</v>
      </c>
      <c r="H729" t="s">
        <v>41</v>
      </c>
      <c r="J729" t="s">
        <v>33</v>
      </c>
    </row>
    <row r="730" spans="1:10" x14ac:dyDescent="0.35">
      <c r="A730" t="s">
        <v>47</v>
      </c>
      <c r="B730">
        <v>50</v>
      </c>
      <c r="C730" t="s">
        <v>34</v>
      </c>
      <c r="D730" t="s">
        <v>18</v>
      </c>
      <c r="E730" t="s">
        <v>26</v>
      </c>
      <c r="F730" t="s">
        <v>43</v>
      </c>
      <c r="G730" t="s">
        <v>40</v>
      </c>
      <c r="H730" t="s">
        <v>21</v>
      </c>
      <c r="I730" t="s">
        <v>16</v>
      </c>
      <c r="J730" t="s">
        <v>23</v>
      </c>
    </row>
    <row r="731" spans="1:10" x14ac:dyDescent="0.35">
      <c r="A731" t="s">
        <v>46</v>
      </c>
      <c r="B731">
        <v>35</v>
      </c>
      <c r="C731">
        <v>55000</v>
      </c>
      <c r="D731" t="s">
        <v>18</v>
      </c>
      <c r="E731" t="s">
        <v>26</v>
      </c>
      <c r="F731" t="s">
        <v>43</v>
      </c>
      <c r="G731" t="s">
        <v>40</v>
      </c>
      <c r="H731" t="s">
        <v>21</v>
      </c>
      <c r="I731" t="s">
        <v>32</v>
      </c>
      <c r="J731" t="s">
        <v>33</v>
      </c>
    </row>
    <row r="732" spans="1:10" x14ac:dyDescent="0.35">
      <c r="A732" t="s">
        <v>29</v>
      </c>
      <c r="B732">
        <v>25</v>
      </c>
      <c r="C732" t="s">
        <v>25</v>
      </c>
      <c r="D732" t="s">
        <v>18</v>
      </c>
      <c r="E732" t="s">
        <v>19</v>
      </c>
      <c r="F732" t="s">
        <v>43</v>
      </c>
      <c r="G732">
        <v>43195</v>
      </c>
      <c r="H732" t="s">
        <v>14</v>
      </c>
      <c r="I732" t="s">
        <v>15</v>
      </c>
      <c r="J732" t="s">
        <v>45</v>
      </c>
    </row>
    <row r="733" spans="1:10" x14ac:dyDescent="0.35">
      <c r="A733" t="s">
        <v>47</v>
      </c>
      <c r="B733">
        <v>25</v>
      </c>
      <c r="C733">
        <v>65000</v>
      </c>
      <c r="D733" t="s">
        <v>18</v>
      </c>
      <c r="E733" t="s">
        <v>19</v>
      </c>
      <c r="F733" t="s">
        <v>20</v>
      </c>
      <c r="G733">
        <v>43881</v>
      </c>
      <c r="H733" t="s">
        <v>41</v>
      </c>
      <c r="I733" t="s">
        <v>32</v>
      </c>
      <c r="J733" t="s">
        <v>33</v>
      </c>
    </row>
    <row r="734" spans="1:10" x14ac:dyDescent="0.35">
      <c r="A734" t="s">
        <v>38</v>
      </c>
      <c r="B734" t="s">
        <v>16</v>
      </c>
      <c r="C734">
        <v>65000</v>
      </c>
      <c r="D734" t="s">
        <v>36</v>
      </c>
      <c r="E734" t="s">
        <v>12</v>
      </c>
      <c r="F734" t="s">
        <v>43</v>
      </c>
      <c r="G734">
        <v>43195</v>
      </c>
      <c r="H734" t="s">
        <v>41</v>
      </c>
      <c r="I734" t="s">
        <v>15</v>
      </c>
      <c r="J734" t="s">
        <v>45</v>
      </c>
    </row>
    <row r="735" spans="1:10" x14ac:dyDescent="0.35">
      <c r="A735" t="s">
        <v>49</v>
      </c>
      <c r="B735">
        <v>25</v>
      </c>
      <c r="C735" t="s">
        <v>25</v>
      </c>
      <c r="D735" t="s">
        <v>36</v>
      </c>
      <c r="E735" t="s">
        <v>26</v>
      </c>
      <c r="F735" t="s">
        <v>13</v>
      </c>
      <c r="G735">
        <v>43195</v>
      </c>
      <c r="H735" t="s">
        <v>31</v>
      </c>
      <c r="I735" t="s">
        <v>22</v>
      </c>
      <c r="J735" t="s">
        <v>28</v>
      </c>
    </row>
    <row r="736" spans="1:10" x14ac:dyDescent="0.35">
      <c r="A736" t="s">
        <v>10</v>
      </c>
      <c r="B736">
        <v>50</v>
      </c>
      <c r="C736">
        <v>50000</v>
      </c>
      <c r="D736" t="s">
        <v>11</v>
      </c>
      <c r="E736" t="s">
        <v>19</v>
      </c>
      <c r="F736" t="s">
        <v>43</v>
      </c>
      <c r="G736">
        <v>43549</v>
      </c>
      <c r="H736" t="s">
        <v>31</v>
      </c>
      <c r="I736" t="s">
        <v>16</v>
      </c>
      <c r="J736" t="s">
        <v>28</v>
      </c>
    </row>
    <row r="737" spans="1:10" x14ac:dyDescent="0.35">
      <c r="A737" t="s">
        <v>10</v>
      </c>
      <c r="B737">
        <v>50</v>
      </c>
      <c r="C737" t="s">
        <v>34</v>
      </c>
      <c r="D737" t="s">
        <v>11</v>
      </c>
      <c r="E737" t="s">
        <v>30</v>
      </c>
      <c r="F737" t="s">
        <v>39</v>
      </c>
      <c r="G737" t="s">
        <v>40</v>
      </c>
      <c r="H737" t="s">
        <v>14</v>
      </c>
      <c r="I737" t="s">
        <v>22</v>
      </c>
      <c r="J737" t="s">
        <v>16</v>
      </c>
    </row>
    <row r="738" spans="1:10" x14ac:dyDescent="0.35">
      <c r="A738" t="s">
        <v>46</v>
      </c>
      <c r="B738">
        <v>50</v>
      </c>
      <c r="C738" t="s">
        <v>25</v>
      </c>
      <c r="D738" t="s">
        <v>36</v>
      </c>
      <c r="E738" t="s">
        <v>37</v>
      </c>
      <c r="F738" t="s">
        <v>39</v>
      </c>
      <c r="G738">
        <v>43549</v>
      </c>
      <c r="H738" t="s">
        <v>27</v>
      </c>
      <c r="I738" t="s">
        <v>22</v>
      </c>
      <c r="J738" t="s">
        <v>45</v>
      </c>
    </row>
    <row r="739" spans="1:10" x14ac:dyDescent="0.35">
      <c r="A739" t="s">
        <v>24</v>
      </c>
      <c r="B739" t="s">
        <v>16</v>
      </c>
      <c r="C739" t="s">
        <v>34</v>
      </c>
      <c r="D739" t="s">
        <v>11</v>
      </c>
      <c r="E739" t="s">
        <v>30</v>
      </c>
      <c r="F739" t="s">
        <v>39</v>
      </c>
      <c r="G739">
        <v>43549</v>
      </c>
      <c r="H739" t="s">
        <v>27</v>
      </c>
      <c r="I739" t="s">
        <v>15</v>
      </c>
      <c r="J739" t="s">
        <v>28</v>
      </c>
    </row>
    <row r="740" spans="1:10" x14ac:dyDescent="0.35">
      <c r="A740" t="s">
        <v>17</v>
      </c>
      <c r="B740" t="s">
        <v>16</v>
      </c>
      <c r="C740">
        <v>70000</v>
      </c>
      <c r="D740" t="s">
        <v>36</v>
      </c>
      <c r="E740" t="s">
        <v>37</v>
      </c>
      <c r="F740" t="s">
        <v>20</v>
      </c>
      <c r="G740">
        <v>43195</v>
      </c>
      <c r="H740" t="s">
        <v>27</v>
      </c>
      <c r="I740" t="s">
        <v>32</v>
      </c>
      <c r="J740" t="s">
        <v>33</v>
      </c>
    </row>
    <row r="741" spans="1:10" x14ac:dyDescent="0.35">
      <c r="A741" t="s">
        <v>24</v>
      </c>
      <c r="B741">
        <v>25</v>
      </c>
      <c r="C741">
        <v>65000</v>
      </c>
      <c r="D741" t="s">
        <v>11</v>
      </c>
      <c r="E741" t="s">
        <v>19</v>
      </c>
      <c r="F741" t="s">
        <v>39</v>
      </c>
      <c r="G741">
        <v>43549</v>
      </c>
      <c r="H741" t="s">
        <v>41</v>
      </c>
      <c r="J741" t="s">
        <v>23</v>
      </c>
    </row>
    <row r="742" spans="1:10" x14ac:dyDescent="0.35">
      <c r="A742" t="s">
        <v>17</v>
      </c>
      <c r="B742" t="s">
        <v>42</v>
      </c>
      <c r="C742" t="s">
        <v>34</v>
      </c>
      <c r="D742" t="s">
        <v>18</v>
      </c>
      <c r="E742" t="s">
        <v>12</v>
      </c>
      <c r="F742" t="s">
        <v>20</v>
      </c>
      <c r="G742" t="s">
        <v>40</v>
      </c>
      <c r="H742" t="s">
        <v>41</v>
      </c>
      <c r="I742" t="s">
        <v>15</v>
      </c>
      <c r="J742" t="s">
        <v>23</v>
      </c>
    </row>
    <row r="743" spans="1:10" x14ac:dyDescent="0.35">
      <c r="A743" t="s">
        <v>24</v>
      </c>
      <c r="B743" t="s">
        <v>42</v>
      </c>
      <c r="C743">
        <v>55000</v>
      </c>
      <c r="D743" t="s">
        <v>11</v>
      </c>
      <c r="E743" t="s">
        <v>30</v>
      </c>
      <c r="F743" t="s">
        <v>20</v>
      </c>
      <c r="G743">
        <v>43549</v>
      </c>
      <c r="H743" t="s">
        <v>21</v>
      </c>
      <c r="J743" t="s">
        <v>45</v>
      </c>
    </row>
    <row r="744" spans="1:10" x14ac:dyDescent="0.35">
      <c r="A744" t="s">
        <v>49</v>
      </c>
      <c r="B744" t="s">
        <v>16</v>
      </c>
      <c r="C744" t="s">
        <v>34</v>
      </c>
      <c r="D744" t="s">
        <v>18</v>
      </c>
      <c r="E744" t="s">
        <v>30</v>
      </c>
      <c r="F744" t="s">
        <v>43</v>
      </c>
      <c r="G744" t="s">
        <v>40</v>
      </c>
      <c r="H744" t="s">
        <v>41</v>
      </c>
      <c r="I744" t="s">
        <v>22</v>
      </c>
      <c r="J744" t="s">
        <v>16</v>
      </c>
    </row>
    <row r="745" spans="1:10" x14ac:dyDescent="0.35">
      <c r="A745" t="s">
        <v>38</v>
      </c>
      <c r="B745">
        <v>25</v>
      </c>
      <c r="C745">
        <v>70000</v>
      </c>
      <c r="D745" t="s">
        <v>18</v>
      </c>
      <c r="E745" t="s">
        <v>30</v>
      </c>
      <c r="F745" t="s">
        <v>13</v>
      </c>
      <c r="G745">
        <v>43549</v>
      </c>
      <c r="H745" t="s">
        <v>41</v>
      </c>
      <c r="J745" t="s">
        <v>33</v>
      </c>
    </row>
    <row r="746" spans="1:10" x14ac:dyDescent="0.35">
      <c r="A746" t="s">
        <v>38</v>
      </c>
      <c r="B746" t="s">
        <v>42</v>
      </c>
      <c r="C746">
        <v>65000</v>
      </c>
      <c r="D746" t="s">
        <v>18</v>
      </c>
      <c r="E746" t="s">
        <v>37</v>
      </c>
      <c r="F746" t="s">
        <v>43</v>
      </c>
      <c r="G746" t="s">
        <v>40</v>
      </c>
      <c r="H746" t="s">
        <v>41</v>
      </c>
      <c r="I746" t="s">
        <v>32</v>
      </c>
      <c r="J746" t="s">
        <v>45</v>
      </c>
    </row>
    <row r="747" spans="1:10" x14ac:dyDescent="0.35">
      <c r="A747" t="s">
        <v>47</v>
      </c>
      <c r="B747">
        <v>25</v>
      </c>
      <c r="C747" t="s">
        <v>25</v>
      </c>
      <c r="D747" t="s">
        <v>18</v>
      </c>
      <c r="E747" t="s">
        <v>19</v>
      </c>
      <c r="F747" t="s">
        <v>43</v>
      </c>
      <c r="G747">
        <v>43549</v>
      </c>
      <c r="H747" t="s">
        <v>14</v>
      </c>
      <c r="I747" t="s">
        <v>15</v>
      </c>
      <c r="J747" t="s">
        <v>23</v>
      </c>
    </row>
    <row r="748" spans="1:10" x14ac:dyDescent="0.35">
      <c r="A748" t="s">
        <v>35</v>
      </c>
      <c r="B748">
        <v>25</v>
      </c>
      <c r="C748">
        <v>70000</v>
      </c>
      <c r="D748" t="s">
        <v>11</v>
      </c>
      <c r="E748" t="s">
        <v>30</v>
      </c>
      <c r="F748" t="s">
        <v>20</v>
      </c>
      <c r="G748">
        <v>43549</v>
      </c>
      <c r="H748" t="s">
        <v>41</v>
      </c>
      <c r="I748" t="s">
        <v>32</v>
      </c>
      <c r="J748" t="s">
        <v>45</v>
      </c>
    </row>
    <row r="749" spans="1:10" x14ac:dyDescent="0.35">
      <c r="A749" t="s">
        <v>38</v>
      </c>
      <c r="B749">
        <v>25</v>
      </c>
      <c r="C749">
        <v>65000</v>
      </c>
      <c r="D749" t="s">
        <v>36</v>
      </c>
      <c r="E749" t="s">
        <v>30</v>
      </c>
      <c r="F749" t="s">
        <v>20</v>
      </c>
      <c r="G749">
        <v>43881</v>
      </c>
      <c r="H749" t="s">
        <v>31</v>
      </c>
      <c r="I749" t="s">
        <v>32</v>
      </c>
      <c r="J749" t="s">
        <v>33</v>
      </c>
    </row>
    <row r="750" spans="1:10" x14ac:dyDescent="0.35">
      <c r="A750" t="s">
        <v>38</v>
      </c>
      <c r="B750">
        <v>40</v>
      </c>
      <c r="C750" t="s">
        <v>34</v>
      </c>
      <c r="D750" t="s">
        <v>18</v>
      </c>
      <c r="E750" t="s">
        <v>12</v>
      </c>
      <c r="F750" t="s">
        <v>39</v>
      </c>
      <c r="G750" t="s">
        <v>40</v>
      </c>
      <c r="H750" t="s">
        <v>31</v>
      </c>
      <c r="I750" t="s">
        <v>15</v>
      </c>
      <c r="J750" t="s">
        <v>28</v>
      </c>
    </row>
    <row r="751" spans="1:10" x14ac:dyDescent="0.35">
      <c r="A751" t="s">
        <v>29</v>
      </c>
      <c r="B751">
        <v>50</v>
      </c>
      <c r="C751">
        <v>50000</v>
      </c>
      <c r="D751" t="s">
        <v>11</v>
      </c>
      <c r="E751" t="s">
        <v>12</v>
      </c>
      <c r="F751" t="s">
        <v>39</v>
      </c>
      <c r="G751" t="s">
        <v>40</v>
      </c>
      <c r="H751" t="s">
        <v>21</v>
      </c>
      <c r="I751" t="s">
        <v>32</v>
      </c>
      <c r="J751" t="s">
        <v>33</v>
      </c>
    </row>
    <row r="752" spans="1:10" x14ac:dyDescent="0.35">
      <c r="A752" t="s">
        <v>29</v>
      </c>
      <c r="B752">
        <v>25</v>
      </c>
      <c r="C752">
        <v>50000</v>
      </c>
      <c r="D752" t="s">
        <v>18</v>
      </c>
      <c r="E752" t="s">
        <v>19</v>
      </c>
      <c r="F752" t="s">
        <v>43</v>
      </c>
      <c r="G752" t="s">
        <v>40</v>
      </c>
      <c r="H752" t="s">
        <v>14</v>
      </c>
      <c r="I752" t="s">
        <v>16</v>
      </c>
      <c r="J752" t="s">
        <v>28</v>
      </c>
    </row>
    <row r="753" spans="1:10" x14ac:dyDescent="0.35">
      <c r="A753" t="s">
        <v>47</v>
      </c>
      <c r="B753">
        <v>40</v>
      </c>
      <c r="C753">
        <v>55000</v>
      </c>
      <c r="D753" t="s">
        <v>11</v>
      </c>
      <c r="E753" t="s">
        <v>19</v>
      </c>
      <c r="F753" t="s">
        <v>44</v>
      </c>
      <c r="G753">
        <v>43845</v>
      </c>
      <c r="H753" t="s">
        <v>31</v>
      </c>
      <c r="I753" t="s">
        <v>16</v>
      </c>
      <c r="J753" t="s">
        <v>28</v>
      </c>
    </row>
    <row r="754" spans="1:10" x14ac:dyDescent="0.35">
      <c r="A754" t="s">
        <v>35</v>
      </c>
      <c r="B754" t="s">
        <v>16</v>
      </c>
      <c r="C754">
        <v>65000</v>
      </c>
      <c r="D754" t="s">
        <v>11</v>
      </c>
      <c r="E754" t="s">
        <v>26</v>
      </c>
      <c r="F754" t="s">
        <v>44</v>
      </c>
      <c r="G754">
        <v>43549</v>
      </c>
      <c r="H754" t="s">
        <v>14</v>
      </c>
      <c r="I754" t="s">
        <v>16</v>
      </c>
      <c r="J754" t="s">
        <v>28</v>
      </c>
    </row>
    <row r="755" spans="1:10" x14ac:dyDescent="0.35">
      <c r="A755" t="s">
        <v>46</v>
      </c>
      <c r="B755" t="s">
        <v>42</v>
      </c>
      <c r="C755">
        <v>50000</v>
      </c>
      <c r="D755" t="s">
        <v>11</v>
      </c>
      <c r="E755" t="s">
        <v>12</v>
      </c>
      <c r="F755" t="s">
        <v>39</v>
      </c>
      <c r="G755" t="s">
        <v>40</v>
      </c>
      <c r="H755" t="s">
        <v>14</v>
      </c>
      <c r="J755" t="s">
        <v>45</v>
      </c>
    </row>
    <row r="756" spans="1:10" x14ac:dyDescent="0.35">
      <c r="A756" t="s">
        <v>29</v>
      </c>
      <c r="B756">
        <v>50</v>
      </c>
      <c r="C756" t="s">
        <v>25</v>
      </c>
      <c r="D756" t="s">
        <v>36</v>
      </c>
      <c r="E756" t="s">
        <v>26</v>
      </c>
      <c r="F756" t="s">
        <v>44</v>
      </c>
      <c r="G756">
        <v>43845</v>
      </c>
      <c r="H756" t="s">
        <v>21</v>
      </c>
      <c r="I756" t="s">
        <v>32</v>
      </c>
      <c r="J756" t="s">
        <v>23</v>
      </c>
    </row>
    <row r="757" spans="1:10" x14ac:dyDescent="0.35">
      <c r="A757" t="s">
        <v>46</v>
      </c>
      <c r="B757" t="s">
        <v>42</v>
      </c>
      <c r="C757">
        <v>65000</v>
      </c>
      <c r="D757" t="s">
        <v>11</v>
      </c>
      <c r="E757" t="s">
        <v>37</v>
      </c>
      <c r="F757" t="s">
        <v>39</v>
      </c>
      <c r="G757">
        <v>43881</v>
      </c>
      <c r="H757" t="s">
        <v>14</v>
      </c>
      <c r="I757" t="s">
        <v>15</v>
      </c>
      <c r="J757" t="s">
        <v>45</v>
      </c>
    </row>
    <row r="758" spans="1:10" x14ac:dyDescent="0.35">
      <c r="A758" t="s">
        <v>48</v>
      </c>
      <c r="B758">
        <v>50</v>
      </c>
      <c r="C758" t="s">
        <v>25</v>
      </c>
      <c r="D758" t="s">
        <v>11</v>
      </c>
      <c r="E758" t="s">
        <v>26</v>
      </c>
      <c r="F758" t="s">
        <v>20</v>
      </c>
      <c r="G758" t="s">
        <v>40</v>
      </c>
      <c r="H758" t="s">
        <v>41</v>
      </c>
      <c r="I758" t="s">
        <v>15</v>
      </c>
      <c r="J758" t="s">
        <v>23</v>
      </c>
    </row>
    <row r="759" spans="1:10" x14ac:dyDescent="0.35">
      <c r="A759" t="s">
        <v>29</v>
      </c>
      <c r="B759" t="s">
        <v>42</v>
      </c>
      <c r="C759" t="s">
        <v>25</v>
      </c>
      <c r="D759" t="s">
        <v>36</v>
      </c>
      <c r="E759" t="s">
        <v>30</v>
      </c>
      <c r="F759" t="s">
        <v>43</v>
      </c>
      <c r="G759" t="s">
        <v>40</v>
      </c>
      <c r="H759" t="s">
        <v>14</v>
      </c>
      <c r="J759" t="s">
        <v>33</v>
      </c>
    </row>
    <row r="760" spans="1:10" x14ac:dyDescent="0.35">
      <c r="A760" t="s">
        <v>49</v>
      </c>
      <c r="B760">
        <v>50</v>
      </c>
      <c r="C760">
        <v>50000</v>
      </c>
      <c r="D760" t="s">
        <v>36</v>
      </c>
      <c r="E760" t="s">
        <v>26</v>
      </c>
      <c r="F760" t="s">
        <v>13</v>
      </c>
      <c r="G760">
        <v>43845</v>
      </c>
      <c r="H760" t="s">
        <v>21</v>
      </c>
      <c r="I760" t="s">
        <v>15</v>
      </c>
      <c r="J760" t="s">
        <v>16</v>
      </c>
    </row>
    <row r="761" spans="1:10" x14ac:dyDescent="0.35">
      <c r="A761" t="s">
        <v>35</v>
      </c>
      <c r="B761" t="s">
        <v>42</v>
      </c>
      <c r="C761">
        <v>65000</v>
      </c>
      <c r="D761" t="s">
        <v>11</v>
      </c>
      <c r="E761" t="s">
        <v>19</v>
      </c>
      <c r="F761" t="s">
        <v>43</v>
      </c>
      <c r="G761">
        <v>43549</v>
      </c>
      <c r="H761" t="s">
        <v>21</v>
      </c>
      <c r="I761" t="s">
        <v>16</v>
      </c>
      <c r="J761" t="s">
        <v>33</v>
      </c>
    </row>
    <row r="762" spans="1:10" x14ac:dyDescent="0.35">
      <c r="A762" t="s">
        <v>47</v>
      </c>
      <c r="B762" t="s">
        <v>42</v>
      </c>
      <c r="C762" t="s">
        <v>34</v>
      </c>
      <c r="D762" t="s">
        <v>36</v>
      </c>
      <c r="E762" t="s">
        <v>37</v>
      </c>
      <c r="F762" t="s">
        <v>39</v>
      </c>
      <c r="G762">
        <v>43881</v>
      </c>
      <c r="H762" t="s">
        <v>21</v>
      </c>
      <c r="I762" t="s">
        <v>32</v>
      </c>
      <c r="J762" t="s">
        <v>45</v>
      </c>
    </row>
    <row r="763" spans="1:10" x14ac:dyDescent="0.35">
      <c r="A763" t="s">
        <v>48</v>
      </c>
      <c r="B763" t="s">
        <v>42</v>
      </c>
      <c r="C763">
        <v>70000</v>
      </c>
      <c r="D763" t="s">
        <v>18</v>
      </c>
      <c r="E763" t="s">
        <v>30</v>
      </c>
      <c r="F763" t="s">
        <v>39</v>
      </c>
      <c r="G763" t="s">
        <v>40</v>
      </c>
      <c r="H763" t="s">
        <v>31</v>
      </c>
      <c r="I763" t="s">
        <v>15</v>
      </c>
      <c r="J763" t="s">
        <v>45</v>
      </c>
    </row>
    <row r="764" spans="1:10" x14ac:dyDescent="0.35">
      <c r="A764" t="s">
        <v>35</v>
      </c>
      <c r="B764" t="s">
        <v>42</v>
      </c>
      <c r="C764">
        <v>50000</v>
      </c>
      <c r="D764" t="s">
        <v>18</v>
      </c>
      <c r="E764" t="s">
        <v>26</v>
      </c>
      <c r="F764" t="s">
        <v>43</v>
      </c>
      <c r="G764">
        <v>43549</v>
      </c>
      <c r="H764" t="s">
        <v>41</v>
      </c>
      <c r="I764" t="s">
        <v>15</v>
      </c>
      <c r="J764" t="s">
        <v>23</v>
      </c>
    </row>
    <row r="765" spans="1:10" x14ac:dyDescent="0.35">
      <c r="A765" t="s">
        <v>49</v>
      </c>
      <c r="B765" t="s">
        <v>16</v>
      </c>
      <c r="C765">
        <v>50000</v>
      </c>
      <c r="D765" t="s">
        <v>36</v>
      </c>
      <c r="E765" t="s">
        <v>37</v>
      </c>
      <c r="F765" t="s">
        <v>39</v>
      </c>
      <c r="G765">
        <v>43881</v>
      </c>
      <c r="H765" t="s">
        <v>31</v>
      </c>
      <c r="I765" t="s">
        <v>22</v>
      </c>
      <c r="J765" t="s">
        <v>45</v>
      </c>
    </row>
    <row r="766" spans="1:10" x14ac:dyDescent="0.35">
      <c r="A766" t="s">
        <v>35</v>
      </c>
      <c r="B766">
        <v>25</v>
      </c>
      <c r="C766" t="s">
        <v>34</v>
      </c>
      <c r="D766" t="s">
        <v>36</v>
      </c>
      <c r="E766" t="s">
        <v>37</v>
      </c>
      <c r="F766" t="s">
        <v>44</v>
      </c>
      <c r="G766">
        <v>43195</v>
      </c>
      <c r="H766" t="s">
        <v>27</v>
      </c>
      <c r="I766" t="s">
        <v>22</v>
      </c>
      <c r="J766" t="s">
        <v>28</v>
      </c>
    </row>
    <row r="767" spans="1:10" x14ac:dyDescent="0.35">
      <c r="A767" t="s">
        <v>49</v>
      </c>
      <c r="B767">
        <v>35</v>
      </c>
      <c r="C767">
        <v>65000</v>
      </c>
      <c r="D767" t="s">
        <v>11</v>
      </c>
      <c r="E767" t="s">
        <v>30</v>
      </c>
      <c r="F767" t="s">
        <v>44</v>
      </c>
      <c r="G767">
        <v>43195</v>
      </c>
      <c r="H767" t="s">
        <v>41</v>
      </c>
      <c r="I767" t="s">
        <v>22</v>
      </c>
      <c r="J767" t="s">
        <v>45</v>
      </c>
    </row>
    <row r="768" spans="1:10" x14ac:dyDescent="0.35">
      <c r="A768" t="s">
        <v>49</v>
      </c>
      <c r="B768">
        <v>40</v>
      </c>
      <c r="C768">
        <v>65000</v>
      </c>
      <c r="D768" t="s">
        <v>36</v>
      </c>
      <c r="E768" t="s">
        <v>26</v>
      </c>
      <c r="F768" t="s">
        <v>39</v>
      </c>
      <c r="G768">
        <v>43881</v>
      </c>
      <c r="H768" t="s">
        <v>14</v>
      </c>
      <c r="I768" t="s">
        <v>32</v>
      </c>
      <c r="J768" t="s">
        <v>23</v>
      </c>
    </row>
    <row r="769" spans="1:10" x14ac:dyDescent="0.35">
      <c r="A769" t="s">
        <v>46</v>
      </c>
      <c r="B769">
        <v>35</v>
      </c>
      <c r="C769" t="s">
        <v>25</v>
      </c>
      <c r="D769" t="s">
        <v>11</v>
      </c>
      <c r="E769" t="s">
        <v>37</v>
      </c>
      <c r="F769" t="s">
        <v>39</v>
      </c>
      <c r="G769">
        <v>43845</v>
      </c>
      <c r="H769" t="s">
        <v>21</v>
      </c>
      <c r="I769" t="s">
        <v>16</v>
      </c>
      <c r="J769" t="s">
        <v>23</v>
      </c>
    </row>
    <row r="770" spans="1:10" x14ac:dyDescent="0.35">
      <c r="A770" t="s">
        <v>24</v>
      </c>
      <c r="B770">
        <v>35</v>
      </c>
      <c r="C770" t="s">
        <v>34</v>
      </c>
      <c r="D770" t="s">
        <v>18</v>
      </c>
      <c r="E770" t="s">
        <v>37</v>
      </c>
      <c r="F770" t="s">
        <v>44</v>
      </c>
      <c r="G770">
        <v>43881</v>
      </c>
      <c r="H770" t="s">
        <v>27</v>
      </c>
      <c r="I770" t="s">
        <v>16</v>
      </c>
      <c r="J770" t="s">
        <v>28</v>
      </c>
    </row>
    <row r="771" spans="1:10" x14ac:dyDescent="0.35">
      <c r="A771" t="s">
        <v>48</v>
      </c>
      <c r="B771">
        <v>50</v>
      </c>
      <c r="C771" t="s">
        <v>34</v>
      </c>
      <c r="D771" t="s">
        <v>36</v>
      </c>
      <c r="E771" t="s">
        <v>12</v>
      </c>
      <c r="F771" t="s">
        <v>39</v>
      </c>
      <c r="G771">
        <v>43881</v>
      </c>
      <c r="H771" t="s">
        <v>41</v>
      </c>
      <c r="I771" t="s">
        <v>16</v>
      </c>
      <c r="J771" t="s">
        <v>23</v>
      </c>
    </row>
    <row r="772" spans="1:10" x14ac:dyDescent="0.35">
      <c r="A772" t="s">
        <v>35</v>
      </c>
      <c r="B772">
        <v>25</v>
      </c>
      <c r="C772">
        <v>65000</v>
      </c>
      <c r="D772" t="s">
        <v>11</v>
      </c>
      <c r="E772" t="s">
        <v>37</v>
      </c>
      <c r="F772" t="s">
        <v>39</v>
      </c>
      <c r="G772">
        <v>43845</v>
      </c>
      <c r="H772" t="s">
        <v>31</v>
      </c>
      <c r="I772" t="s">
        <v>32</v>
      </c>
      <c r="J772" t="s">
        <v>16</v>
      </c>
    </row>
    <row r="773" spans="1:10" x14ac:dyDescent="0.35">
      <c r="A773" t="s">
        <v>17</v>
      </c>
      <c r="B773">
        <v>50</v>
      </c>
      <c r="C773" t="s">
        <v>25</v>
      </c>
      <c r="D773" t="s">
        <v>11</v>
      </c>
      <c r="E773" t="s">
        <v>12</v>
      </c>
      <c r="F773" t="s">
        <v>43</v>
      </c>
      <c r="G773">
        <v>43845</v>
      </c>
      <c r="H773" t="s">
        <v>21</v>
      </c>
      <c r="I773" t="s">
        <v>32</v>
      </c>
      <c r="J773" t="s">
        <v>33</v>
      </c>
    </row>
    <row r="774" spans="1:10" x14ac:dyDescent="0.35">
      <c r="A774" t="s">
        <v>48</v>
      </c>
      <c r="B774">
        <v>25</v>
      </c>
      <c r="C774">
        <v>50000</v>
      </c>
      <c r="D774" t="s">
        <v>18</v>
      </c>
      <c r="E774" t="s">
        <v>26</v>
      </c>
      <c r="F774" t="s">
        <v>13</v>
      </c>
      <c r="G774">
        <v>43549</v>
      </c>
      <c r="H774" t="s">
        <v>31</v>
      </c>
      <c r="I774" t="s">
        <v>22</v>
      </c>
      <c r="J774" t="s">
        <v>45</v>
      </c>
    </row>
    <row r="775" spans="1:10" x14ac:dyDescent="0.35">
      <c r="A775" t="s">
        <v>24</v>
      </c>
      <c r="B775">
        <v>25</v>
      </c>
      <c r="C775">
        <v>55000</v>
      </c>
      <c r="D775" t="s">
        <v>36</v>
      </c>
      <c r="E775" t="s">
        <v>26</v>
      </c>
      <c r="F775" t="s">
        <v>44</v>
      </c>
      <c r="G775">
        <v>43549</v>
      </c>
      <c r="H775" t="s">
        <v>41</v>
      </c>
      <c r="I775" t="s">
        <v>15</v>
      </c>
      <c r="J775" t="s">
        <v>16</v>
      </c>
    </row>
    <row r="776" spans="1:10" x14ac:dyDescent="0.35">
      <c r="A776" t="s">
        <v>48</v>
      </c>
      <c r="B776" t="s">
        <v>42</v>
      </c>
      <c r="C776">
        <v>70000</v>
      </c>
      <c r="D776" t="s">
        <v>18</v>
      </c>
      <c r="E776" t="s">
        <v>26</v>
      </c>
      <c r="F776" t="s">
        <v>43</v>
      </c>
      <c r="G776">
        <v>43845</v>
      </c>
      <c r="H776" t="s">
        <v>41</v>
      </c>
      <c r="J776" t="s">
        <v>45</v>
      </c>
    </row>
    <row r="777" spans="1:10" x14ac:dyDescent="0.35">
      <c r="A777" t="s">
        <v>38</v>
      </c>
      <c r="B777" t="s">
        <v>16</v>
      </c>
      <c r="C777">
        <v>50000</v>
      </c>
      <c r="D777" t="s">
        <v>11</v>
      </c>
      <c r="E777" t="s">
        <v>19</v>
      </c>
      <c r="F777" t="s">
        <v>13</v>
      </c>
      <c r="G777">
        <v>43195</v>
      </c>
      <c r="H777" t="s">
        <v>27</v>
      </c>
      <c r="J777" t="s">
        <v>16</v>
      </c>
    </row>
    <row r="778" spans="1:10" x14ac:dyDescent="0.35">
      <c r="A778" t="s">
        <v>17</v>
      </c>
      <c r="B778" t="s">
        <v>42</v>
      </c>
      <c r="C778">
        <v>65000</v>
      </c>
      <c r="D778" t="s">
        <v>11</v>
      </c>
      <c r="E778" t="s">
        <v>26</v>
      </c>
      <c r="F778" t="s">
        <v>39</v>
      </c>
      <c r="G778">
        <v>43195</v>
      </c>
      <c r="H778" t="s">
        <v>14</v>
      </c>
      <c r="I778" t="s">
        <v>15</v>
      </c>
      <c r="J778" t="s">
        <v>45</v>
      </c>
    </row>
    <row r="779" spans="1:10" x14ac:dyDescent="0.35">
      <c r="A779" t="s">
        <v>24</v>
      </c>
      <c r="B779" t="s">
        <v>16</v>
      </c>
      <c r="C779">
        <v>70000</v>
      </c>
      <c r="D779" t="s">
        <v>36</v>
      </c>
      <c r="E779" t="s">
        <v>37</v>
      </c>
      <c r="F779" t="s">
        <v>39</v>
      </c>
      <c r="G779">
        <v>43881</v>
      </c>
      <c r="H779" t="s">
        <v>31</v>
      </c>
      <c r="I779" t="s">
        <v>22</v>
      </c>
      <c r="J779" t="s">
        <v>28</v>
      </c>
    </row>
    <row r="780" spans="1:10" x14ac:dyDescent="0.35">
      <c r="A780" t="s">
        <v>46</v>
      </c>
      <c r="B780">
        <v>50</v>
      </c>
      <c r="C780">
        <v>55000</v>
      </c>
      <c r="D780" t="s">
        <v>11</v>
      </c>
      <c r="E780" t="s">
        <v>30</v>
      </c>
      <c r="F780" t="s">
        <v>43</v>
      </c>
      <c r="G780" t="s">
        <v>40</v>
      </c>
      <c r="H780" t="s">
        <v>27</v>
      </c>
      <c r="I780" t="s">
        <v>15</v>
      </c>
      <c r="J780" t="s">
        <v>23</v>
      </c>
    </row>
    <row r="781" spans="1:10" x14ac:dyDescent="0.35">
      <c r="A781" t="s">
        <v>35</v>
      </c>
      <c r="B781" t="s">
        <v>16</v>
      </c>
      <c r="C781">
        <v>55000</v>
      </c>
      <c r="D781" t="s">
        <v>36</v>
      </c>
      <c r="E781" t="s">
        <v>12</v>
      </c>
      <c r="F781" t="s">
        <v>39</v>
      </c>
      <c r="G781">
        <v>43881</v>
      </c>
      <c r="H781" t="s">
        <v>21</v>
      </c>
      <c r="I781" t="s">
        <v>15</v>
      </c>
      <c r="J781" t="s">
        <v>23</v>
      </c>
    </row>
    <row r="782" spans="1:10" x14ac:dyDescent="0.35">
      <c r="A782" t="s">
        <v>10</v>
      </c>
      <c r="B782">
        <v>50</v>
      </c>
      <c r="C782" t="s">
        <v>25</v>
      </c>
      <c r="D782" t="s">
        <v>18</v>
      </c>
      <c r="E782" t="s">
        <v>19</v>
      </c>
      <c r="F782" t="s">
        <v>20</v>
      </c>
      <c r="G782">
        <v>43881</v>
      </c>
      <c r="H782" t="s">
        <v>14</v>
      </c>
      <c r="J782" t="s">
        <v>28</v>
      </c>
    </row>
    <row r="783" spans="1:10" x14ac:dyDescent="0.35">
      <c r="A783" t="s">
        <v>24</v>
      </c>
      <c r="B783">
        <v>35</v>
      </c>
      <c r="C783">
        <v>70000</v>
      </c>
      <c r="D783" t="s">
        <v>36</v>
      </c>
      <c r="E783" t="s">
        <v>26</v>
      </c>
      <c r="F783" t="s">
        <v>43</v>
      </c>
      <c r="G783" t="s">
        <v>40</v>
      </c>
      <c r="H783" t="s">
        <v>27</v>
      </c>
      <c r="I783" t="s">
        <v>22</v>
      </c>
      <c r="J783" t="s">
        <v>16</v>
      </c>
    </row>
    <row r="784" spans="1:10" x14ac:dyDescent="0.35">
      <c r="A784" t="s">
        <v>47</v>
      </c>
      <c r="B784">
        <v>35</v>
      </c>
      <c r="C784" t="s">
        <v>25</v>
      </c>
      <c r="D784" t="s">
        <v>36</v>
      </c>
      <c r="E784" t="s">
        <v>26</v>
      </c>
      <c r="F784" t="s">
        <v>13</v>
      </c>
      <c r="G784">
        <v>43845</v>
      </c>
      <c r="H784" t="s">
        <v>31</v>
      </c>
      <c r="I784" t="s">
        <v>32</v>
      </c>
      <c r="J784" t="s">
        <v>33</v>
      </c>
    </row>
    <row r="785" spans="1:10" x14ac:dyDescent="0.35">
      <c r="A785" t="s">
        <v>35</v>
      </c>
      <c r="B785" t="s">
        <v>16</v>
      </c>
      <c r="C785">
        <v>50000</v>
      </c>
      <c r="D785" t="s">
        <v>11</v>
      </c>
      <c r="E785" t="s">
        <v>30</v>
      </c>
      <c r="F785" t="s">
        <v>43</v>
      </c>
      <c r="G785">
        <v>43195</v>
      </c>
      <c r="H785" t="s">
        <v>41</v>
      </c>
      <c r="J785" t="s">
        <v>16</v>
      </c>
    </row>
    <row r="786" spans="1:10" x14ac:dyDescent="0.35">
      <c r="A786" t="s">
        <v>24</v>
      </c>
      <c r="B786" t="s">
        <v>16</v>
      </c>
      <c r="C786" t="s">
        <v>34</v>
      </c>
      <c r="D786" t="s">
        <v>11</v>
      </c>
      <c r="E786" t="s">
        <v>30</v>
      </c>
      <c r="F786" t="s">
        <v>44</v>
      </c>
      <c r="G786">
        <v>43881</v>
      </c>
      <c r="H786" t="s">
        <v>21</v>
      </c>
      <c r="I786" t="s">
        <v>32</v>
      </c>
      <c r="J786" t="s">
        <v>23</v>
      </c>
    </row>
    <row r="787" spans="1:10" x14ac:dyDescent="0.35">
      <c r="A787" t="s">
        <v>38</v>
      </c>
      <c r="B787">
        <v>50</v>
      </c>
      <c r="C787" t="s">
        <v>34</v>
      </c>
      <c r="D787" t="s">
        <v>36</v>
      </c>
      <c r="E787" t="s">
        <v>19</v>
      </c>
      <c r="F787" t="s">
        <v>43</v>
      </c>
      <c r="G787" t="s">
        <v>40</v>
      </c>
      <c r="H787" t="s">
        <v>31</v>
      </c>
      <c r="I787" t="s">
        <v>22</v>
      </c>
      <c r="J787" t="s">
        <v>33</v>
      </c>
    </row>
    <row r="788" spans="1:10" x14ac:dyDescent="0.35">
      <c r="A788" t="s">
        <v>10</v>
      </c>
      <c r="B788" t="s">
        <v>42</v>
      </c>
      <c r="C788" t="s">
        <v>34</v>
      </c>
      <c r="D788" t="s">
        <v>11</v>
      </c>
      <c r="E788" t="s">
        <v>12</v>
      </c>
      <c r="F788" t="s">
        <v>39</v>
      </c>
      <c r="G788">
        <v>43549</v>
      </c>
      <c r="H788" t="s">
        <v>14</v>
      </c>
      <c r="I788" t="s">
        <v>15</v>
      </c>
      <c r="J788" t="s">
        <v>45</v>
      </c>
    </row>
    <row r="789" spans="1:10" x14ac:dyDescent="0.35">
      <c r="A789" t="s">
        <v>38</v>
      </c>
      <c r="B789">
        <v>50</v>
      </c>
      <c r="C789">
        <v>70000</v>
      </c>
      <c r="D789" t="s">
        <v>11</v>
      </c>
      <c r="E789" t="s">
        <v>26</v>
      </c>
      <c r="F789" t="s">
        <v>39</v>
      </c>
      <c r="G789">
        <v>43881</v>
      </c>
      <c r="H789" t="s">
        <v>14</v>
      </c>
      <c r="I789" t="s">
        <v>16</v>
      </c>
      <c r="J789" t="s">
        <v>33</v>
      </c>
    </row>
    <row r="790" spans="1:10" x14ac:dyDescent="0.35">
      <c r="A790" t="s">
        <v>10</v>
      </c>
      <c r="B790" t="s">
        <v>42</v>
      </c>
      <c r="C790" t="s">
        <v>34</v>
      </c>
      <c r="D790" t="s">
        <v>11</v>
      </c>
      <c r="E790" t="s">
        <v>19</v>
      </c>
      <c r="F790" t="s">
        <v>20</v>
      </c>
      <c r="G790">
        <v>43195</v>
      </c>
      <c r="H790" t="s">
        <v>41</v>
      </c>
      <c r="I790" t="s">
        <v>16</v>
      </c>
      <c r="J790" t="s">
        <v>16</v>
      </c>
    </row>
    <row r="791" spans="1:10" x14ac:dyDescent="0.35">
      <c r="A791" t="s">
        <v>47</v>
      </c>
      <c r="B791">
        <v>35</v>
      </c>
      <c r="C791">
        <v>50000</v>
      </c>
      <c r="D791" t="s">
        <v>36</v>
      </c>
      <c r="E791" t="s">
        <v>37</v>
      </c>
      <c r="F791" t="s">
        <v>20</v>
      </c>
      <c r="G791">
        <v>43845</v>
      </c>
      <c r="H791" t="s">
        <v>41</v>
      </c>
      <c r="I791" t="s">
        <v>22</v>
      </c>
      <c r="J791" t="s">
        <v>28</v>
      </c>
    </row>
    <row r="792" spans="1:10" x14ac:dyDescent="0.35">
      <c r="A792" t="s">
        <v>35</v>
      </c>
      <c r="B792">
        <v>25</v>
      </c>
      <c r="C792" t="s">
        <v>25</v>
      </c>
      <c r="D792" t="s">
        <v>11</v>
      </c>
      <c r="E792" t="s">
        <v>37</v>
      </c>
      <c r="F792" t="s">
        <v>20</v>
      </c>
      <c r="G792">
        <v>43881</v>
      </c>
      <c r="H792" t="s">
        <v>21</v>
      </c>
      <c r="I792" t="s">
        <v>16</v>
      </c>
      <c r="J792" t="s">
        <v>45</v>
      </c>
    </row>
    <row r="793" spans="1:10" x14ac:dyDescent="0.35">
      <c r="A793" t="s">
        <v>46</v>
      </c>
      <c r="B793" t="s">
        <v>16</v>
      </c>
      <c r="C793">
        <v>70000</v>
      </c>
      <c r="D793" t="s">
        <v>36</v>
      </c>
      <c r="E793" t="s">
        <v>19</v>
      </c>
      <c r="F793" t="s">
        <v>13</v>
      </c>
      <c r="G793">
        <v>43881</v>
      </c>
      <c r="H793" t="s">
        <v>21</v>
      </c>
      <c r="I793" t="s">
        <v>32</v>
      </c>
      <c r="J793" t="s">
        <v>16</v>
      </c>
    </row>
    <row r="794" spans="1:10" x14ac:dyDescent="0.35">
      <c r="A794" t="s">
        <v>38</v>
      </c>
      <c r="B794" t="s">
        <v>42</v>
      </c>
      <c r="C794" t="s">
        <v>25</v>
      </c>
      <c r="D794" t="s">
        <v>11</v>
      </c>
      <c r="E794" t="s">
        <v>26</v>
      </c>
      <c r="F794" t="s">
        <v>20</v>
      </c>
      <c r="G794" t="s">
        <v>40</v>
      </c>
      <c r="H794" t="s">
        <v>41</v>
      </c>
      <c r="I794" t="s">
        <v>16</v>
      </c>
      <c r="J794" t="s">
        <v>45</v>
      </c>
    </row>
    <row r="795" spans="1:10" x14ac:dyDescent="0.35">
      <c r="A795" t="s">
        <v>38</v>
      </c>
      <c r="B795">
        <v>50</v>
      </c>
      <c r="C795">
        <v>70000</v>
      </c>
      <c r="D795" t="s">
        <v>18</v>
      </c>
      <c r="E795" t="s">
        <v>19</v>
      </c>
      <c r="F795" t="s">
        <v>13</v>
      </c>
      <c r="G795">
        <v>43549</v>
      </c>
      <c r="H795" t="s">
        <v>41</v>
      </c>
      <c r="I795" t="s">
        <v>22</v>
      </c>
      <c r="J795" t="s">
        <v>33</v>
      </c>
    </row>
    <row r="796" spans="1:10" x14ac:dyDescent="0.35">
      <c r="A796" t="s">
        <v>49</v>
      </c>
      <c r="B796">
        <v>35</v>
      </c>
      <c r="C796" t="s">
        <v>25</v>
      </c>
      <c r="D796" t="s">
        <v>11</v>
      </c>
      <c r="E796" t="s">
        <v>26</v>
      </c>
      <c r="F796" t="s">
        <v>20</v>
      </c>
      <c r="G796">
        <v>43549</v>
      </c>
      <c r="H796" t="s">
        <v>14</v>
      </c>
      <c r="I796" t="s">
        <v>22</v>
      </c>
      <c r="J796" t="s">
        <v>23</v>
      </c>
    </row>
    <row r="797" spans="1:10" x14ac:dyDescent="0.35">
      <c r="A797" t="s">
        <v>10</v>
      </c>
      <c r="B797" t="s">
        <v>42</v>
      </c>
      <c r="C797">
        <v>55000</v>
      </c>
      <c r="D797" t="s">
        <v>11</v>
      </c>
      <c r="E797" t="s">
        <v>30</v>
      </c>
      <c r="F797" t="s">
        <v>13</v>
      </c>
      <c r="G797">
        <v>43845</v>
      </c>
      <c r="H797" t="s">
        <v>41</v>
      </c>
      <c r="I797" t="s">
        <v>32</v>
      </c>
      <c r="J797" t="s">
        <v>16</v>
      </c>
    </row>
    <row r="798" spans="1:10" x14ac:dyDescent="0.35">
      <c r="A798" t="s">
        <v>29</v>
      </c>
      <c r="B798">
        <v>50</v>
      </c>
      <c r="C798" t="s">
        <v>25</v>
      </c>
      <c r="D798" t="s">
        <v>36</v>
      </c>
      <c r="E798" t="s">
        <v>19</v>
      </c>
      <c r="F798" t="s">
        <v>43</v>
      </c>
      <c r="G798">
        <v>43195</v>
      </c>
      <c r="H798" t="s">
        <v>27</v>
      </c>
      <c r="I798" t="s">
        <v>16</v>
      </c>
      <c r="J798" t="s">
        <v>28</v>
      </c>
    </row>
    <row r="799" spans="1:10" x14ac:dyDescent="0.35">
      <c r="A799" t="s">
        <v>35</v>
      </c>
      <c r="B799" t="s">
        <v>16</v>
      </c>
      <c r="C799" t="s">
        <v>34</v>
      </c>
      <c r="D799" t="s">
        <v>36</v>
      </c>
      <c r="E799" t="s">
        <v>26</v>
      </c>
      <c r="F799" t="s">
        <v>43</v>
      </c>
      <c r="G799">
        <v>43845</v>
      </c>
      <c r="H799" t="s">
        <v>31</v>
      </c>
      <c r="I799" t="s">
        <v>16</v>
      </c>
      <c r="J799" t="s">
        <v>33</v>
      </c>
    </row>
    <row r="800" spans="1:10" x14ac:dyDescent="0.35">
      <c r="A800" t="s">
        <v>10</v>
      </c>
      <c r="B800" t="s">
        <v>16</v>
      </c>
      <c r="C800">
        <v>55000</v>
      </c>
      <c r="D800" t="s">
        <v>11</v>
      </c>
      <c r="E800" t="s">
        <v>19</v>
      </c>
      <c r="F800" t="s">
        <v>39</v>
      </c>
      <c r="G800">
        <v>43881</v>
      </c>
      <c r="H800" t="s">
        <v>41</v>
      </c>
      <c r="I800" t="s">
        <v>15</v>
      </c>
      <c r="J800" t="s">
        <v>16</v>
      </c>
    </row>
    <row r="801" spans="1:10" x14ac:dyDescent="0.35">
      <c r="A801" t="s">
        <v>49</v>
      </c>
      <c r="B801">
        <v>40</v>
      </c>
      <c r="C801" t="s">
        <v>25</v>
      </c>
      <c r="D801" t="s">
        <v>18</v>
      </c>
      <c r="E801" t="s">
        <v>19</v>
      </c>
      <c r="F801" t="s">
        <v>13</v>
      </c>
      <c r="G801">
        <v>43881</v>
      </c>
      <c r="H801" t="s">
        <v>21</v>
      </c>
      <c r="J801" t="s">
        <v>28</v>
      </c>
    </row>
    <row r="802" spans="1:10" x14ac:dyDescent="0.35">
      <c r="A802" t="s">
        <v>48</v>
      </c>
      <c r="B802">
        <v>25</v>
      </c>
      <c r="C802">
        <v>70000</v>
      </c>
      <c r="D802" t="s">
        <v>11</v>
      </c>
      <c r="E802" t="s">
        <v>26</v>
      </c>
      <c r="F802" t="s">
        <v>44</v>
      </c>
      <c r="G802">
        <v>43549</v>
      </c>
      <c r="H802" t="s">
        <v>27</v>
      </c>
      <c r="I802" t="s">
        <v>22</v>
      </c>
      <c r="J802" t="s">
        <v>16</v>
      </c>
    </row>
    <row r="803" spans="1:10" x14ac:dyDescent="0.35">
      <c r="A803" t="s">
        <v>10</v>
      </c>
      <c r="B803">
        <v>40</v>
      </c>
      <c r="C803">
        <v>70000</v>
      </c>
      <c r="D803" t="s">
        <v>11</v>
      </c>
      <c r="E803" t="s">
        <v>26</v>
      </c>
      <c r="F803" t="s">
        <v>39</v>
      </c>
      <c r="G803">
        <v>43195</v>
      </c>
      <c r="H803" t="s">
        <v>21</v>
      </c>
      <c r="I803" t="s">
        <v>15</v>
      </c>
      <c r="J803" t="s">
        <v>33</v>
      </c>
    </row>
    <row r="804" spans="1:10" x14ac:dyDescent="0.35">
      <c r="A804" t="s">
        <v>46</v>
      </c>
      <c r="B804">
        <v>35</v>
      </c>
      <c r="C804">
        <v>70000</v>
      </c>
      <c r="D804" t="s">
        <v>18</v>
      </c>
      <c r="E804" t="s">
        <v>12</v>
      </c>
      <c r="F804" t="s">
        <v>43</v>
      </c>
      <c r="G804" t="s">
        <v>40</v>
      </c>
      <c r="H804" t="s">
        <v>27</v>
      </c>
      <c r="I804" t="s">
        <v>22</v>
      </c>
      <c r="J804" t="s">
        <v>16</v>
      </c>
    </row>
    <row r="805" spans="1:10" x14ac:dyDescent="0.35">
      <c r="A805" t="s">
        <v>35</v>
      </c>
      <c r="B805" t="s">
        <v>42</v>
      </c>
      <c r="C805">
        <v>65000</v>
      </c>
      <c r="D805" t="s">
        <v>36</v>
      </c>
      <c r="E805" t="s">
        <v>19</v>
      </c>
      <c r="F805" t="s">
        <v>13</v>
      </c>
      <c r="G805">
        <v>43195</v>
      </c>
      <c r="H805" t="s">
        <v>41</v>
      </c>
      <c r="I805" t="s">
        <v>15</v>
      </c>
      <c r="J805" t="s">
        <v>45</v>
      </c>
    </row>
    <row r="806" spans="1:10" x14ac:dyDescent="0.35">
      <c r="A806" t="s">
        <v>49</v>
      </c>
      <c r="B806">
        <v>35</v>
      </c>
      <c r="C806">
        <v>50000</v>
      </c>
      <c r="D806" t="s">
        <v>11</v>
      </c>
      <c r="E806" t="s">
        <v>37</v>
      </c>
      <c r="F806" t="s">
        <v>20</v>
      </c>
      <c r="G806">
        <v>43881</v>
      </c>
      <c r="H806" t="s">
        <v>31</v>
      </c>
      <c r="J806" t="s">
        <v>33</v>
      </c>
    </row>
    <row r="807" spans="1:10" x14ac:dyDescent="0.35">
      <c r="A807" t="s">
        <v>48</v>
      </c>
      <c r="B807">
        <v>50</v>
      </c>
      <c r="C807">
        <v>70000</v>
      </c>
      <c r="D807" t="s">
        <v>36</v>
      </c>
      <c r="E807" t="s">
        <v>19</v>
      </c>
      <c r="F807" t="s">
        <v>44</v>
      </c>
      <c r="G807" t="s">
        <v>40</v>
      </c>
      <c r="H807" t="s">
        <v>21</v>
      </c>
      <c r="I807" t="s">
        <v>15</v>
      </c>
      <c r="J807" t="s">
        <v>16</v>
      </c>
    </row>
    <row r="808" spans="1:10" x14ac:dyDescent="0.35">
      <c r="A808" t="s">
        <v>17</v>
      </c>
      <c r="B808" t="s">
        <v>16</v>
      </c>
      <c r="C808">
        <v>55000</v>
      </c>
      <c r="D808" t="s">
        <v>36</v>
      </c>
      <c r="E808" t="s">
        <v>19</v>
      </c>
      <c r="F808" t="s">
        <v>43</v>
      </c>
      <c r="G808">
        <v>43195</v>
      </c>
      <c r="H808" t="s">
        <v>27</v>
      </c>
      <c r="I808" t="s">
        <v>22</v>
      </c>
      <c r="J808" t="s">
        <v>23</v>
      </c>
    </row>
    <row r="809" spans="1:10" x14ac:dyDescent="0.35">
      <c r="A809" t="s">
        <v>49</v>
      </c>
      <c r="B809">
        <v>40</v>
      </c>
      <c r="C809">
        <v>70000</v>
      </c>
      <c r="D809" t="s">
        <v>18</v>
      </c>
      <c r="E809" t="s">
        <v>26</v>
      </c>
      <c r="F809" t="s">
        <v>39</v>
      </c>
      <c r="G809">
        <v>43195</v>
      </c>
      <c r="H809" t="s">
        <v>14</v>
      </c>
      <c r="I809" t="s">
        <v>16</v>
      </c>
      <c r="J809" t="s">
        <v>16</v>
      </c>
    </row>
    <row r="810" spans="1:10" x14ac:dyDescent="0.35">
      <c r="A810" t="s">
        <v>17</v>
      </c>
      <c r="B810">
        <v>40</v>
      </c>
      <c r="C810">
        <v>65000</v>
      </c>
      <c r="D810" t="s">
        <v>18</v>
      </c>
      <c r="E810" t="s">
        <v>19</v>
      </c>
      <c r="F810" t="s">
        <v>13</v>
      </c>
      <c r="G810" t="s">
        <v>40</v>
      </c>
      <c r="H810" t="s">
        <v>41</v>
      </c>
      <c r="I810" t="s">
        <v>22</v>
      </c>
      <c r="J810" t="s">
        <v>45</v>
      </c>
    </row>
    <row r="811" spans="1:10" x14ac:dyDescent="0.35">
      <c r="A811" t="s">
        <v>35</v>
      </c>
      <c r="B811">
        <v>40</v>
      </c>
      <c r="C811" t="s">
        <v>34</v>
      </c>
      <c r="D811" t="s">
        <v>36</v>
      </c>
      <c r="E811" t="s">
        <v>19</v>
      </c>
      <c r="F811" t="s">
        <v>44</v>
      </c>
      <c r="G811">
        <v>43881</v>
      </c>
      <c r="H811" t="s">
        <v>31</v>
      </c>
      <c r="I811" t="s">
        <v>32</v>
      </c>
      <c r="J811" t="s">
        <v>28</v>
      </c>
    </row>
    <row r="812" spans="1:10" x14ac:dyDescent="0.35">
      <c r="A812" t="s">
        <v>38</v>
      </c>
      <c r="B812">
        <v>35</v>
      </c>
      <c r="C812">
        <v>55000</v>
      </c>
      <c r="D812" t="s">
        <v>11</v>
      </c>
      <c r="E812" t="s">
        <v>37</v>
      </c>
      <c r="F812" t="s">
        <v>13</v>
      </c>
      <c r="G812">
        <v>43195</v>
      </c>
      <c r="H812" t="s">
        <v>41</v>
      </c>
      <c r="I812" t="s">
        <v>32</v>
      </c>
      <c r="J812" t="s">
        <v>28</v>
      </c>
    </row>
    <row r="813" spans="1:10" x14ac:dyDescent="0.35">
      <c r="A813" t="s">
        <v>49</v>
      </c>
      <c r="B813" t="s">
        <v>16</v>
      </c>
      <c r="C813">
        <v>65000</v>
      </c>
      <c r="D813" t="s">
        <v>36</v>
      </c>
      <c r="E813" t="s">
        <v>26</v>
      </c>
      <c r="F813" t="s">
        <v>20</v>
      </c>
      <c r="G813" t="s">
        <v>40</v>
      </c>
      <c r="H813" t="s">
        <v>14</v>
      </c>
      <c r="I813" t="s">
        <v>32</v>
      </c>
      <c r="J813" t="s">
        <v>28</v>
      </c>
    </row>
    <row r="814" spans="1:10" x14ac:dyDescent="0.35">
      <c r="A814" t="s">
        <v>47</v>
      </c>
      <c r="B814" t="s">
        <v>42</v>
      </c>
      <c r="C814" t="s">
        <v>34</v>
      </c>
      <c r="D814" t="s">
        <v>11</v>
      </c>
      <c r="E814" t="s">
        <v>19</v>
      </c>
      <c r="F814" t="s">
        <v>39</v>
      </c>
      <c r="G814">
        <v>43881</v>
      </c>
      <c r="H814" t="s">
        <v>31</v>
      </c>
      <c r="I814" t="s">
        <v>32</v>
      </c>
      <c r="J814" t="s">
        <v>23</v>
      </c>
    </row>
    <row r="815" spans="1:10" x14ac:dyDescent="0.35">
      <c r="A815" t="s">
        <v>17</v>
      </c>
      <c r="B815">
        <v>50</v>
      </c>
      <c r="C815">
        <v>55000</v>
      </c>
      <c r="D815" t="s">
        <v>11</v>
      </c>
      <c r="E815" t="s">
        <v>30</v>
      </c>
      <c r="F815" t="s">
        <v>13</v>
      </c>
      <c r="G815" t="s">
        <v>40</v>
      </c>
      <c r="H815" t="s">
        <v>14</v>
      </c>
      <c r="J815" t="s">
        <v>45</v>
      </c>
    </row>
    <row r="816" spans="1:10" x14ac:dyDescent="0.35">
      <c r="A816" t="s">
        <v>46</v>
      </c>
      <c r="B816" t="s">
        <v>42</v>
      </c>
      <c r="C816" t="s">
        <v>25</v>
      </c>
      <c r="D816" t="s">
        <v>18</v>
      </c>
      <c r="E816" t="s">
        <v>12</v>
      </c>
      <c r="F816" t="s">
        <v>43</v>
      </c>
      <c r="G816" t="s">
        <v>40</v>
      </c>
      <c r="H816" t="s">
        <v>41</v>
      </c>
      <c r="I816" t="s">
        <v>16</v>
      </c>
      <c r="J816" t="s">
        <v>33</v>
      </c>
    </row>
    <row r="817" spans="1:10" x14ac:dyDescent="0.35">
      <c r="A817" t="s">
        <v>47</v>
      </c>
      <c r="B817">
        <v>35</v>
      </c>
      <c r="C817">
        <v>50000</v>
      </c>
      <c r="D817" t="s">
        <v>11</v>
      </c>
      <c r="E817" t="s">
        <v>37</v>
      </c>
      <c r="F817" t="s">
        <v>39</v>
      </c>
      <c r="G817">
        <v>43195</v>
      </c>
      <c r="H817" t="s">
        <v>27</v>
      </c>
      <c r="I817" t="s">
        <v>16</v>
      </c>
      <c r="J817" t="s">
        <v>28</v>
      </c>
    </row>
    <row r="818" spans="1:10" x14ac:dyDescent="0.35">
      <c r="A818" t="s">
        <v>24</v>
      </c>
      <c r="B818">
        <v>50</v>
      </c>
      <c r="C818">
        <v>50000</v>
      </c>
      <c r="D818" t="s">
        <v>11</v>
      </c>
      <c r="E818" t="s">
        <v>19</v>
      </c>
      <c r="F818" t="s">
        <v>43</v>
      </c>
      <c r="G818">
        <v>43881</v>
      </c>
      <c r="H818" t="s">
        <v>41</v>
      </c>
      <c r="I818" t="s">
        <v>22</v>
      </c>
      <c r="J818" t="s">
        <v>45</v>
      </c>
    </row>
    <row r="819" spans="1:10" x14ac:dyDescent="0.35">
      <c r="A819" t="s">
        <v>24</v>
      </c>
      <c r="B819">
        <v>40</v>
      </c>
      <c r="C819">
        <v>65000</v>
      </c>
      <c r="D819" t="s">
        <v>36</v>
      </c>
      <c r="E819" t="s">
        <v>30</v>
      </c>
      <c r="F819" t="s">
        <v>13</v>
      </c>
      <c r="G819">
        <v>43195</v>
      </c>
      <c r="H819" t="s">
        <v>41</v>
      </c>
      <c r="I819" t="s">
        <v>15</v>
      </c>
      <c r="J819" t="s">
        <v>16</v>
      </c>
    </row>
    <row r="820" spans="1:10" x14ac:dyDescent="0.35">
      <c r="A820" t="s">
        <v>48</v>
      </c>
      <c r="B820">
        <v>25</v>
      </c>
      <c r="C820" t="s">
        <v>34</v>
      </c>
      <c r="D820" t="s">
        <v>18</v>
      </c>
      <c r="E820" t="s">
        <v>19</v>
      </c>
      <c r="F820" t="s">
        <v>39</v>
      </c>
      <c r="G820">
        <v>43845</v>
      </c>
      <c r="H820" t="s">
        <v>41</v>
      </c>
      <c r="I820" t="s">
        <v>22</v>
      </c>
      <c r="J820" t="s">
        <v>23</v>
      </c>
    </row>
    <row r="821" spans="1:10" x14ac:dyDescent="0.35">
      <c r="A821" t="s">
        <v>38</v>
      </c>
      <c r="B821">
        <v>35</v>
      </c>
      <c r="C821">
        <v>50000</v>
      </c>
      <c r="D821" t="s">
        <v>11</v>
      </c>
      <c r="E821" t="s">
        <v>19</v>
      </c>
      <c r="F821" t="s">
        <v>43</v>
      </c>
      <c r="G821">
        <v>43845</v>
      </c>
      <c r="H821" t="s">
        <v>21</v>
      </c>
      <c r="I821" t="s">
        <v>22</v>
      </c>
      <c r="J821" t="s">
        <v>45</v>
      </c>
    </row>
    <row r="822" spans="1:10" x14ac:dyDescent="0.35">
      <c r="A822" t="s">
        <v>35</v>
      </c>
      <c r="B822">
        <v>35</v>
      </c>
      <c r="C822" t="s">
        <v>34</v>
      </c>
      <c r="D822" t="s">
        <v>11</v>
      </c>
      <c r="E822" t="s">
        <v>26</v>
      </c>
      <c r="F822" t="s">
        <v>20</v>
      </c>
      <c r="G822">
        <v>43881</v>
      </c>
      <c r="H822" t="s">
        <v>14</v>
      </c>
      <c r="I822" t="s">
        <v>22</v>
      </c>
      <c r="J822" t="s">
        <v>45</v>
      </c>
    </row>
    <row r="823" spans="1:10" x14ac:dyDescent="0.35">
      <c r="A823" t="s">
        <v>49</v>
      </c>
      <c r="B823" t="s">
        <v>16</v>
      </c>
      <c r="C823" t="s">
        <v>34</v>
      </c>
      <c r="D823" t="s">
        <v>18</v>
      </c>
      <c r="E823" t="s">
        <v>26</v>
      </c>
      <c r="F823" t="s">
        <v>20</v>
      </c>
      <c r="G823" t="s">
        <v>40</v>
      </c>
      <c r="H823" t="s">
        <v>14</v>
      </c>
      <c r="I823" t="s">
        <v>22</v>
      </c>
      <c r="J823" t="s">
        <v>33</v>
      </c>
    </row>
    <row r="824" spans="1:10" x14ac:dyDescent="0.35">
      <c r="A824" t="s">
        <v>29</v>
      </c>
      <c r="B824" t="s">
        <v>42</v>
      </c>
      <c r="C824">
        <v>65000</v>
      </c>
      <c r="D824" t="s">
        <v>36</v>
      </c>
      <c r="E824" t="s">
        <v>26</v>
      </c>
      <c r="F824" t="s">
        <v>13</v>
      </c>
      <c r="G824">
        <v>43195</v>
      </c>
      <c r="H824" t="s">
        <v>14</v>
      </c>
      <c r="I824" t="s">
        <v>16</v>
      </c>
      <c r="J824" t="s">
        <v>45</v>
      </c>
    </row>
    <row r="825" spans="1:10" x14ac:dyDescent="0.35">
      <c r="A825" t="s">
        <v>46</v>
      </c>
      <c r="B825">
        <v>35</v>
      </c>
      <c r="C825">
        <v>65000</v>
      </c>
      <c r="D825" t="s">
        <v>18</v>
      </c>
      <c r="E825" t="s">
        <v>30</v>
      </c>
      <c r="F825" t="s">
        <v>39</v>
      </c>
      <c r="G825">
        <v>43195</v>
      </c>
      <c r="H825" t="s">
        <v>21</v>
      </c>
      <c r="I825" t="s">
        <v>15</v>
      </c>
      <c r="J825" t="s">
        <v>33</v>
      </c>
    </row>
    <row r="826" spans="1:10" x14ac:dyDescent="0.35">
      <c r="A826" t="s">
        <v>17</v>
      </c>
      <c r="B826">
        <v>35</v>
      </c>
      <c r="C826">
        <v>65000</v>
      </c>
      <c r="D826" t="s">
        <v>18</v>
      </c>
      <c r="E826" t="s">
        <v>19</v>
      </c>
      <c r="F826" t="s">
        <v>44</v>
      </c>
      <c r="G826">
        <v>43881</v>
      </c>
      <c r="H826" t="s">
        <v>27</v>
      </c>
      <c r="I826" t="s">
        <v>22</v>
      </c>
      <c r="J826" t="s">
        <v>23</v>
      </c>
    </row>
    <row r="827" spans="1:10" x14ac:dyDescent="0.35">
      <c r="A827" t="s">
        <v>35</v>
      </c>
      <c r="B827">
        <v>40</v>
      </c>
      <c r="C827">
        <v>50000</v>
      </c>
      <c r="D827" t="s">
        <v>11</v>
      </c>
      <c r="E827" t="s">
        <v>12</v>
      </c>
      <c r="F827" t="s">
        <v>39</v>
      </c>
      <c r="G827">
        <v>43881</v>
      </c>
      <c r="H827" t="s">
        <v>41</v>
      </c>
      <c r="I827" t="s">
        <v>16</v>
      </c>
      <c r="J827" t="s">
        <v>23</v>
      </c>
    </row>
    <row r="828" spans="1:10" x14ac:dyDescent="0.35">
      <c r="A828" t="s">
        <v>47</v>
      </c>
      <c r="B828">
        <v>40</v>
      </c>
      <c r="C828">
        <v>65000</v>
      </c>
      <c r="D828" t="s">
        <v>11</v>
      </c>
      <c r="E828" t="s">
        <v>37</v>
      </c>
      <c r="F828" t="s">
        <v>20</v>
      </c>
      <c r="G828">
        <v>43845</v>
      </c>
      <c r="H828" t="s">
        <v>27</v>
      </c>
      <c r="I828" t="s">
        <v>22</v>
      </c>
      <c r="J828" t="s">
        <v>16</v>
      </c>
    </row>
    <row r="829" spans="1:10" x14ac:dyDescent="0.35">
      <c r="A829" t="s">
        <v>24</v>
      </c>
      <c r="B829">
        <v>50</v>
      </c>
      <c r="C829">
        <v>50000</v>
      </c>
      <c r="D829" t="s">
        <v>36</v>
      </c>
      <c r="E829" t="s">
        <v>26</v>
      </c>
      <c r="F829" t="s">
        <v>43</v>
      </c>
      <c r="G829">
        <v>43549</v>
      </c>
      <c r="H829" t="s">
        <v>21</v>
      </c>
      <c r="I829" t="s">
        <v>32</v>
      </c>
      <c r="J829" t="s">
        <v>33</v>
      </c>
    </row>
    <row r="830" spans="1:10" x14ac:dyDescent="0.35">
      <c r="A830" t="s">
        <v>46</v>
      </c>
      <c r="B830">
        <v>25</v>
      </c>
      <c r="C830">
        <v>65000</v>
      </c>
      <c r="D830" t="s">
        <v>11</v>
      </c>
      <c r="E830" t="s">
        <v>26</v>
      </c>
      <c r="F830" t="s">
        <v>44</v>
      </c>
      <c r="G830">
        <v>43881</v>
      </c>
      <c r="H830" t="s">
        <v>14</v>
      </c>
      <c r="I830" t="s">
        <v>22</v>
      </c>
      <c r="J830" t="s">
        <v>33</v>
      </c>
    </row>
    <row r="831" spans="1:10" x14ac:dyDescent="0.35">
      <c r="A831" t="s">
        <v>29</v>
      </c>
      <c r="B831" t="s">
        <v>16</v>
      </c>
      <c r="C831">
        <v>70000</v>
      </c>
      <c r="D831" t="s">
        <v>11</v>
      </c>
      <c r="E831" t="s">
        <v>19</v>
      </c>
      <c r="F831" t="s">
        <v>13</v>
      </c>
      <c r="G831">
        <v>43549</v>
      </c>
      <c r="H831" t="s">
        <v>41</v>
      </c>
      <c r="I831" t="s">
        <v>22</v>
      </c>
      <c r="J831" t="s">
        <v>28</v>
      </c>
    </row>
    <row r="832" spans="1:10" x14ac:dyDescent="0.35">
      <c r="A832" t="s">
        <v>49</v>
      </c>
      <c r="B832">
        <v>25</v>
      </c>
      <c r="C832" t="s">
        <v>34</v>
      </c>
      <c r="D832" t="s">
        <v>18</v>
      </c>
      <c r="E832" t="s">
        <v>19</v>
      </c>
      <c r="F832" t="s">
        <v>44</v>
      </c>
      <c r="G832">
        <v>43881</v>
      </c>
      <c r="H832" t="s">
        <v>31</v>
      </c>
      <c r="J832" t="s">
        <v>28</v>
      </c>
    </row>
    <row r="833" spans="1:10" x14ac:dyDescent="0.35">
      <c r="A833" t="s">
        <v>48</v>
      </c>
      <c r="B833">
        <v>50</v>
      </c>
      <c r="C833">
        <v>65000</v>
      </c>
      <c r="D833" t="s">
        <v>11</v>
      </c>
      <c r="E833" t="s">
        <v>30</v>
      </c>
      <c r="F833" t="s">
        <v>13</v>
      </c>
      <c r="G833" t="s">
        <v>40</v>
      </c>
      <c r="H833" t="s">
        <v>31</v>
      </c>
      <c r="I833" t="s">
        <v>32</v>
      </c>
      <c r="J833" t="s">
        <v>16</v>
      </c>
    </row>
    <row r="834" spans="1:10" x14ac:dyDescent="0.35">
      <c r="A834" t="s">
        <v>29</v>
      </c>
      <c r="B834">
        <v>40</v>
      </c>
      <c r="C834">
        <v>55000</v>
      </c>
      <c r="D834" t="s">
        <v>36</v>
      </c>
      <c r="E834" t="s">
        <v>30</v>
      </c>
      <c r="F834" t="s">
        <v>44</v>
      </c>
      <c r="G834" t="s">
        <v>40</v>
      </c>
      <c r="H834" t="s">
        <v>27</v>
      </c>
      <c r="I834" t="s">
        <v>15</v>
      </c>
      <c r="J834" t="s">
        <v>23</v>
      </c>
    </row>
    <row r="835" spans="1:10" x14ac:dyDescent="0.35">
      <c r="A835" t="s">
        <v>46</v>
      </c>
      <c r="B835" t="s">
        <v>42</v>
      </c>
      <c r="C835" t="s">
        <v>34</v>
      </c>
      <c r="D835" t="s">
        <v>18</v>
      </c>
      <c r="E835" t="s">
        <v>26</v>
      </c>
      <c r="F835" t="s">
        <v>13</v>
      </c>
      <c r="G835">
        <v>43845</v>
      </c>
      <c r="H835" t="s">
        <v>14</v>
      </c>
      <c r="I835" t="s">
        <v>22</v>
      </c>
      <c r="J835" t="s">
        <v>28</v>
      </c>
    </row>
    <row r="836" spans="1:10" x14ac:dyDescent="0.35">
      <c r="A836" t="s">
        <v>29</v>
      </c>
      <c r="B836">
        <v>40</v>
      </c>
      <c r="C836" t="s">
        <v>34</v>
      </c>
      <c r="D836" t="s">
        <v>36</v>
      </c>
      <c r="E836" t="s">
        <v>19</v>
      </c>
      <c r="F836" t="s">
        <v>13</v>
      </c>
      <c r="G836">
        <v>43845</v>
      </c>
      <c r="H836" t="s">
        <v>31</v>
      </c>
      <c r="I836" t="s">
        <v>15</v>
      </c>
      <c r="J836" t="s">
        <v>45</v>
      </c>
    </row>
    <row r="837" spans="1:10" x14ac:dyDescent="0.35">
      <c r="A837" t="s">
        <v>46</v>
      </c>
      <c r="B837" t="s">
        <v>16</v>
      </c>
      <c r="C837">
        <v>65000</v>
      </c>
      <c r="D837" t="s">
        <v>18</v>
      </c>
      <c r="E837" t="s">
        <v>12</v>
      </c>
      <c r="F837" t="s">
        <v>44</v>
      </c>
      <c r="G837">
        <v>43549</v>
      </c>
      <c r="H837" t="s">
        <v>27</v>
      </c>
      <c r="I837" t="s">
        <v>32</v>
      </c>
      <c r="J837" t="s">
        <v>23</v>
      </c>
    </row>
    <row r="838" spans="1:10" x14ac:dyDescent="0.35">
      <c r="A838" t="s">
        <v>46</v>
      </c>
      <c r="B838">
        <v>40</v>
      </c>
      <c r="C838" t="s">
        <v>25</v>
      </c>
      <c r="D838" t="s">
        <v>11</v>
      </c>
      <c r="E838" t="s">
        <v>37</v>
      </c>
      <c r="F838" t="s">
        <v>44</v>
      </c>
      <c r="G838">
        <v>43881</v>
      </c>
      <c r="H838" t="s">
        <v>21</v>
      </c>
      <c r="I838" t="s">
        <v>22</v>
      </c>
      <c r="J838" t="s">
        <v>45</v>
      </c>
    </row>
    <row r="839" spans="1:10" x14ac:dyDescent="0.35">
      <c r="A839" t="s">
        <v>10</v>
      </c>
      <c r="B839" t="s">
        <v>16</v>
      </c>
      <c r="C839">
        <v>65000</v>
      </c>
      <c r="D839" t="s">
        <v>18</v>
      </c>
      <c r="E839" t="s">
        <v>19</v>
      </c>
      <c r="F839" t="s">
        <v>13</v>
      </c>
      <c r="G839">
        <v>43195</v>
      </c>
      <c r="H839" t="s">
        <v>27</v>
      </c>
      <c r="J839" t="s">
        <v>33</v>
      </c>
    </row>
    <row r="840" spans="1:10" x14ac:dyDescent="0.35">
      <c r="A840" t="s">
        <v>17</v>
      </c>
      <c r="B840" t="s">
        <v>16</v>
      </c>
      <c r="C840" t="s">
        <v>34</v>
      </c>
      <c r="D840" t="s">
        <v>18</v>
      </c>
      <c r="E840" t="s">
        <v>19</v>
      </c>
      <c r="F840" t="s">
        <v>20</v>
      </c>
      <c r="G840">
        <v>43845</v>
      </c>
      <c r="H840" t="s">
        <v>27</v>
      </c>
      <c r="I840" t="s">
        <v>16</v>
      </c>
      <c r="J840" t="s">
        <v>23</v>
      </c>
    </row>
    <row r="841" spans="1:10" x14ac:dyDescent="0.35">
      <c r="A841" t="s">
        <v>24</v>
      </c>
      <c r="B841" t="s">
        <v>16</v>
      </c>
      <c r="C841">
        <v>55000</v>
      </c>
      <c r="D841" t="s">
        <v>11</v>
      </c>
      <c r="E841" t="s">
        <v>30</v>
      </c>
      <c r="F841" t="s">
        <v>44</v>
      </c>
      <c r="G841">
        <v>43195</v>
      </c>
      <c r="H841" t="s">
        <v>27</v>
      </c>
      <c r="J841" t="s">
        <v>16</v>
      </c>
    </row>
    <row r="842" spans="1:10" x14ac:dyDescent="0.35">
      <c r="A842" t="s">
        <v>10</v>
      </c>
      <c r="B842">
        <v>50</v>
      </c>
      <c r="C842" t="s">
        <v>34</v>
      </c>
      <c r="D842" t="s">
        <v>11</v>
      </c>
      <c r="E842" t="s">
        <v>37</v>
      </c>
      <c r="F842" t="s">
        <v>39</v>
      </c>
      <c r="G842">
        <v>43195</v>
      </c>
      <c r="H842" t="s">
        <v>41</v>
      </c>
      <c r="J842" t="s">
        <v>33</v>
      </c>
    </row>
    <row r="843" spans="1:10" x14ac:dyDescent="0.35">
      <c r="A843" t="s">
        <v>49</v>
      </c>
      <c r="B843" t="s">
        <v>16</v>
      </c>
      <c r="C843">
        <v>55000</v>
      </c>
      <c r="D843" t="s">
        <v>36</v>
      </c>
      <c r="E843" t="s">
        <v>26</v>
      </c>
      <c r="F843" t="s">
        <v>43</v>
      </c>
      <c r="G843">
        <v>43881</v>
      </c>
      <c r="H843" t="s">
        <v>27</v>
      </c>
      <c r="I843" t="s">
        <v>16</v>
      </c>
      <c r="J843" t="s">
        <v>33</v>
      </c>
    </row>
    <row r="844" spans="1:10" x14ac:dyDescent="0.35">
      <c r="A844" t="s">
        <v>10</v>
      </c>
      <c r="B844" t="s">
        <v>16</v>
      </c>
      <c r="C844">
        <v>50000</v>
      </c>
      <c r="D844" t="s">
        <v>36</v>
      </c>
      <c r="E844" t="s">
        <v>19</v>
      </c>
      <c r="F844" t="s">
        <v>13</v>
      </c>
      <c r="G844">
        <v>43549</v>
      </c>
      <c r="H844" t="s">
        <v>27</v>
      </c>
      <c r="I844" t="s">
        <v>16</v>
      </c>
      <c r="J844" t="s">
        <v>45</v>
      </c>
    </row>
    <row r="845" spans="1:10" x14ac:dyDescent="0.35">
      <c r="A845" t="s">
        <v>38</v>
      </c>
      <c r="B845" t="s">
        <v>42</v>
      </c>
      <c r="C845">
        <v>70000</v>
      </c>
      <c r="D845" t="s">
        <v>11</v>
      </c>
      <c r="E845" t="s">
        <v>26</v>
      </c>
      <c r="F845" t="s">
        <v>13</v>
      </c>
      <c r="G845">
        <v>43881</v>
      </c>
      <c r="H845" t="s">
        <v>41</v>
      </c>
      <c r="I845" t="s">
        <v>16</v>
      </c>
      <c r="J845" t="s">
        <v>33</v>
      </c>
    </row>
    <row r="846" spans="1:10" x14ac:dyDescent="0.35">
      <c r="A846" t="s">
        <v>38</v>
      </c>
      <c r="B846">
        <v>25</v>
      </c>
      <c r="C846" t="s">
        <v>34</v>
      </c>
      <c r="D846" t="s">
        <v>11</v>
      </c>
      <c r="E846" t="s">
        <v>19</v>
      </c>
      <c r="F846" t="s">
        <v>43</v>
      </c>
      <c r="G846">
        <v>43845</v>
      </c>
      <c r="H846" t="s">
        <v>41</v>
      </c>
      <c r="I846" t="s">
        <v>22</v>
      </c>
      <c r="J846" t="s">
        <v>28</v>
      </c>
    </row>
    <row r="847" spans="1:10" x14ac:dyDescent="0.35">
      <c r="A847" t="s">
        <v>24</v>
      </c>
      <c r="B847">
        <v>35</v>
      </c>
      <c r="C847">
        <v>65000</v>
      </c>
      <c r="D847" t="s">
        <v>11</v>
      </c>
      <c r="E847" t="s">
        <v>26</v>
      </c>
      <c r="F847" t="s">
        <v>20</v>
      </c>
      <c r="G847">
        <v>43195</v>
      </c>
      <c r="H847" t="s">
        <v>21</v>
      </c>
      <c r="I847" t="s">
        <v>15</v>
      </c>
      <c r="J847" t="s">
        <v>23</v>
      </c>
    </row>
    <row r="848" spans="1:10" x14ac:dyDescent="0.35">
      <c r="A848" t="s">
        <v>29</v>
      </c>
      <c r="B848">
        <v>25</v>
      </c>
      <c r="C848">
        <v>50000</v>
      </c>
      <c r="D848" t="s">
        <v>18</v>
      </c>
      <c r="E848" t="s">
        <v>37</v>
      </c>
      <c r="F848" t="s">
        <v>43</v>
      </c>
      <c r="G848">
        <v>43881</v>
      </c>
      <c r="H848" t="s">
        <v>14</v>
      </c>
      <c r="I848" t="s">
        <v>15</v>
      </c>
      <c r="J848" t="s">
        <v>28</v>
      </c>
    </row>
    <row r="849" spans="1:10" x14ac:dyDescent="0.35">
      <c r="A849" t="s">
        <v>17</v>
      </c>
      <c r="B849" t="s">
        <v>16</v>
      </c>
      <c r="C849">
        <v>70000</v>
      </c>
      <c r="D849" t="s">
        <v>18</v>
      </c>
      <c r="E849" t="s">
        <v>30</v>
      </c>
      <c r="F849" t="s">
        <v>44</v>
      </c>
      <c r="G849">
        <v>43881</v>
      </c>
      <c r="H849" t="s">
        <v>31</v>
      </c>
      <c r="I849" t="s">
        <v>16</v>
      </c>
      <c r="J849" t="s">
        <v>45</v>
      </c>
    </row>
    <row r="850" spans="1:10" x14ac:dyDescent="0.35">
      <c r="A850" t="s">
        <v>24</v>
      </c>
      <c r="B850" t="s">
        <v>42</v>
      </c>
      <c r="C850">
        <v>65000</v>
      </c>
      <c r="D850" t="s">
        <v>18</v>
      </c>
      <c r="E850" t="s">
        <v>37</v>
      </c>
      <c r="F850" t="s">
        <v>43</v>
      </c>
      <c r="G850">
        <v>43881</v>
      </c>
      <c r="H850" t="s">
        <v>31</v>
      </c>
      <c r="J850" t="s">
        <v>45</v>
      </c>
    </row>
    <row r="851" spans="1:10" x14ac:dyDescent="0.35">
      <c r="A851" t="s">
        <v>46</v>
      </c>
      <c r="B851">
        <v>40</v>
      </c>
      <c r="C851" t="s">
        <v>25</v>
      </c>
      <c r="D851" t="s">
        <v>11</v>
      </c>
      <c r="E851" t="s">
        <v>12</v>
      </c>
      <c r="F851" t="s">
        <v>13</v>
      </c>
      <c r="G851">
        <v>43845</v>
      </c>
      <c r="H851" t="s">
        <v>27</v>
      </c>
      <c r="I851" t="s">
        <v>32</v>
      </c>
      <c r="J851" t="s">
        <v>23</v>
      </c>
    </row>
    <row r="852" spans="1:10" x14ac:dyDescent="0.35">
      <c r="A852" t="s">
        <v>47</v>
      </c>
      <c r="B852" t="s">
        <v>42</v>
      </c>
      <c r="C852">
        <v>65000</v>
      </c>
      <c r="D852" t="s">
        <v>36</v>
      </c>
      <c r="E852" t="s">
        <v>30</v>
      </c>
      <c r="F852" t="s">
        <v>43</v>
      </c>
      <c r="G852">
        <v>43549</v>
      </c>
      <c r="H852" t="s">
        <v>21</v>
      </c>
      <c r="I852" t="s">
        <v>16</v>
      </c>
      <c r="J852" t="s">
        <v>33</v>
      </c>
    </row>
    <row r="853" spans="1:10" x14ac:dyDescent="0.35">
      <c r="A853" t="s">
        <v>17</v>
      </c>
      <c r="B853" t="s">
        <v>16</v>
      </c>
      <c r="C853">
        <v>55000</v>
      </c>
      <c r="D853" t="s">
        <v>11</v>
      </c>
      <c r="E853" t="s">
        <v>37</v>
      </c>
      <c r="F853" t="s">
        <v>39</v>
      </c>
      <c r="G853">
        <v>43881</v>
      </c>
      <c r="H853" t="s">
        <v>27</v>
      </c>
      <c r="J853" t="s">
        <v>16</v>
      </c>
    </row>
    <row r="854" spans="1:10" x14ac:dyDescent="0.35">
      <c r="A854" t="s">
        <v>17</v>
      </c>
      <c r="B854" t="s">
        <v>42</v>
      </c>
      <c r="C854">
        <v>55000</v>
      </c>
      <c r="D854" t="s">
        <v>18</v>
      </c>
      <c r="E854" t="s">
        <v>12</v>
      </c>
      <c r="F854" t="s">
        <v>44</v>
      </c>
      <c r="G854">
        <v>43845</v>
      </c>
      <c r="H854" t="s">
        <v>31</v>
      </c>
      <c r="J854" t="s">
        <v>45</v>
      </c>
    </row>
    <row r="855" spans="1:10" x14ac:dyDescent="0.35">
      <c r="A855" t="s">
        <v>46</v>
      </c>
      <c r="B855" t="s">
        <v>42</v>
      </c>
      <c r="C855" t="s">
        <v>25</v>
      </c>
      <c r="D855" t="s">
        <v>18</v>
      </c>
      <c r="E855" t="s">
        <v>19</v>
      </c>
      <c r="F855" t="s">
        <v>43</v>
      </c>
      <c r="G855">
        <v>43195</v>
      </c>
      <c r="H855" t="s">
        <v>41</v>
      </c>
      <c r="I855" t="s">
        <v>22</v>
      </c>
      <c r="J855" t="s">
        <v>23</v>
      </c>
    </row>
    <row r="856" spans="1:10" x14ac:dyDescent="0.35">
      <c r="A856" t="s">
        <v>46</v>
      </c>
      <c r="B856" t="s">
        <v>16</v>
      </c>
      <c r="C856">
        <v>50000</v>
      </c>
      <c r="D856" t="s">
        <v>11</v>
      </c>
      <c r="E856" t="s">
        <v>19</v>
      </c>
      <c r="F856" t="s">
        <v>13</v>
      </c>
      <c r="G856" t="s">
        <v>40</v>
      </c>
      <c r="H856" t="s">
        <v>14</v>
      </c>
      <c r="I856" t="s">
        <v>22</v>
      </c>
      <c r="J856" t="s">
        <v>16</v>
      </c>
    </row>
    <row r="857" spans="1:10" x14ac:dyDescent="0.35">
      <c r="A857" t="s">
        <v>48</v>
      </c>
      <c r="B857">
        <v>50</v>
      </c>
      <c r="C857">
        <v>70000</v>
      </c>
      <c r="D857" t="s">
        <v>11</v>
      </c>
      <c r="E857" t="s">
        <v>26</v>
      </c>
      <c r="F857" t="s">
        <v>44</v>
      </c>
      <c r="G857">
        <v>43845</v>
      </c>
      <c r="H857" t="s">
        <v>21</v>
      </c>
      <c r="I857" t="s">
        <v>15</v>
      </c>
      <c r="J857" t="s">
        <v>33</v>
      </c>
    </row>
    <row r="858" spans="1:10" x14ac:dyDescent="0.35">
      <c r="A858" t="s">
        <v>24</v>
      </c>
      <c r="B858" t="s">
        <v>42</v>
      </c>
      <c r="C858">
        <v>65000</v>
      </c>
      <c r="D858" t="s">
        <v>18</v>
      </c>
      <c r="E858" t="s">
        <v>30</v>
      </c>
      <c r="F858" t="s">
        <v>13</v>
      </c>
      <c r="G858" t="s">
        <v>40</v>
      </c>
      <c r="H858" t="s">
        <v>41</v>
      </c>
      <c r="I858" t="s">
        <v>15</v>
      </c>
      <c r="J858" t="s">
        <v>45</v>
      </c>
    </row>
    <row r="859" spans="1:10" x14ac:dyDescent="0.35">
      <c r="A859" t="s">
        <v>46</v>
      </c>
      <c r="B859">
        <v>35</v>
      </c>
      <c r="C859">
        <v>55000</v>
      </c>
      <c r="D859" t="s">
        <v>18</v>
      </c>
      <c r="E859" t="s">
        <v>19</v>
      </c>
      <c r="F859" t="s">
        <v>20</v>
      </c>
      <c r="G859">
        <v>43881</v>
      </c>
      <c r="H859" t="s">
        <v>14</v>
      </c>
      <c r="I859" t="s">
        <v>32</v>
      </c>
      <c r="J859" t="s">
        <v>23</v>
      </c>
    </row>
    <row r="860" spans="1:10" x14ac:dyDescent="0.35">
      <c r="A860" t="s">
        <v>38</v>
      </c>
      <c r="B860">
        <v>35</v>
      </c>
      <c r="C860">
        <v>50000</v>
      </c>
      <c r="D860" t="s">
        <v>18</v>
      </c>
      <c r="E860" t="s">
        <v>30</v>
      </c>
      <c r="F860" t="s">
        <v>39</v>
      </c>
      <c r="G860">
        <v>43881</v>
      </c>
      <c r="H860" t="s">
        <v>21</v>
      </c>
      <c r="I860" t="s">
        <v>32</v>
      </c>
      <c r="J860" t="s">
        <v>23</v>
      </c>
    </row>
    <row r="861" spans="1:10" x14ac:dyDescent="0.35">
      <c r="A861" t="s">
        <v>49</v>
      </c>
      <c r="B861" t="s">
        <v>42</v>
      </c>
      <c r="C861" t="s">
        <v>25</v>
      </c>
      <c r="D861" t="s">
        <v>11</v>
      </c>
      <c r="E861" t="s">
        <v>19</v>
      </c>
      <c r="F861" t="s">
        <v>20</v>
      </c>
      <c r="G861">
        <v>43845</v>
      </c>
      <c r="H861" t="s">
        <v>21</v>
      </c>
      <c r="I861" t="s">
        <v>32</v>
      </c>
      <c r="J861" t="s">
        <v>23</v>
      </c>
    </row>
    <row r="862" spans="1:10" x14ac:dyDescent="0.35">
      <c r="A862" t="s">
        <v>47</v>
      </c>
      <c r="B862">
        <v>50</v>
      </c>
      <c r="C862" t="s">
        <v>34</v>
      </c>
      <c r="D862" t="s">
        <v>18</v>
      </c>
      <c r="E862" t="s">
        <v>26</v>
      </c>
      <c r="F862" t="s">
        <v>39</v>
      </c>
      <c r="G862" t="s">
        <v>40</v>
      </c>
      <c r="H862" t="s">
        <v>31</v>
      </c>
      <c r="I862" t="s">
        <v>32</v>
      </c>
      <c r="J862" t="s">
        <v>45</v>
      </c>
    </row>
    <row r="863" spans="1:10" x14ac:dyDescent="0.35">
      <c r="A863" t="s">
        <v>24</v>
      </c>
      <c r="B863">
        <v>40</v>
      </c>
      <c r="C863">
        <v>55000</v>
      </c>
      <c r="D863" t="s">
        <v>18</v>
      </c>
      <c r="E863" t="s">
        <v>37</v>
      </c>
      <c r="F863" t="s">
        <v>43</v>
      </c>
      <c r="G863">
        <v>43881</v>
      </c>
      <c r="H863" t="s">
        <v>41</v>
      </c>
      <c r="J863" t="s">
        <v>16</v>
      </c>
    </row>
    <row r="864" spans="1:10" x14ac:dyDescent="0.35">
      <c r="A864" t="s">
        <v>35</v>
      </c>
      <c r="B864" t="s">
        <v>16</v>
      </c>
      <c r="C864" t="s">
        <v>25</v>
      </c>
      <c r="D864" t="s">
        <v>36</v>
      </c>
      <c r="E864" t="s">
        <v>26</v>
      </c>
      <c r="F864" t="s">
        <v>44</v>
      </c>
      <c r="G864">
        <v>43195</v>
      </c>
      <c r="H864" t="s">
        <v>21</v>
      </c>
      <c r="J864" t="s">
        <v>23</v>
      </c>
    </row>
    <row r="865" spans="1:10" x14ac:dyDescent="0.35">
      <c r="A865" t="s">
        <v>38</v>
      </c>
      <c r="B865">
        <v>35</v>
      </c>
      <c r="C865">
        <v>65000</v>
      </c>
      <c r="D865" t="s">
        <v>11</v>
      </c>
      <c r="E865" t="s">
        <v>12</v>
      </c>
      <c r="F865" t="s">
        <v>43</v>
      </c>
      <c r="G865">
        <v>43549</v>
      </c>
      <c r="H865" t="s">
        <v>21</v>
      </c>
      <c r="I865" t="s">
        <v>15</v>
      </c>
      <c r="J865" t="s">
        <v>33</v>
      </c>
    </row>
    <row r="866" spans="1:10" x14ac:dyDescent="0.35">
      <c r="A866" t="s">
        <v>29</v>
      </c>
      <c r="B866">
        <v>40</v>
      </c>
      <c r="C866">
        <v>70000</v>
      </c>
      <c r="D866" t="s">
        <v>36</v>
      </c>
      <c r="E866" t="s">
        <v>19</v>
      </c>
      <c r="F866" t="s">
        <v>39</v>
      </c>
      <c r="G866">
        <v>43549</v>
      </c>
      <c r="H866" t="s">
        <v>14</v>
      </c>
      <c r="I866" t="s">
        <v>22</v>
      </c>
      <c r="J866" t="s">
        <v>23</v>
      </c>
    </row>
    <row r="867" spans="1:10" x14ac:dyDescent="0.35">
      <c r="A867" t="s">
        <v>46</v>
      </c>
      <c r="B867" t="s">
        <v>42</v>
      </c>
      <c r="C867">
        <v>55000</v>
      </c>
      <c r="D867" t="s">
        <v>36</v>
      </c>
      <c r="E867" t="s">
        <v>12</v>
      </c>
      <c r="F867" t="s">
        <v>39</v>
      </c>
      <c r="G867">
        <v>43881</v>
      </c>
      <c r="H867" t="s">
        <v>31</v>
      </c>
      <c r="I867" t="s">
        <v>22</v>
      </c>
      <c r="J867" t="s">
        <v>16</v>
      </c>
    </row>
    <row r="868" spans="1:10" x14ac:dyDescent="0.35">
      <c r="A868" t="s">
        <v>35</v>
      </c>
      <c r="B868">
        <v>40</v>
      </c>
      <c r="C868">
        <v>55000</v>
      </c>
      <c r="D868" t="s">
        <v>18</v>
      </c>
      <c r="E868" t="s">
        <v>12</v>
      </c>
      <c r="F868" t="s">
        <v>39</v>
      </c>
      <c r="G868" t="s">
        <v>40</v>
      </c>
      <c r="H868" t="s">
        <v>27</v>
      </c>
      <c r="I868" t="s">
        <v>16</v>
      </c>
      <c r="J868" t="s">
        <v>45</v>
      </c>
    </row>
    <row r="869" spans="1:10" x14ac:dyDescent="0.35">
      <c r="A869" t="s">
        <v>46</v>
      </c>
      <c r="B869">
        <v>25</v>
      </c>
      <c r="C869">
        <v>65000</v>
      </c>
      <c r="D869" t="s">
        <v>11</v>
      </c>
      <c r="E869" t="s">
        <v>30</v>
      </c>
      <c r="F869" t="s">
        <v>13</v>
      </c>
      <c r="G869">
        <v>43881</v>
      </c>
      <c r="H869" t="s">
        <v>31</v>
      </c>
      <c r="J869" t="s">
        <v>23</v>
      </c>
    </row>
    <row r="870" spans="1:10" x14ac:dyDescent="0.35">
      <c r="A870" t="s">
        <v>17</v>
      </c>
      <c r="B870">
        <v>35</v>
      </c>
      <c r="C870" t="s">
        <v>34</v>
      </c>
      <c r="D870" t="s">
        <v>18</v>
      </c>
      <c r="E870" t="s">
        <v>19</v>
      </c>
      <c r="F870" t="s">
        <v>44</v>
      </c>
      <c r="G870" t="s">
        <v>40</v>
      </c>
      <c r="H870" t="s">
        <v>27</v>
      </c>
      <c r="I870" t="s">
        <v>32</v>
      </c>
      <c r="J870" t="s">
        <v>23</v>
      </c>
    </row>
    <row r="871" spans="1:10" x14ac:dyDescent="0.35">
      <c r="A871" t="s">
        <v>38</v>
      </c>
      <c r="B871" t="s">
        <v>42</v>
      </c>
      <c r="C871">
        <v>50000</v>
      </c>
      <c r="D871" t="s">
        <v>11</v>
      </c>
      <c r="E871" t="s">
        <v>12</v>
      </c>
      <c r="F871" t="s">
        <v>43</v>
      </c>
      <c r="G871">
        <v>43195</v>
      </c>
      <c r="H871" t="s">
        <v>41</v>
      </c>
      <c r="I871" t="s">
        <v>32</v>
      </c>
      <c r="J871" t="s">
        <v>33</v>
      </c>
    </row>
    <row r="872" spans="1:10" x14ac:dyDescent="0.35">
      <c r="A872" t="s">
        <v>17</v>
      </c>
      <c r="B872" t="s">
        <v>16</v>
      </c>
      <c r="C872">
        <v>70000</v>
      </c>
      <c r="D872" t="s">
        <v>36</v>
      </c>
      <c r="E872" t="s">
        <v>37</v>
      </c>
      <c r="F872" t="s">
        <v>43</v>
      </c>
      <c r="G872" t="s">
        <v>40</v>
      </c>
      <c r="H872" t="s">
        <v>41</v>
      </c>
      <c r="I872" t="s">
        <v>16</v>
      </c>
      <c r="J872" t="s">
        <v>33</v>
      </c>
    </row>
    <row r="873" spans="1:10" x14ac:dyDescent="0.35">
      <c r="A873" t="s">
        <v>48</v>
      </c>
      <c r="B873">
        <v>50</v>
      </c>
      <c r="C873">
        <v>55000</v>
      </c>
      <c r="D873" t="s">
        <v>11</v>
      </c>
      <c r="E873" t="s">
        <v>12</v>
      </c>
      <c r="F873" t="s">
        <v>20</v>
      </c>
      <c r="G873">
        <v>43881</v>
      </c>
      <c r="H873" t="s">
        <v>21</v>
      </c>
      <c r="I873" t="s">
        <v>22</v>
      </c>
      <c r="J873" t="s">
        <v>23</v>
      </c>
    </row>
    <row r="874" spans="1:10" x14ac:dyDescent="0.35">
      <c r="A874" t="s">
        <v>17</v>
      </c>
      <c r="B874" t="s">
        <v>42</v>
      </c>
      <c r="C874">
        <v>70000</v>
      </c>
      <c r="D874" t="s">
        <v>18</v>
      </c>
      <c r="E874" t="s">
        <v>37</v>
      </c>
      <c r="F874" t="s">
        <v>39</v>
      </c>
      <c r="G874">
        <v>43195</v>
      </c>
      <c r="H874" t="s">
        <v>41</v>
      </c>
      <c r="I874" t="s">
        <v>32</v>
      </c>
      <c r="J874" t="s">
        <v>23</v>
      </c>
    </row>
    <row r="875" spans="1:10" x14ac:dyDescent="0.35">
      <c r="A875" t="s">
        <v>48</v>
      </c>
      <c r="B875" t="s">
        <v>16</v>
      </c>
      <c r="C875">
        <v>55000</v>
      </c>
      <c r="D875" t="s">
        <v>18</v>
      </c>
      <c r="E875" t="s">
        <v>30</v>
      </c>
      <c r="F875" t="s">
        <v>39</v>
      </c>
      <c r="G875">
        <v>43845</v>
      </c>
      <c r="H875" t="s">
        <v>21</v>
      </c>
      <c r="I875" t="s">
        <v>22</v>
      </c>
      <c r="J875" t="s">
        <v>33</v>
      </c>
    </row>
    <row r="876" spans="1:10" x14ac:dyDescent="0.35">
      <c r="A876" t="s">
        <v>48</v>
      </c>
      <c r="B876">
        <v>50</v>
      </c>
      <c r="C876">
        <v>70000</v>
      </c>
      <c r="D876" t="s">
        <v>18</v>
      </c>
      <c r="E876" t="s">
        <v>12</v>
      </c>
      <c r="F876" t="s">
        <v>39</v>
      </c>
      <c r="G876">
        <v>43549</v>
      </c>
      <c r="H876" t="s">
        <v>31</v>
      </c>
      <c r="I876" t="s">
        <v>16</v>
      </c>
      <c r="J876" t="s">
        <v>16</v>
      </c>
    </row>
    <row r="877" spans="1:10" x14ac:dyDescent="0.35">
      <c r="A877" t="s">
        <v>35</v>
      </c>
      <c r="B877">
        <v>50</v>
      </c>
      <c r="C877" t="s">
        <v>25</v>
      </c>
      <c r="D877" t="s">
        <v>11</v>
      </c>
      <c r="E877" t="s">
        <v>26</v>
      </c>
      <c r="F877" t="s">
        <v>43</v>
      </c>
      <c r="G877">
        <v>43881</v>
      </c>
      <c r="H877" t="s">
        <v>41</v>
      </c>
      <c r="I877" t="s">
        <v>22</v>
      </c>
      <c r="J877" t="s">
        <v>28</v>
      </c>
    </row>
    <row r="878" spans="1:10" x14ac:dyDescent="0.35">
      <c r="A878" t="s">
        <v>46</v>
      </c>
      <c r="B878" t="s">
        <v>42</v>
      </c>
      <c r="C878">
        <v>55000</v>
      </c>
      <c r="D878" t="s">
        <v>36</v>
      </c>
      <c r="E878" t="s">
        <v>30</v>
      </c>
      <c r="F878" t="s">
        <v>20</v>
      </c>
      <c r="G878">
        <v>43881</v>
      </c>
      <c r="H878" t="s">
        <v>31</v>
      </c>
      <c r="I878" t="s">
        <v>22</v>
      </c>
      <c r="J878" t="s">
        <v>28</v>
      </c>
    </row>
    <row r="879" spans="1:10" x14ac:dyDescent="0.35">
      <c r="A879" t="s">
        <v>29</v>
      </c>
      <c r="B879">
        <v>40</v>
      </c>
      <c r="C879">
        <v>70000</v>
      </c>
      <c r="D879" t="s">
        <v>36</v>
      </c>
      <c r="E879" t="s">
        <v>37</v>
      </c>
      <c r="F879" t="s">
        <v>13</v>
      </c>
      <c r="G879">
        <v>43881</v>
      </c>
      <c r="H879" t="s">
        <v>31</v>
      </c>
      <c r="I879" t="s">
        <v>22</v>
      </c>
      <c r="J879" t="s">
        <v>23</v>
      </c>
    </row>
    <row r="880" spans="1:10" x14ac:dyDescent="0.35">
      <c r="A880" t="s">
        <v>17</v>
      </c>
      <c r="B880">
        <v>40</v>
      </c>
      <c r="C880">
        <v>50000</v>
      </c>
      <c r="D880" t="s">
        <v>11</v>
      </c>
      <c r="E880" t="s">
        <v>30</v>
      </c>
      <c r="F880" t="s">
        <v>44</v>
      </c>
      <c r="G880">
        <v>43195</v>
      </c>
      <c r="H880" t="s">
        <v>41</v>
      </c>
      <c r="I880" t="s">
        <v>32</v>
      </c>
      <c r="J880" t="s">
        <v>33</v>
      </c>
    </row>
    <row r="881" spans="1:10" x14ac:dyDescent="0.35">
      <c r="A881" t="s">
        <v>38</v>
      </c>
      <c r="B881">
        <v>50</v>
      </c>
      <c r="C881" t="s">
        <v>25</v>
      </c>
      <c r="D881" t="s">
        <v>18</v>
      </c>
      <c r="E881" t="s">
        <v>12</v>
      </c>
      <c r="F881" t="s">
        <v>13</v>
      </c>
      <c r="G881">
        <v>43845</v>
      </c>
      <c r="H881" t="s">
        <v>31</v>
      </c>
      <c r="I881" t="s">
        <v>15</v>
      </c>
      <c r="J881" t="s">
        <v>45</v>
      </c>
    </row>
    <row r="882" spans="1:10" x14ac:dyDescent="0.35">
      <c r="A882" t="s">
        <v>48</v>
      </c>
      <c r="B882">
        <v>40</v>
      </c>
      <c r="C882" t="s">
        <v>25</v>
      </c>
      <c r="D882" t="s">
        <v>36</v>
      </c>
      <c r="E882" t="s">
        <v>19</v>
      </c>
      <c r="F882" t="s">
        <v>43</v>
      </c>
      <c r="G882" t="s">
        <v>40</v>
      </c>
      <c r="H882" t="s">
        <v>41</v>
      </c>
      <c r="J882" t="s">
        <v>45</v>
      </c>
    </row>
    <row r="883" spans="1:10" x14ac:dyDescent="0.35">
      <c r="A883" t="s">
        <v>46</v>
      </c>
      <c r="B883">
        <v>25</v>
      </c>
      <c r="C883">
        <v>50000</v>
      </c>
      <c r="D883" t="s">
        <v>18</v>
      </c>
      <c r="E883" t="s">
        <v>19</v>
      </c>
      <c r="F883" t="s">
        <v>39</v>
      </c>
      <c r="G883">
        <v>43845</v>
      </c>
      <c r="H883" t="s">
        <v>41</v>
      </c>
      <c r="I883" t="s">
        <v>22</v>
      </c>
      <c r="J883" t="s">
        <v>28</v>
      </c>
    </row>
    <row r="884" spans="1:10" x14ac:dyDescent="0.35">
      <c r="A884" t="s">
        <v>47</v>
      </c>
      <c r="B884">
        <v>50</v>
      </c>
      <c r="C884">
        <v>70000</v>
      </c>
      <c r="D884" t="s">
        <v>11</v>
      </c>
      <c r="E884" t="s">
        <v>37</v>
      </c>
      <c r="F884" t="s">
        <v>44</v>
      </c>
      <c r="G884">
        <v>43195</v>
      </c>
      <c r="H884" t="s">
        <v>41</v>
      </c>
      <c r="I884" t="s">
        <v>22</v>
      </c>
      <c r="J884" t="s">
        <v>16</v>
      </c>
    </row>
    <row r="885" spans="1:10" x14ac:dyDescent="0.35">
      <c r="A885" t="s">
        <v>24</v>
      </c>
      <c r="B885">
        <v>50</v>
      </c>
      <c r="C885">
        <v>65000</v>
      </c>
      <c r="D885" t="s">
        <v>18</v>
      </c>
      <c r="E885" t="s">
        <v>37</v>
      </c>
      <c r="F885" t="s">
        <v>43</v>
      </c>
      <c r="G885">
        <v>43881</v>
      </c>
      <c r="H885" t="s">
        <v>27</v>
      </c>
      <c r="I885" t="s">
        <v>22</v>
      </c>
      <c r="J885" t="s">
        <v>28</v>
      </c>
    </row>
    <row r="886" spans="1:10" x14ac:dyDescent="0.35">
      <c r="A886" t="s">
        <v>35</v>
      </c>
      <c r="B886" t="s">
        <v>16</v>
      </c>
      <c r="C886">
        <v>50000</v>
      </c>
      <c r="D886" t="s">
        <v>36</v>
      </c>
      <c r="E886" t="s">
        <v>19</v>
      </c>
      <c r="F886" t="s">
        <v>43</v>
      </c>
      <c r="G886">
        <v>43549</v>
      </c>
      <c r="H886" t="s">
        <v>31</v>
      </c>
      <c r="I886" t="s">
        <v>15</v>
      </c>
      <c r="J886" t="s">
        <v>23</v>
      </c>
    </row>
    <row r="887" spans="1:10" x14ac:dyDescent="0.35">
      <c r="A887" t="s">
        <v>29</v>
      </c>
      <c r="B887">
        <v>40</v>
      </c>
      <c r="C887">
        <v>70000</v>
      </c>
      <c r="D887" t="s">
        <v>36</v>
      </c>
      <c r="E887" t="s">
        <v>37</v>
      </c>
      <c r="F887" t="s">
        <v>43</v>
      </c>
      <c r="G887">
        <v>43881</v>
      </c>
      <c r="H887" t="s">
        <v>14</v>
      </c>
      <c r="I887" t="s">
        <v>16</v>
      </c>
      <c r="J887" t="s">
        <v>16</v>
      </c>
    </row>
    <row r="888" spans="1:10" x14ac:dyDescent="0.35">
      <c r="A888" t="s">
        <v>10</v>
      </c>
      <c r="B888">
        <v>50</v>
      </c>
      <c r="C888">
        <v>50000</v>
      </c>
      <c r="D888" t="s">
        <v>18</v>
      </c>
      <c r="E888" t="s">
        <v>30</v>
      </c>
      <c r="F888" t="s">
        <v>44</v>
      </c>
      <c r="G888" t="s">
        <v>40</v>
      </c>
      <c r="H888" t="s">
        <v>41</v>
      </c>
      <c r="I888" t="s">
        <v>32</v>
      </c>
      <c r="J888" t="s">
        <v>45</v>
      </c>
    </row>
    <row r="889" spans="1:10" x14ac:dyDescent="0.35">
      <c r="A889" t="s">
        <v>35</v>
      </c>
      <c r="B889">
        <v>25</v>
      </c>
      <c r="C889">
        <v>50000</v>
      </c>
      <c r="D889" t="s">
        <v>11</v>
      </c>
      <c r="E889" t="s">
        <v>26</v>
      </c>
      <c r="F889" t="s">
        <v>44</v>
      </c>
      <c r="G889">
        <v>43549</v>
      </c>
      <c r="H889" t="s">
        <v>31</v>
      </c>
      <c r="I889" t="s">
        <v>15</v>
      </c>
      <c r="J889" t="s">
        <v>33</v>
      </c>
    </row>
    <row r="890" spans="1:10" x14ac:dyDescent="0.35">
      <c r="A890" t="s">
        <v>47</v>
      </c>
      <c r="B890" t="s">
        <v>16</v>
      </c>
      <c r="C890">
        <v>55000</v>
      </c>
      <c r="D890" t="s">
        <v>18</v>
      </c>
      <c r="E890" t="s">
        <v>26</v>
      </c>
      <c r="F890" t="s">
        <v>20</v>
      </c>
      <c r="G890">
        <v>43881</v>
      </c>
      <c r="H890" t="s">
        <v>21</v>
      </c>
      <c r="I890" t="s">
        <v>22</v>
      </c>
      <c r="J890" t="s">
        <v>33</v>
      </c>
    </row>
    <row r="891" spans="1:10" x14ac:dyDescent="0.35">
      <c r="A891" t="s">
        <v>24</v>
      </c>
      <c r="B891" t="s">
        <v>42</v>
      </c>
      <c r="C891">
        <v>70000</v>
      </c>
      <c r="D891" t="s">
        <v>11</v>
      </c>
      <c r="E891" t="s">
        <v>30</v>
      </c>
      <c r="F891" t="s">
        <v>20</v>
      </c>
      <c r="G891">
        <v>43549</v>
      </c>
      <c r="H891" t="s">
        <v>41</v>
      </c>
      <c r="I891" t="s">
        <v>15</v>
      </c>
      <c r="J891" t="s">
        <v>23</v>
      </c>
    </row>
    <row r="892" spans="1:10" x14ac:dyDescent="0.35">
      <c r="A892" t="s">
        <v>47</v>
      </c>
      <c r="B892">
        <v>50</v>
      </c>
      <c r="C892">
        <v>65000</v>
      </c>
      <c r="D892" t="s">
        <v>18</v>
      </c>
      <c r="E892" t="s">
        <v>26</v>
      </c>
      <c r="F892" t="s">
        <v>13</v>
      </c>
      <c r="G892">
        <v>43845</v>
      </c>
      <c r="H892" t="s">
        <v>41</v>
      </c>
      <c r="I892" t="s">
        <v>15</v>
      </c>
      <c r="J892" t="s">
        <v>28</v>
      </c>
    </row>
    <row r="893" spans="1:10" x14ac:dyDescent="0.35">
      <c r="A893" t="s">
        <v>17</v>
      </c>
      <c r="B893">
        <v>25</v>
      </c>
      <c r="C893">
        <v>55000</v>
      </c>
      <c r="D893" t="s">
        <v>36</v>
      </c>
      <c r="E893" t="s">
        <v>12</v>
      </c>
      <c r="F893" t="s">
        <v>44</v>
      </c>
      <c r="G893">
        <v>43195</v>
      </c>
      <c r="H893" t="s">
        <v>14</v>
      </c>
      <c r="I893" t="s">
        <v>15</v>
      </c>
      <c r="J893" t="s">
        <v>23</v>
      </c>
    </row>
    <row r="894" spans="1:10" x14ac:dyDescent="0.35">
      <c r="A894" t="s">
        <v>48</v>
      </c>
      <c r="B894">
        <v>35</v>
      </c>
      <c r="C894">
        <v>50000</v>
      </c>
      <c r="D894" t="s">
        <v>11</v>
      </c>
      <c r="E894" t="s">
        <v>30</v>
      </c>
      <c r="F894" t="s">
        <v>44</v>
      </c>
      <c r="G894">
        <v>43881</v>
      </c>
      <c r="H894" t="s">
        <v>27</v>
      </c>
      <c r="I894" t="s">
        <v>16</v>
      </c>
      <c r="J894" t="s">
        <v>33</v>
      </c>
    </row>
    <row r="895" spans="1:10" x14ac:dyDescent="0.35">
      <c r="A895" t="s">
        <v>29</v>
      </c>
      <c r="B895">
        <v>25</v>
      </c>
      <c r="C895" t="s">
        <v>34</v>
      </c>
      <c r="D895" t="s">
        <v>11</v>
      </c>
      <c r="E895" t="s">
        <v>37</v>
      </c>
      <c r="F895" t="s">
        <v>44</v>
      </c>
      <c r="G895" t="s">
        <v>40</v>
      </c>
      <c r="H895" t="s">
        <v>27</v>
      </c>
      <c r="J895" t="s">
        <v>45</v>
      </c>
    </row>
    <row r="896" spans="1:10" x14ac:dyDescent="0.35">
      <c r="A896" t="s">
        <v>49</v>
      </c>
      <c r="B896">
        <v>25</v>
      </c>
      <c r="C896">
        <v>50000</v>
      </c>
      <c r="D896" t="s">
        <v>11</v>
      </c>
      <c r="E896" t="s">
        <v>30</v>
      </c>
      <c r="F896" t="s">
        <v>20</v>
      </c>
      <c r="G896">
        <v>43845</v>
      </c>
      <c r="H896" t="s">
        <v>41</v>
      </c>
      <c r="I896" t="s">
        <v>32</v>
      </c>
      <c r="J896" t="s">
        <v>33</v>
      </c>
    </row>
    <row r="897" spans="1:10" x14ac:dyDescent="0.35">
      <c r="A897" t="s">
        <v>48</v>
      </c>
      <c r="B897" t="s">
        <v>16</v>
      </c>
      <c r="C897">
        <v>50000</v>
      </c>
      <c r="D897" t="s">
        <v>36</v>
      </c>
      <c r="E897" t="s">
        <v>19</v>
      </c>
      <c r="F897" t="s">
        <v>43</v>
      </c>
      <c r="G897">
        <v>43881</v>
      </c>
      <c r="H897" t="s">
        <v>31</v>
      </c>
      <c r="I897" t="s">
        <v>16</v>
      </c>
      <c r="J897" t="s">
        <v>16</v>
      </c>
    </row>
    <row r="898" spans="1:10" x14ac:dyDescent="0.35">
      <c r="A898" t="s">
        <v>49</v>
      </c>
      <c r="B898" t="s">
        <v>42</v>
      </c>
      <c r="C898">
        <v>70000</v>
      </c>
      <c r="D898" t="s">
        <v>18</v>
      </c>
      <c r="E898" t="s">
        <v>37</v>
      </c>
      <c r="F898" t="s">
        <v>39</v>
      </c>
      <c r="G898">
        <v>43845</v>
      </c>
      <c r="H898" t="s">
        <v>21</v>
      </c>
      <c r="I898" t="s">
        <v>16</v>
      </c>
      <c r="J898" t="s">
        <v>33</v>
      </c>
    </row>
    <row r="899" spans="1:10" x14ac:dyDescent="0.35">
      <c r="A899" t="s">
        <v>24</v>
      </c>
      <c r="B899">
        <v>35</v>
      </c>
      <c r="C899">
        <v>70000</v>
      </c>
      <c r="D899" t="s">
        <v>36</v>
      </c>
      <c r="E899" t="s">
        <v>19</v>
      </c>
      <c r="F899" t="s">
        <v>20</v>
      </c>
      <c r="G899" t="s">
        <v>40</v>
      </c>
      <c r="H899" t="s">
        <v>21</v>
      </c>
      <c r="J899" t="s">
        <v>33</v>
      </c>
    </row>
    <row r="900" spans="1:10" x14ac:dyDescent="0.35">
      <c r="A900" t="s">
        <v>46</v>
      </c>
      <c r="B900">
        <v>40</v>
      </c>
      <c r="C900">
        <v>55000</v>
      </c>
      <c r="D900" t="s">
        <v>11</v>
      </c>
      <c r="E900" t="s">
        <v>37</v>
      </c>
      <c r="F900" t="s">
        <v>44</v>
      </c>
      <c r="G900">
        <v>43881</v>
      </c>
      <c r="H900" t="s">
        <v>31</v>
      </c>
      <c r="I900" t="s">
        <v>16</v>
      </c>
      <c r="J900" t="s">
        <v>16</v>
      </c>
    </row>
    <row r="901" spans="1:10" x14ac:dyDescent="0.35">
      <c r="A901" t="s">
        <v>10</v>
      </c>
      <c r="B901">
        <v>40</v>
      </c>
      <c r="C901">
        <v>65000</v>
      </c>
      <c r="D901" t="s">
        <v>18</v>
      </c>
      <c r="E901" t="s">
        <v>26</v>
      </c>
      <c r="F901" t="s">
        <v>20</v>
      </c>
      <c r="G901" t="s">
        <v>40</v>
      </c>
      <c r="H901" t="s">
        <v>41</v>
      </c>
      <c r="I901" t="s">
        <v>15</v>
      </c>
      <c r="J901" t="s">
        <v>28</v>
      </c>
    </row>
    <row r="902" spans="1:10" x14ac:dyDescent="0.35">
      <c r="A902" t="s">
        <v>38</v>
      </c>
      <c r="B902">
        <v>25</v>
      </c>
      <c r="C902">
        <v>55000</v>
      </c>
      <c r="D902" t="s">
        <v>36</v>
      </c>
      <c r="E902" t="s">
        <v>30</v>
      </c>
      <c r="F902" t="s">
        <v>13</v>
      </c>
      <c r="G902">
        <v>43549</v>
      </c>
      <c r="H902" t="s">
        <v>21</v>
      </c>
      <c r="I902" t="s">
        <v>15</v>
      </c>
      <c r="J902" t="s">
        <v>33</v>
      </c>
    </row>
    <row r="903" spans="1:10" x14ac:dyDescent="0.35">
      <c r="A903" t="s">
        <v>48</v>
      </c>
      <c r="B903" t="s">
        <v>16</v>
      </c>
      <c r="C903" t="s">
        <v>25</v>
      </c>
      <c r="D903" t="s">
        <v>11</v>
      </c>
      <c r="E903" t="s">
        <v>12</v>
      </c>
      <c r="F903" t="s">
        <v>44</v>
      </c>
      <c r="G903" t="s">
        <v>40</v>
      </c>
      <c r="H903" t="s">
        <v>27</v>
      </c>
      <c r="I903" t="s">
        <v>22</v>
      </c>
      <c r="J903" t="s">
        <v>23</v>
      </c>
    </row>
    <row r="904" spans="1:10" x14ac:dyDescent="0.35">
      <c r="A904" t="s">
        <v>29</v>
      </c>
      <c r="B904" t="s">
        <v>16</v>
      </c>
      <c r="C904">
        <v>50000</v>
      </c>
      <c r="D904" t="s">
        <v>11</v>
      </c>
      <c r="E904" t="s">
        <v>37</v>
      </c>
      <c r="F904" t="s">
        <v>13</v>
      </c>
      <c r="G904">
        <v>43549</v>
      </c>
      <c r="H904" t="s">
        <v>31</v>
      </c>
      <c r="I904" t="s">
        <v>16</v>
      </c>
      <c r="J904" t="s">
        <v>33</v>
      </c>
    </row>
    <row r="905" spans="1:10" x14ac:dyDescent="0.35">
      <c r="A905" t="s">
        <v>47</v>
      </c>
      <c r="B905">
        <v>40</v>
      </c>
      <c r="C905" t="s">
        <v>34</v>
      </c>
      <c r="D905" t="s">
        <v>36</v>
      </c>
      <c r="E905" t="s">
        <v>37</v>
      </c>
      <c r="F905" t="s">
        <v>44</v>
      </c>
      <c r="G905">
        <v>43881</v>
      </c>
      <c r="H905" t="s">
        <v>14</v>
      </c>
      <c r="I905" t="s">
        <v>22</v>
      </c>
      <c r="J905" t="s">
        <v>23</v>
      </c>
    </row>
    <row r="906" spans="1:10" x14ac:dyDescent="0.35">
      <c r="A906" t="s">
        <v>29</v>
      </c>
      <c r="B906">
        <v>35</v>
      </c>
      <c r="C906">
        <v>50000</v>
      </c>
      <c r="D906" t="s">
        <v>36</v>
      </c>
      <c r="E906" t="s">
        <v>19</v>
      </c>
      <c r="F906" t="s">
        <v>20</v>
      </c>
      <c r="G906">
        <v>43549</v>
      </c>
      <c r="H906" t="s">
        <v>41</v>
      </c>
      <c r="I906" t="s">
        <v>32</v>
      </c>
      <c r="J906" t="s">
        <v>16</v>
      </c>
    </row>
    <row r="907" spans="1:10" x14ac:dyDescent="0.35">
      <c r="A907" t="s">
        <v>24</v>
      </c>
      <c r="B907" t="s">
        <v>42</v>
      </c>
      <c r="C907">
        <v>50000</v>
      </c>
      <c r="D907" t="s">
        <v>36</v>
      </c>
      <c r="E907" t="s">
        <v>26</v>
      </c>
      <c r="F907" t="s">
        <v>43</v>
      </c>
      <c r="G907">
        <v>43881</v>
      </c>
      <c r="H907" t="s">
        <v>31</v>
      </c>
      <c r="I907" t="s">
        <v>15</v>
      </c>
      <c r="J907" t="s">
        <v>33</v>
      </c>
    </row>
    <row r="908" spans="1:10" x14ac:dyDescent="0.35">
      <c r="A908" t="s">
        <v>49</v>
      </c>
      <c r="B908">
        <v>35</v>
      </c>
      <c r="C908">
        <v>55000</v>
      </c>
      <c r="D908" t="s">
        <v>11</v>
      </c>
      <c r="E908" t="s">
        <v>19</v>
      </c>
      <c r="F908" t="s">
        <v>39</v>
      </c>
      <c r="G908">
        <v>43881</v>
      </c>
      <c r="H908" t="s">
        <v>21</v>
      </c>
      <c r="I908" t="s">
        <v>32</v>
      </c>
      <c r="J908" t="s">
        <v>16</v>
      </c>
    </row>
    <row r="909" spans="1:10" x14ac:dyDescent="0.35">
      <c r="A909" t="s">
        <v>47</v>
      </c>
      <c r="B909">
        <v>50</v>
      </c>
      <c r="C909" t="s">
        <v>34</v>
      </c>
      <c r="D909" t="s">
        <v>36</v>
      </c>
      <c r="E909" t="s">
        <v>19</v>
      </c>
      <c r="F909" t="s">
        <v>13</v>
      </c>
      <c r="G909">
        <v>43195</v>
      </c>
      <c r="H909" t="s">
        <v>41</v>
      </c>
      <c r="J909" t="s">
        <v>16</v>
      </c>
    </row>
    <row r="910" spans="1:10" x14ac:dyDescent="0.35">
      <c r="A910" t="s">
        <v>38</v>
      </c>
      <c r="B910">
        <v>50</v>
      </c>
      <c r="C910" t="s">
        <v>34</v>
      </c>
      <c r="D910" t="s">
        <v>11</v>
      </c>
      <c r="E910" t="s">
        <v>26</v>
      </c>
      <c r="F910" t="s">
        <v>20</v>
      </c>
      <c r="G910">
        <v>43881</v>
      </c>
      <c r="H910" t="s">
        <v>27</v>
      </c>
      <c r="I910" t="s">
        <v>15</v>
      </c>
      <c r="J910" t="s">
        <v>28</v>
      </c>
    </row>
    <row r="911" spans="1:10" x14ac:dyDescent="0.35">
      <c r="A911" t="s">
        <v>38</v>
      </c>
      <c r="B911" t="s">
        <v>42</v>
      </c>
      <c r="C911" t="s">
        <v>34</v>
      </c>
      <c r="D911" t="s">
        <v>36</v>
      </c>
      <c r="E911" t="s">
        <v>12</v>
      </c>
      <c r="F911" t="s">
        <v>43</v>
      </c>
      <c r="G911">
        <v>43549</v>
      </c>
      <c r="H911" t="s">
        <v>41</v>
      </c>
      <c r="I911" t="s">
        <v>32</v>
      </c>
      <c r="J911" t="s">
        <v>33</v>
      </c>
    </row>
    <row r="912" spans="1:10" x14ac:dyDescent="0.35">
      <c r="A912" t="s">
        <v>48</v>
      </c>
      <c r="B912">
        <v>40</v>
      </c>
      <c r="C912">
        <v>55000</v>
      </c>
      <c r="D912" t="s">
        <v>11</v>
      </c>
      <c r="E912" t="s">
        <v>19</v>
      </c>
      <c r="F912" t="s">
        <v>20</v>
      </c>
      <c r="G912">
        <v>43195</v>
      </c>
      <c r="H912" t="s">
        <v>41</v>
      </c>
      <c r="J912" t="s">
        <v>23</v>
      </c>
    </row>
    <row r="913" spans="1:10" x14ac:dyDescent="0.35">
      <c r="A913" t="s">
        <v>24</v>
      </c>
      <c r="B913" t="s">
        <v>42</v>
      </c>
      <c r="C913">
        <v>50000</v>
      </c>
      <c r="D913" t="s">
        <v>11</v>
      </c>
      <c r="E913" t="s">
        <v>19</v>
      </c>
      <c r="F913" t="s">
        <v>13</v>
      </c>
      <c r="G913">
        <v>43195</v>
      </c>
      <c r="H913" t="s">
        <v>27</v>
      </c>
      <c r="I913" t="s">
        <v>32</v>
      </c>
      <c r="J913" t="s">
        <v>23</v>
      </c>
    </row>
    <row r="914" spans="1:10" x14ac:dyDescent="0.35">
      <c r="A914" t="s">
        <v>46</v>
      </c>
      <c r="B914" t="s">
        <v>16</v>
      </c>
      <c r="C914">
        <v>55000</v>
      </c>
      <c r="D914" t="s">
        <v>18</v>
      </c>
      <c r="E914" t="s">
        <v>37</v>
      </c>
      <c r="F914" t="s">
        <v>39</v>
      </c>
      <c r="G914">
        <v>43881</v>
      </c>
      <c r="H914" t="s">
        <v>27</v>
      </c>
      <c r="J914" t="s">
        <v>33</v>
      </c>
    </row>
    <row r="915" spans="1:10" x14ac:dyDescent="0.35">
      <c r="A915" t="s">
        <v>24</v>
      </c>
      <c r="B915">
        <v>50</v>
      </c>
      <c r="C915">
        <v>70000</v>
      </c>
      <c r="D915" t="s">
        <v>36</v>
      </c>
      <c r="E915" t="s">
        <v>26</v>
      </c>
      <c r="F915" t="s">
        <v>20</v>
      </c>
      <c r="G915" t="s">
        <v>40</v>
      </c>
      <c r="H915" t="s">
        <v>41</v>
      </c>
      <c r="J915" t="s">
        <v>28</v>
      </c>
    </row>
    <row r="916" spans="1:10" x14ac:dyDescent="0.35">
      <c r="A916" t="s">
        <v>49</v>
      </c>
      <c r="B916">
        <v>25</v>
      </c>
      <c r="C916">
        <v>70000</v>
      </c>
      <c r="D916" t="s">
        <v>36</v>
      </c>
      <c r="E916" t="s">
        <v>30</v>
      </c>
      <c r="F916" t="s">
        <v>44</v>
      </c>
      <c r="G916" t="s">
        <v>40</v>
      </c>
      <c r="H916" t="s">
        <v>27</v>
      </c>
      <c r="I916" t="s">
        <v>15</v>
      </c>
      <c r="J916" t="s">
        <v>28</v>
      </c>
    </row>
    <row r="917" spans="1:10" x14ac:dyDescent="0.35">
      <c r="A917" t="s">
        <v>29</v>
      </c>
      <c r="B917">
        <v>25</v>
      </c>
      <c r="C917">
        <v>55000</v>
      </c>
      <c r="D917" t="s">
        <v>11</v>
      </c>
      <c r="E917" t="s">
        <v>12</v>
      </c>
      <c r="F917" t="s">
        <v>43</v>
      </c>
      <c r="G917">
        <v>43195</v>
      </c>
      <c r="H917" t="s">
        <v>31</v>
      </c>
      <c r="I917" t="s">
        <v>22</v>
      </c>
      <c r="J917" t="s">
        <v>28</v>
      </c>
    </row>
    <row r="918" spans="1:10" x14ac:dyDescent="0.35">
      <c r="A918" t="s">
        <v>38</v>
      </c>
      <c r="B918">
        <v>40</v>
      </c>
      <c r="C918" t="s">
        <v>34</v>
      </c>
      <c r="D918" t="s">
        <v>11</v>
      </c>
      <c r="E918" t="s">
        <v>12</v>
      </c>
      <c r="F918" t="s">
        <v>20</v>
      </c>
      <c r="G918">
        <v>43881</v>
      </c>
      <c r="H918" t="s">
        <v>27</v>
      </c>
      <c r="J918" t="s">
        <v>23</v>
      </c>
    </row>
    <row r="919" spans="1:10" x14ac:dyDescent="0.35">
      <c r="A919" t="s">
        <v>29</v>
      </c>
      <c r="B919" t="s">
        <v>16</v>
      </c>
      <c r="C919">
        <v>50000</v>
      </c>
      <c r="D919" t="s">
        <v>11</v>
      </c>
      <c r="E919" t="s">
        <v>26</v>
      </c>
      <c r="F919" t="s">
        <v>43</v>
      </c>
      <c r="G919" t="s">
        <v>40</v>
      </c>
      <c r="H919" t="s">
        <v>27</v>
      </c>
      <c r="J919" t="s">
        <v>16</v>
      </c>
    </row>
    <row r="920" spans="1:10" x14ac:dyDescent="0.35">
      <c r="A920" t="s">
        <v>29</v>
      </c>
      <c r="B920">
        <v>35</v>
      </c>
      <c r="C920">
        <v>55000</v>
      </c>
      <c r="D920" t="s">
        <v>18</v>
      </c>
      <c r="E920" t="s">
        <v>37</v>
      </c>
      <c r="F920" t="s">
        <v>44</v>
      </c>
      <c r="G920">
        <v>43881</v>
      </c>
      <c r="H920" t="s">
        <v>41</v>
      </c>
      <c r="I920" t="s">
        <v>15</v>
      </c>
      <c r="J920" t="s">
        <v>28</v>
      </c>
    </row>
    <row r="921" spans="1:10" x14ac:dyDescent="0.35">
      <c r="A921" t="s">
        <v>29</v>
      </c>
      <c r="B921" t="s">
        <v>16</v>
      </c>
      <c r="C921">
        <v>55000</v>
      </c>
      <c r="D921" t="s">
        <v>18</v>
      </c>
      <c r="E921" t="s">
        <v>37</v>
      </c>
      <c r="F921" t="s">
        <v>39</v>
      </c>
      <c r="G921">
        <v>43881</v>
      </c>
      <c r="H921" t="s">
        <v>31</v>
      </c>
      <c r="I921" t="s">
        <v>22</v>
      </c>
      <c r="J921" t="s">
        <v>23</v>
      </c>
    </row>
    <row r="922" spans="1:10" x14ac:dyDescent="0.35">
      <c r="A922" t="s">
        <v>38</v>
      </c>
      <c r="B922">
        <v>25</v>
      </c>
      <c r="C922">
        <v>55000</v>
      </c>
      <c r="D922" t="s">
        <v>11</v>
      </c>
      <c r="E922" t="s">
        <v>26</v>
      </c>
      <c r="F922" t="s">
        <v>39</v>
      </c>
      <c r="G922">
        <v>43195</v>
      </c>
      <c r="H922" t="s">
        <v>14</v>
      </c>
      <c r="I922" t="s">
        <v>16</v>
      </c>
      <c r="J922" t="s">
        <v>23</v>
      </c>
    </row>
    <row r="923" spans="1:10" x14ac:dyDescent="0.35">
      <c r="A923" t="s">
        <v>35</v>
      </c>
      <c r="B923">
        <v>25</v>
      </c>
      <c r="C923" t="s">
        <v>25</v>
      </c>
      <c r="D923" t="s">
        <v>36</v>
      </c>
      <c r="E923" t="s">
        <v>37</v>
      </c>
      <c r="F923" t="s">
        <v>44</v>
      </c>
      <c r="G923">
        <v>43195</v>
      </c>
      <c r="H923" t="s">
        <v>14</v>
      </c>
      <c r="I923" t="s">
        <v>16</v>
      </c>
      <c r="J923" t="s">
        <v>16</v>
      </c>
    </row>
    <row r="924" spans="1:10" x14ac:dyDescent="0.35">
      <c r="A924" t="s">
        <v>17</v>
      </c>
      <c r="B924">
        <v>50</v>
      </c>
      <c r="C924">
        <v>70000</v>
      </c>
      <c r="D924" t="s">
        <v>36</v>
      </c>
      <c r="E924" t="s">
        <v>12</v>
      </c>
      <c r="F924" t="s">
        <v>43</v>
      </c>
      <c r="G924">
        <v>43845</v>
      </c>
      <c r="H924" t="s">
        <v>21</v>
      </c>
      <c r="I924" t="s">
        <v>22</v>
      </c>
      <c r="J924" t="s">
        <v>33</v>
      </c>
    </row>
    <row r="925" spans="1:10" x14ac:dyDescent="0.35">
      <c r="A925" t="s">
        <v>49</v>
      </c>
      <c r="B925" t="s">
        <v>16</v>
      </c>
      <c r="C925" t="s">
        <v>34</v>
      </c>
      <c r="D925" t="s">
        <v>18</v>
      </c>
      <c r="E925" t="s">
        <v>12</v>
      </c>
      <c r="F925" t="s">
        <v>20</v>
      </c>
      <c r="G925" t="s">
        <v>40</v>
      </c>
      <c r="H925" t="s">
        <v>27</v>
      </c>
      <c r="I925" t="s">
        <v>32</v>
      </c>
      <c r="J925" t="s">
        <v>33</v>
      </c>
    </row>
    <row r="926" spans="1:10" x14ac:dyDescent="0.35">
      <c r="A926" t="s">
        <v>35</v>
      </c>
      <c r="B926" t="s">
        <v>16</v>
      </c>
      <c r="C926">
        <v>65000</v>
      </c>
      <c r="D926" t="s">
        <v>18</v>
      </c>
      <c r="E926" t="s">
        <v>30</v>
      </c>
      <c r="F926" t="s">
        <v>44</v>
      </c>
      <c r="G926" t="s">
        <v>40</v>
      </c>
      <c r="H926" t="s">
        <v>27</v>
      </c>
      <c r="I926" t="s">
        <v>15</v>
      </c>
      <c r="J926" t="s">
        <v>28</v>
      </c>
    </row>
    <row r="927" spans="1:10" x14ac:dyDescent="0.35">
      <c r="A927" t="s">
        <v>49</v>
      </c>
      <c r="B927">
        <v>25</v>
      </c>
      <c r="C927" t="s">
        <v>34</v>
      </c>
      <c r="D927" t="s">
        <v>11</v>
      </c>
      <c r="E927" t="s">
        <v>26</v>
      </c>
      <c r="F927" t="s">
        <v>13</v>
      </c>
      <c r="G927" t="s">
        <v>40</v>
      </c>
      <c r="H927" t="s">
        <v>31</v>
      </c>
      <c r="I927" t="s">
        <v>22</v>
      </c>
      <c r="J927" t="s">
        <v>28</v>
      </c>
    </row>
    <row r="928" spans="1:10" x14ac:dyDescent="0.35">
      <c r="A928" t="s">
        <v>47</v>
      </c>
      <c r="B928">
        <v>35</v>
      </c>
      <c r="C928">
        <v>65000</v>
      </c>
      <c r="D928" t="s">
        <v>36</v>
      </c>
      <c r="E928" t="s">
        <v>19</v>
      </c>
      <c r="F928" t="s">
        <v>43</v>
      </c>
      <c r="G928">
        <v>43549</v>
      </c>
      <c r="H928" t="s">
        <v>14</v>
      </c>
      <c r="I928" t="s">
        <v>16</v>
      </c>
      <c r="J928" t="s">
        <v>16</v>
      </c>
    </row>
    <row r="929" spans="1:10" x14ac:dyDescent="0.35">
      <c r="A929" t="s">
        <v>24</v>
      </c>
      <c r="B929">
        <v>40</v>
      </c>
      <c r="C929" t="s">
        <v>25</v>
      </c>
      <c r="D929" t="s">
        <v>11</v>
      </c>
      <c r="E929" t="s">
        <v>19</v>
      </c>
      <c r="F929" t="s">
        <v>39</v>
      </c>
      <c r="G929">
        <v>43881</v>
      </c>
      <c r="H929" t="s">
        <v>21</v>
      </c>
      <c r="J929" t="s">
        <v>28</v>
      </c>
    </row>
    <row r="930" spans="1:10" x14ac:dyDescent="0.35">
      <c r="A930" t="s">
        <v>24</v>
      </c>
      <c r="B930">
        <v>40</v>
      </c>
      <c r="C930">
        <v>55000</v>
      </c>
      <c r="D930" t="s">
        <v>18</v>
      </c>
      <c r="E930" t="s">
        <v>30</v>
      </c>
      <c r="F930" t="s">
        <v>44</v>
      </c>
      <c r="G930">
        <v>43195</v>
      </c>
      <c r="H930" t="s">
        <v>31</v>
      </c>
      <c r="I930" t="s">
        <v>16</v>
      </c>
      <c r="J930" t="s">
        <v>16</v>
      </c>
    </row>
    <row r="931" spans="1:10" x14ac:dyDescent="0.35">
      <c r="A931" t="s">
        <v>10</v>
      </c>
      <c r="B931" t="s">
        <v>16</v>
      </c>
      <c r="C931" t="s">
        <v>25</v>
      </c>
      <c r="D931" t="s">
        <v>36</v>
      </c>
      <c r="E931" t="s">
        <v>30</v>
      </c>
      <c r="F931" t="s">
        <v>39</v>
      </c>
      <c r="G931" t="s">
        <v>40</v>
      </c>
      <c r="H931" t="s">
        <v>27</v>
      </c>
      <c r="J931" t="s">
        <v>23</v>
      </c>
    </row>
    <row r="932" spans="1:10" x14ac:dyDescent="0.35">
      <c r="A932" t="s">
        <v>24</v>
      </c>
      <c r="B932">
        <v>40</v>
      </c>
      <c r="C932" t="s">
        <v>25</v>
      </c>
      <c r="D932" t="s">
        <v>36</v>
      </c>
      <c r="E932" t="s">
        <v>37</v>
      </c>
      <c r="F932" t="s">
        <v>43</v>
      </c>
      <c r="G932">
        <v>43845</v>
      </c>
      <c r="H932" t="s">
        <v>14</v>
      </c>
      <c r="I932" t="s">
        <v>15</v>
      </c>
      <c r="J932" t="s">
        <v>28</v>
      </c>
    </row>
    <row r="933" spans="1:10" x14ac:dyDescent="0.35">
      <c r="A933" t="s">
        <v>38</v>
      </c>
      <c r="B933">
        <v>25</v>
      </c>
      <c r="C933">
        <v>50000</v>
      </c>
      <c r="D933" t="s">
        <v>18</v>
      </c>
      <c r="E933" t="s">
        <v>30</v>
      </c>
      <c r="F933" t="s">
        <v>39</v>
      </c>
      <c r="G933" t="s">
        <v>40</v>
      </c>
      <c r="H933" t="s">
        <v>21</v>
      </c>
      <c r="J933" t="s">
        <v>23</v>
      </c>
    </row>
    <row r="934" spans="1:10" x14ac:dyDescent="0.35">
      <c r="A934" t="s">
        <v>46</v>
      </c>
      <c r="B934">
        <v>25</v>
      </c>
      <c r="C934">
        <v>70000</v>
      </c>
      <c r="D934" t="s">
        <v>11</v>
      </c>
      <c r="E934" t="s">
        <v>30</v>
      </c>
      <c r="F934" t="s">
        <v>44</v>
      </c>
      <c r="G934">
        <v>43881</v>
      </c>
      <c r="H934" t="s">
        <v>41</v>
      </c>
      <c r="I934" t="s">
        <v>22</v>
      </c>
      <c r="J934" t="s">
        <v>45</v>
      </c>
    </row>
    <row r="935" spans="1:10" x14ac:dyDescent="0.35">
      <c r="A935" t="s">
        <v>48</v>
      </c>
      <c r="B935" t="s">
        <v>16</v>
      </c>
      <c r="C935">
        <v>65000</v>
      </c>
      <c r="D935" t="s">
        <v>11</v>
      </c>
      <c r="E935" t="s">
        <v>19</v>
      </c>
      <c r="F935" t="s">
        <v>43</v>
      </c>
      <c r="G935">
        <v>43881</v>
      </c>
      <c r="H935" t="s">
        <v>14</v>
      </c>
      <c r="J935" t="s">
        <v>16</v>
      </c>
    </row>
    <row r="936" spans="1:10" x14ac:dyDescent="0.35">
      <c r="A936" t="s">
        <v>10</v>
      </c>
      <c r="B936" t="s">
        <v>16</v>
      </c>
      <c r="C936">
        <v>55000</v>
      </c>
      <c r="D936" t="s">
        <v>36</v>
      </c>
      <c r="E936" t="s">
        <v>37</v>
      </c>
      <c r="F936" t="s">
        <v>13</v>
      </c>
      <c r="G936">
        <v>43195</v>
      </c>
      <c r="H936" t="s">
        <v>21</v>
      </c>
      <c r="I936" t="s">
        <v>32</v>
      </c>
      <c r="J936" t="s">
        <v>45</v>
      </c>
    </row>
    <row r="937" spans="1:10" x14ac:dyDescent="0.35">
      <c r="A937" t="s">
        <v>48</v>
      </c>
      <c r="B937">
        <v>50</v>
      </c>
      <c r="C937">
        <v>65000</v>
      </c>
      <c r="D937" t="s">
        <v>18</v>
      </c>
      <c r="E937" t="s">
        <v>30</v>
      </c>
      <c r="F937" t="s">
        <v>44</v>
      </c>
      <c r="G937">
        <v>43549</v>
      </c>
      <c r="H937" t="s">
        <v>31</v>
      </c>
      <c r="I937" t="s">
        <v>22</v>
      </c>
      <c r="J937" t="s">
        <v>28</v>
      </c>
    </row>
    <row r="938" spans="1:10" x14ac:dyDescent="0.35">
      <c r="A938" t="s">
        <v>49</v>
      </c>
      <c r="B938" t="s">
        <v>16</v>
      </c>
      <c r="C938" t="s">
        <v>34</v>
      </c>
      <c r="D938" t="s">
        <v>36</v>
      </c>
      <c r="E938" t="s">
        <v>30</v>
      </c>
      <c r="F938" t="s">
        <v>20</v>
      </c>
      <c r="G938">
        <v>43195</v>
      </c>
      <c r="H938" t="s">
        <v>41</v>
      </c>
      <c r="I938" t="s">
        <v>15</v>
      </c>
      <c r="J938" t="s">
        <v>23</v>
      </c>
    </row>
    <row r="939" spans="1:10" x14ac:dyDescent="0.35">
      <c r="A939" t="s">
        <v>48</v>
      </c>
      <c r="B939">
        <v>35</v>
      </c>
      <c r="C939">
        <v>65000</v>
      </c>
      <c r="D939" t="s">
        <v>18</v>
      </c>
      <c r="E939" t="s">
        <v>37</v>
      </c>
      <c r="F939" t="s">
        <v>44</v>
      </c>
      <c r="G939" t="s">
        <v>40</v>
      </c>
      <c r="H939" t="s">
        <v>21</v>
      </c>
      <c r="I939" t="s">
        <v>22</v>
      </c>
      <c r="J939" t="s">
        <v>28</v>
      </c>
    </row>
    <row r="940" spans="1:10" x14ac:dyDescent="0.35">
      <c r="A940" t="s">
        <v>48</v>
      </c>
      <c r="B940">
        <v>40</v>
      </c>
      <c r="C940" t="s">
        <v>34</v>
      </c>
      <c r="D940" t="s">
        <v>11</v>
      </c>
      <c r="E940" t="s">
        <v>26</v>
      </c>
      <c r="F940" t="s">
        <v>43</v>
      </c>
      <c r="G940">
        <v>43845</v>
      </c>
      <c r="H940" t="s">
        <v>21</v>
      </c>
      <c r="I940" t="s">
        <v>32</v>
      </c>
      <c r="J940" t="s">
        <v>45</v>
      </c>
    </row>
    <row r="941" spans="1:10" x14ac:dyDescent="0.35">
      <c r="A941" t="s">
        <v>10</v>
      </c>
      <c r="B941" t="s">
        <v>16</v>
      </c>
      <c r="C941">
        <v>70000</v>
      </c>
      <c r="D941" t="s">
        <v>18</v>
      </c>
      <c r="E941" t="s">
        <v>37</v>
      </c>
      <c r="F941" t="s">
        <v>44</v>
      </c>
      <c r="G941">
        <v>43195</v>
      </c>
      <c r="H941" t="s">
        <v>27</v>
      </c>
      <c r="I941" t="s">
        <v>15</v>
      </c>
      <c r="J941" t="s">
        <v>28</v>
      </c>
    </row>
    <row r="942" spans="1:10" x14ac:dyDescent="0.35">
      <c r="A942" t="s">
        <v>47</v>
      </c>
      <c r="B942" t="s">
        <v>42</v>
      </c>
      <c r="C942" t="s">
        <v>34</v>
      </c>
      <c r="D942" t="s">
        <v>11</v>
      </c>
      <c r="E942" t="s">
        <v>19</v>
      </c>
      <c r="F942" t="s">
        <v>13</v>
      </c>
      <c r="G942">
        <v>43549</v>
      </c>
      <c r="H942" t="s">
        <v>14</v>
      </c>
      <c r="I942" t="s">
        <v>16</v>
      </c>
      <c r="J942" t="s">
        <v>33</v>
      </c>
    </row>
    <row r="943" spans="1:10" x14ac:dyDescent="0.35">
      <c r="A943" t="s">
        <v>29</v>
      </c>
      <c r="B943">
        <v>50</v>
      </c>
      <c r="C943">
        <v>65000</v>
      </c>
      <c r="D943" t="s">
        <v>18</v>
      </c>
      <c r="E943" t="s">
        <v>26</v>
      </c>
      <c r="F943" t="s">
        <v>13</v>
      </c>
      <c r="G943">
        <v>43195</v>
      </c>
      <c r="H943" t="s">
        <v>27</v>
      </c>
      <c r="I943" t="s">
        <v>32</v>
      </c>
      <c r="J943" t="s">
        <v>45</v>
      </c>
    </row>
    <row r="944" spans="1:10" x14ac:dyDescent="0.35">
      <c r="A944" t="s">
        <v>24</v>
      </c>
      <c r="B944" t="s">
        <v>42</v>
      </c>
      <c r="C944">
        <v>65000</v>
      </c>
      <c r="D944" t="s">
        <v>36</v>
      </c>
      <c r="E944" t="s">
        <v>12</v>
      </c>
      <c r="F944" t="s">
        <v>20</v>
      </c>
      <c r="G944">
        <v>43881</v>
      </c>
      <c r="H944" t="s">
        <v>41</v>
      </c>
      <c r="I944" t="s">
        <v>15</v>
      </c>
      <c r="J944" t="s">
        <v>28</v>
      </c>
    </row>
    <row r="945" spans="1:10" x14ac:dyDescent="0.35">
      <c r="A945" t="s">
        <v>24</v>
      </c>
      <c r="B945">
        <v>25</v>
      </c>
      <c r="C945" t="s">
        <v>34</v>
      </c>
      <c r="D945" t="s">
        <v>11</v>
      </c>
      <c r="E945" t="s">
        <v>37</v>
      </c>
      <c r="F945" t="s">
        <v>39</v>
      </c>
      <c r="G945" t="s">
        <v>40</v>
      </c>
      <c r="H945" t="s">
        <v>21</v>
      </c>
      <c r="J945" t="s">
        <v>23</v>
      </c>
    </row>
    <row r="946" spans="1:10" x14ac:dyDescent="0.35">
      <c r="A946" t="s">
        <v>38</v>
      </c>
      <c r="B946">
        <v>40</v>
      </c>
      <c r="C946" t="s">
        <v>25</v>
      </c>
      <c r="D946" t="s">
        <v>36</v>
      </c>
      <c r="E946" t="s">
        <v>19</v>
      </c>
      <c r="F946" t="s">
        <v>43</v>
      </c>
      <c r="G946" t="s">
        <v>40</v>
      </c>
      <c r="H946" t="s">
        <v>27</v>
      </c>
      <c r="I946" t="s">
        <v>22</v>
      </c>
      <c r="J946" t="s">
        <v>28</v>
      </c>
    </row>
    <row r="947" spans="1:10" x14ac:dyDescent="0.35">
      <c r="A947" t="s">
        <v>10</v>
      </c>
      <c r="B947" t="s">
        <v>16</v>
      </c>
      <c r="C947">
        <v>70000</v>
      </c>
      <c r="D947" t="s">
        <v>36</v>
      </c>
      <c r="E947" t="s">
        <v>26</v>
      </c>
      <c r="F947" t="s">
        <v>43</v>
      </c>
      <c r="G947" t="s">
        <v>40</v>
      </c>
      <c r="H947" t="s">
        <v>14</v>
      </c>
      <c r="I947" t="s">
        <v>15</v>
      </c>
      <c r="J947" t="s">
        <v>23</v>
      </c>
    </row>
    <row r="948" spans="1:10" x14ac:dyDescent="0.35">
      <c r="A948" t="s">
        <v>38</v>
      </c>
      <c r="B948" t="s">
        <v>42</v>
      </c>
      <c r="C948">
        <v>50000</v>
      </c>
      <c r="D948" t="s">
        <v>11</v>
      </c>
      <c r="E948" t="s">
        <v>37</v>
      </c>
      <c r="F948" t="s">
        <v>39</v>
      </c>
      <c r="G948" t="s">
        <v>40</v>
      </c>
      <c r="H948" t="s">
        <v>41</v>
      </c>
      <c r="I948" t="s">
        <v>22</v>
      </c>
      <c r="J948" t="s">
        <v>33</v>
      </c>
    </row>
    <row r="949" spans="1:10" x14ac:dyDescent="0.35">
      <c r="A949" t="s">
        <v>46</v>
      </c>
      <c r="B949">
        <v>40</v>
      </c>
      <c r="C949">
        <v>55000</v>
      </c>
      <c r="D949" t="s">
        <v>11</v>
      </c>
      <c r="E949" t="s">
        <v>30</v>
      </c>
      <c r="F949" t="s">
        <v>13</v>
      </c>
      <c r="G949" t="s">
        <v>40</v>
      </c>
      <c r="H949" t="s">
        <v>31</v>
      </c>
      <c r="J949" t="s">
        <v>28</v>
      </c>
    </row>
    <row r="950" spans="1:10" x14ac:dyDescent="0.35">
      <c r="A950" t="s">
        <v>46</v>
      </c>
      <c r="B950">
        <v>25</v>
      </c>
      <c r="C950">
        <v>65000</v>
      </c>
      <c r="D950" t="s">
        <v>36</v>
      </c>
      <c r="E950" t="s">
        <v>37</v>
      </c>
      <c r="F950" t="s">
        <v>13</v>
      </c>
      <c r="G950" t="s">
        <v>40</v>
      </c>
      <c r="H950" t="s">
        <v>27</v>
      </c>
      <c r="I950" t="s">
        <v>15</v>
      </c>
      <c r="J950" t="s">
        <v>33</v>
      </c>
    </row>
    <row r="951" spans="1:10" x14ac:dyDescent="0.35">
      <c r="A951" t="s">
        <v>38</v>
      </c>
      <c r="B951">
        <v>35</v>
      </c>
      <c r="C951">
        <v>55000</v>
      </c>
      <c r="D951" t="s">
        <v>36</v>
      </c>
      <c r="E951" t="s">
        <v>12</v>
      </c>
      <c r="F951" t="s">
        <v>44</v>
      </c>
      <c r="G951">
        <v>43845</v>
      </c>
      <c r="H951" t="s">
        <v>41</v>
      </c>
      <c r="I951" t="s">
        <v>16</v>
      </c>
      <c r="J951" t="s">
        <v>45</v>
      </c>
    </row>
    <row r="952" spans="1:10" x14ac:dyDescent="0.35">
      <c r="A952" t="s">
        <v>10</v>
      </c>
      <c r="B952">
        <v>50</v>
      </c>
      <c r="C952">
        <v>50000</v>
      </c>
      <c r="D952" t="s">
        <v>36</v>
      </c>
      <c r="E952" t="s">
        <v>37</v>
      </c>
      <c r="F952" t="s">
        <v>20</v>
      </c>
      <c r="G952">
        <v>43549</v>
      </c>
      <c r="H952" t="s">
        <v>31</v>
      </c>
      <c r="I952" t="s">
        <v>32</v>
      </c>
      <c r="J952" t="s">
        <v>23</v>
      </c>
    </row>
    <row r="953" spans="1:10" x14ac:dyDescent="0.35">
      <c r="A953" t="s">
        <v>38</v>
      </c>
      <c r="B953">
        <v>40</v>
      </c>
      <c r="C953">
        <v>55000</v>
      </c>
      <c r="D953" t="s">
        <v>36</v>
      </c>
      <c r="E953" t="s">
        <v>26</v>
      </c>
      <c r="F953" t="s">
        <v>20</v>
      </c>
      <c r="G953" t="s">
        <v>40</v>
      </c>
      <c r="H953" t="s">
        <v>27</v>
      </c>
      <c r="I953" t="s">
        <v>15</v>
      </c>
      <c r="J953" t="s">
        <v>45</v>
      </c>
    </row>
    <row r="954" spans="1:10" x14ac:dyDescent="0.35">
      <c r="A954" t="s">
        <v>24</v>
      </c>
      <c r="B954">
        <v>40</v>
      </c>
      <c r="C954">
        <v>50000</v>
      </c>
      <c r="D954" t="s">
        <v>11</v>
      </c>
      <c r="E954" t="s">
        <v>26</v>
      </c>
      <c r="F954" t="s">
        <v>20</v>
      </c>
      <c r="G954">
        <v>43549</v>
      </c>
      <c r="H954" t="s">
        <v>41</v>
      </c>
      <c r="J954" t="s">
        <v>23</v>
      </c>
    </row>
    <row r="955" spans="1:10" x14ac:dyDescent="0.35">
      <c r="A955" t="s">
        <v>35</v>
      </c>
      <c r="B955">
        <v>35</v>
      </c>
      <c r="C955" t="s">
        <v>34</v>
      </c>
      <c r="D955" t="s">
        <v>11</v>
      </c>
      <c r="E955" t="s">
        <v>37</v>
      </c>
      <c r="F955" t="s">
        <v>44</v>
      </c>
      <c r="G955" t="s">
        <v>40</v>
      </c>
      <c r="H955" t="s">
        <v>41</v>
      </c>
      <c r="I955" t="s">
        <v>15</v>
      </c>
      <c r="J955" t="s">
        <v>33</v>
      </c>
    </row>
    <row r="956" spans="1:10" x14ac:dyDescent="0.35">
      <c r="A956" t="s">
        <v>17</v>
      </c>
      <c r="B956">
        <v>40</v>
      </c>
      <c r="C956" t="s">
        <v>25</v>
      </c>
      <c r="D956" t="s">
        <v>36</v>
      </c>
      <c r="E956" t="s">
        <v>26</v>
      </c>
      <c r="F956" t="s">
        <v>20</v>
      </c>
      <c r="G956">
        <v>43195</v>
      </c>
      <c r="H956" t="s">
        <v>27</v>
      </c>
      <c r="I956" t="s">
        <v>22</v>
      </c>
      <c r="J956" t="s">
        <v>16</v>
      </c>
    </row>
    <row r="957" spans="1:10" x14ac:dyDescent="0.35">
      <c r="A957" t="s">
        <v>48</v>
      </c>
      <c r="B957">
        <v>25</v>
      </c>
      <c r="C957">
        <v>65000</v>
      </c>
      <c r="D957" t="s">
        <v>18</v>
      </c>
      <c r="E957" t="s">
        <v>30</v>
      </c>
      <c r="F957" t="s">
        <v>39</v>
      </c>
      <c r="G957" t="s">
        <v>40</v>
      </c>
      <c r="H957" t="s">
        <v>41</v>
      </c>
      <c r="I957" t="s">
        <v>15</v>
      </c>
      <c r="J957" t="s">
        <v>28</v>
      </c>
    </row>
    <row r="958" spans="1:10" x14ac:dyDescent="0.35">
      <c r="A958" t="s">
        <v>17</v>
      </c>
      <c r="B958">
        <v>25</v>
      </c>
      <c r="C958">
        <v>50000</v>
      </c>
      <c r="D958" t="s">
        <v>18</v>
      </c>
      <c r="E958" t="s">
        <v>37</v>
      </c>
      <c r="F958" t="s">
        <v>44</v>
      </c>
      <c r="G958">
        <v>43881</v>
      </c>
      <c r="H958" t="s">
        <v>21</v>
      </c>
      <c r="I958" t="s">
        <v>16</v>
      </c>
      <c r="J958" t="s">
        <v>33</v>
      </c>
    </row>
    <row r="959" spans="1:10" x14ac:dyDescent="0.35">
      <c r="A959" t="s">
        <v>10</v>
      </c>
      <c r="B959">
        <v>35</v>
      </c>
      <c r="C959">
        <v>55000</v>
      </c>
      <c r="D959" t="s">
        <v>11</v>
      </c>
      <c r="E959" t="s">
        <v>30</v>
      </c>
      <c r="F959" t="s">
        <v>39</v>
      </c>
      <c r="G959">
        <v>43845</v>
      </c>
      <c r="H959" t="s">
        <v>27</v>
      </c>
      <c r="I959" t="s">
        <v>15</v>
      </c>
      <c r="J959" t="s">
        <v>23</v>
      </c>
    </row>
    <row r="960" spans="1:10" x14ac:dyDescent="0.35">
      <c r="A960" t="s">
        <v>17</v>
      </c>
      <c r="B960">
        <v>50</v>
      </c>
      <c r="C960">
        <v>65000</v>
      </c>
      <c r="D960" t="s">
        <v>36</v>
      </c>
      <c r="E960" t="s">
        <v>30</v>
      </c>
      <c r="F960" t="s">
        <v>44</v>
      </c>
      <c r="G960">
        <v>43195</v>
      </c>
      <c r="H960" t="s">
        <v>41</v>
      </c>
      <c r="I960" t="s">
        <v>32</v>
      </c>
      <c r="J960" t="s">
        <v>23</v>
      </c>
    </row>
    <row r="961" spans="1:10" x14ac:dyDescent="0.35">
      <c r="A961" t="s">
        <v>46</v>
      </c>
      <c r="B961" t="s">
        <v>16</v>
      </c>
      <c r="C961" t="s">
        <v>25</v>
      </c>
      <c r="D961" t="s">
        <v>36</v>
      </c>
      <c r="E961" t="s">
        <v>19</v>
      </c>
      <c r="F961" t="s">
        <v>20</v>
      </c>
      <c r="G961">
        <v>43195</v>
      </c>
      <c r="H961" t="s">
        <v>31</v>
      </c>
      <c r="I961" t="s">
        <v>15</v>
      </c>
      <c r="J961" t="s">
        <v>23</v>
      </c>
    </row>
    <row r="962" spans="1:10" x14ac:dyDescent="0.35">
      <c r="A962" t="s">
        <v>49</v>
      </c>
      <c r="B962" t="s">
        <v>42</v>
      </c>
      <c r="C962" t="s">
        <v>34</v>
      </c>
      <c r="D962" t="s">
        <v>11</v>
      </c>
      <c r="E962" t="s">
        <v>37</v>
      </c>
      <c r="F962" t="s">
        <v>39</v>
      </c>
      <c r="G962">
        <v>43881</v>
      </c>
      <c r="H962" t="s">
        <v>31</v>
      </c>
      <c r="I962" t="s">
        <v>22</v>
      </c>
      <c r="J962" t="s">
        <v>23</v>
      </c>
    </row>
    <row r="963" spans="1:10" x14ac:dyDescent="0.35">
      <c r="A963" t="s">
        <v>48</v>
      </c>
      <c r="B963" t="s">
        <v>16</v>
      </c>
      <c r="C963">
        <v>65000</v>
      </c>
      <c r="D963" t="s">
        <v>18</v>
      </c>
      <c r="E963" t="s">
        <v>26</v>
      </c>
      <c r="F963" t="s">
        <v>39</v>
      </c>
      <c r="G963" t="s">
        <v>40</v>
      </c>
      <c r="H963" t="s">
        <v>21</v>
      </c>
      <c r="I963" t="s">
        <v>15</v>
      </c>
      <c r="J963" t="s">
        <v>28</v>
      </c>
    </row>
    <row r="964" spans="1:10" x14ac:dyDescent="0.35">
      <c r="A964" t="s">
        <v>29</v>
      </c>
      <c r="B964">
        <v>40</v>
      </c>
      <c r="C964">
        <v>50000</v>
      </c>
      <c r="D964" t="s">
        <v>18</v>
      </c>
      <c r="E964" t="s">
        <v>30</v>
      </c>
      <c r="F964" t="s">
        <v>39</v>
      </c>
      <c r="G964">
        <v>43845</v>
      </c>
      <c r="H964" t="s">
        <v>27</v>
      </c>
      <c r="I964" t="s">
        <v>16</v>
      </c>
      <c r="J964" t="s">
        <v>45</v>
      </c>
    </row>
    <row r="965" spans="1:10" x14ac:dyDescent="0.35">
      <c r="A965" t="s">
        <v>10</v>
      </c>
      <c r="B965" t="s">
        <v>42</v>
      </c>
      <c r="C965" t="s">
        <v>25</v>
      </c>
      <c r="D965" t="s">
        <v>18</v>
      </c>
      <c r="E965" t="s">
        <v>19</v>
      </c>
      <c r="F965" t="s">
        <v>44</v>
      </c>
      <c r="G965">
        <v>43195</v>
      </c>
      <c r="H965" t="s">
        <v>41</v>
      </c>
      <c r="J965" t="s">
        <v>16</v>
      </c>
    </row>
    <row r="966" spans="1:10" x14ac:dyDescent="0.35">
      <c r="A966" t="s">
        <v>48</v>
      </c>
      <c r="B966">
        <v>35</v>
      </c>
      <c r="C966">
        <v>55000</v>
      </c>
      <c r="D966" t="s">
        <v>11</v>
      </c>
      <c r="E966" t="s">
        <v>37</v>
      </c>
      <c r="F966" t="s">
        <v>43</v>
      </c>
      <c r="G966">
        <v>43845</v>
      </c>
      <c r="H966" t="s">
        <v>41</v>
      </c>
      <c r="I966" t="s">
        <v>15</v>
      </c>
      <c r="J966" t="s">
        <v>28</v>
      </c>
    </row>
    <row r="967" spans="1:10" x14ac:dyDescent="0.35">
      <c r="A967" t="s">
        <v>17</v>
      </c>
      <c r="B967">
        <v>35</v>
      </c>
      <c r="C967" t="s">
        <v>25</v>
      </c>
      <c r="D967" t="s">
        <v>18</v>
      </c>
      <c r="E967" t="s">
        <v>37</v>
      </c>
      <c r="F967" t="s">
        <v>20</v>
      </c>
      <c r="G967">
        <v>43195</v>
      </c>
      <c r="H967" t="s">
        <v>31</v>
      </c>
      <c r="I967" t="s">
        <v>15</v>
      </c>
      <c r="J967" t="s">
        <v>23</v>
      </c>
    </row>
    <row r="968" spans="1:10" x14ac:dyDescent="0.35">
      <c r="A968" t="s">
        <v>46</v>
      </c>
      <c r="B968">
        <v>50</v>
      </c>
      <c r="C968" t="s">
        <v>25</v>
      </c>
      <c r="D968" t="s">
        <v>11</v>
      </c>
      <c r="E968" t="s">
        <v>12</v>
      </c>
      <c r="F968" t="s">
        <v>39</v>
      </c>
      <c r="G968" t="s">
        <v>40</v>
      </c>
      <c r="H968" t="s">
        <v>21</v>
      </c>
      <c r="I968" t="s">
        <v>32</v>
      </c>
      <c r="J968" t="s">
        <v>28</v>
      </c>
    </row>
    <row r="969" spans="1:10" x14ac:dyDescent="0.35">
      <c r="A969" t="s">
        <v>47</v>
      </c>
      <c r="B969" t="s">
        <v>42</v>
      </c>
      <c r="C969">
        <v>70000</v>
      </c>
      <c r="D969" t="s">
        <v>11</v>
      </c>
      <c r="E969" t="s">
        <v>12</v>
      </c>
      <c r="F969" t="s">
        <v>43</v>
      </c>
      <c r="G969">
        <v>43195</v>
      </c>
      <c r="H969" t="s">
        <v>31</v>
      </c>
      <c r="I969" t="s">
        <v>16</v>
      </c>
      <c r="J969" t="s">
        <v>33</v>
      </c>
    </row>
    <row r="970" spans="1:10" x14ac:dyDescent="0.35">
      <c r="A970" t="s">
        <v>35</v>
      </c>
      <c r="B970">
        <v>25</v>
      </c>
      <c r="C970" t="s">
        <v>25</v>
      </c>
      <c r="D970" t="s">
        <v>36</v>
      </c>
      <c r="E970" t="s">
        <v>30</v>
      </c>
      <c r="F970" t="s">
        <v>20</v>
      </c>
      <c r="G970">
        <v>43195</v>
      </c>
      <c r="H970" t="s">
        <v>31</v>
      </c>
      <c r="J970" t="s">
        <v>23</v>
      </c>
    </row>
    <row r="971" spans="1:10" x14ac:dyDescent="0.35">
      <c r="A971" t="s">
        <v>29</v>
      </c>
      <c r="B971" t="s">
        <v>42</v>
      </c>
      <c r="C971" t="s">
        <v>25</v>
      </c>
      <c r="D971" t="s">
        <v>18</v>
      </c>
      <c r="E971" t="s">
        <v>12</v>
      </c>
      <c r="F971" t="s">
        <v>20</v>
      </c>
      <c r="G971">
        <v>43549</v>
      </c>
      <c r="H971" t="s">
        <v>21</v>
      </c>
      <c r="I971" t="s">
        <v>22</v>
      </c>
      <c r="J971" t="s">
        <v>16</v>
      </c>
    </row>
    <row r="972" spans="1:10" x14ac:dyDescent="0.35">
      <c r="A972" t="s">
        <v>35</v>
      </c>
      <c r="B972">
        <v>40</v>
      </c>
      <c r="C972">
        <v>65000</v>
      </c>
      <c r="D972" t="s">
        <v>11</v>
      </c>
      <c r="E972" t="s">
        <v>30</v>
      </c>
      <c r="F972" t="s">
        <v>39</v>
      </c>
      <c r="G972" t="s">
        <v>40</v>
      </c>
      <c r="H972" t="s">
        <v>27</v>
      </c>
      <c r="I972" t="s">
        <v>15</v>
      </c>
      <c r="J972" t="s">
        <v>23</v>
      </c>
    </row>
    <row r="973" spans="1:10" x14ac:dyDescent="0.35">
      <c r="A973" t="s">
        <v>48</v>
      </c>
      <c r="B973">
        <v>25</v>
      </c>
      <c r="C973">
        <v>55000</v>
      </c>
      <c r="D973" t="s">
        <v>18</v>
      </c>
      <c r="E973" t="s">
        <v>26</v>
      </c>
      <c r="F973" t="s">
        <v>39</v>
      </c>
      <c r="G973">
        <v>43881</v>
      </c>
      <c r="H973" t="s">
        <v>41</v>
      </c>
      <c r="J973" t="s">
        <v>16</v>
      </c>
    </row>
    <row r="974" spans="1:10" x14ac:dyDescent="0.35">
      <c r="A974" t="s">
        <v>46</v>
      </c>
      <c r="B974">
        <v>35</v>
      </c>
      <c r="C974">
        <v>65000</v>
      </c>
      <c r="D974" t="s">
        <v>18</v>
      </c>
      <c r="E974" t="s">
        <v>30</v>
      </c>
      <c r="F974" t="s">
        <v>44</v>
      </c>
      <c r="G974">
        <v>43881</v>
      </c>
      <c r="H974" t="s">
        <v>27</v>
      </c>
      <c r="I974" t="s">
        <v>22</v>
      </c>
      <c r="J974" t="s">
        <v>16</v>
      </c>
    </row>
    <row r="975" spans="1:10" x14ac:dyDescent="0.35">
      <c r="A975" t="s">
        <v>46</v>
      </c>
      <c r="B975" t="s">
        <v>42</v>
      </c>
      <c r="C975">
        <v>65000</v>
      </c>
      <c r="D975" t="s">
        <v>36</v>
      </c>
      <c r="E975" t="s">
        <v>12</v>
      </c>
      <c r="F975" t="s">
        <v>43</v>
      </c>
      <c r="G975" t="s">
        <v>40</v>
      </c>
      <c r="H975" t="s">
        <v>14</v>
      </c>
      <c r="I975" t="s">
        <v>16</v>
      </c>
      <c r="J975" t="s">
        <v>45</v>
      </c>
    </row>
    <row r="976" spans="1:10" x14ac:dyDescent="0.35">
      <c r="A976" t="s">
        <v>17</v>
      </c>
      <c r="B976" t="s">
        <v>16</v>
      </c>
      <c r="C976">
        <v>50000</v>
      </c>
      <c r="D976" t="s">
        <v>18</v>
      </c>
      <c r="E976" t="s">
        <v>26</v>
      </c>
      <c r="F976" t="s">
        <v>43</v>
      </c>
      <c r="G976">
        <v>43881</v>
      </c>
      <c r="H976" t="s">
        <v>14</v>
      </c>
      <c r="I976" t="s">
        <v>16</v>
      </c>
      <c r="J976" t="s">
        <v>45</v>
      </c>
    </row>
    <row r="977" spans="1:10" x14ac:dyDescent="0.35">
      <c r="A977" t="s">
        <v>24</v>
      </c>
      <c r="B977">
        <v>50</v>
      </c>
      <c r="C977">
        <v>65000</v>
      </c>
      <c r="D977" t="s">
        <v>36</v>
      </c>
      <c r="E977" t="s">
        <v>12</v>
      </c>
      <c r="F977" t="s">
        <v>39</v>
      </c>
      <c r="G977" t="s">
        <v>40</v>
      </c>
      <c r="H977" t="s">
        <v>14</v>
      </c>
      <c r="J977" t="s">
        <v>28</v>
      </c>
    </row>
    <row r="978" spans="1:10" x14ac:dyDescent="0.35">
      <c r="A978" t="s">
        <v>17</v>
      </c>
      <c r="B978" t="s">
        <v>16</v>
      </c>
      <c r="C978">
        <v>70000</v>
      </c>
      <c r="D978" t="s">
        <v>11</v>
      </c>
      <c r="E978" t="s">
        <v>30</v>
      </c>
      <c r="F978" t="s">
        <v>20</v>
      </c>
      <c r="G978">
        <v>43881</v>
      </c>
      <c r="H978" t="s">
        <v>21</v>
      </c>
      <c r="I978" t="s">
        <v>22</v>
      </c>
      <c r="J978" t="s">
        <v>28</v>
      </c>
    </row>
    <row r="979" spans="1:10" x14ac:dyDescent="0.35">
      <c r="A979" t="s">
        <v>24</v>
      </c>
      <c r="B979">
        <v>50</v>
      </c>
      <c r="C979">
        <v>70000</v>
      </c>
      <c r="D979" t="s">
        <v>18</v>
      </c>
      <c r="E979" t="s">
        <v>19</v>
      </c>
      <c r="F979" t="s">
        <v>39</v>
      </c>
      <c r="G979">
        <v>43549</v>
      </c>
      <c r="H979" t="s">
        <v>31</v>
      </c>
      <c r="I979" t="s">
        <v>16</v>
      </c>
      <c r="J979" t="s">
        <v>16</v>
      </c>
    </row>
    <row r="980" spans="1:10" x14ac:dyDescent="0.35">
      <c r="A980" t="s">
        <v>24</v>
      </c>
      <c r="B980">
        <v>40</v>
      </c>
      <c r="C980">
        <v>50000</v>
      </c>
      <c r="D980" t="s">
        <v>11</v>
      </c>
      <c r="E980" t="s">
        <v>37</v>
      </c>
      <c r="F980" t="s">
        <v>20</v>
      </c>
      <c r="G980">
        <v>43881</v>
      </c>
      <c r="H980" t="s">
        <v>27</v>
      </c>
      <c r="J980" t="s">
        <v>23</v>
      </c>
    </row>
    <row r="981" spans="1:10" x14ac:dyDescent="0.35">
      <c r="A981" t="s">
        <v>29</v>
      </c>
      <c r="B981" t="s">
        <v>16</v>
      </c>
      <c r="C981" t="s">
        <v>34</v>
      </c>
      <c r="D981" t="s">
        <v>18</v>
      </c>
      <c r="E981" t="s">
        <v>12</v>
      </c>
      <c r="F981" t="s">
        <v>20</v>
      </c>
      <c r="G981">
        <v>43195</v>
      </c>
      <c r="H981" t="s">
        <v>41</v>
      </c>
      <c r="I981" t="s">
        <v>16</v>
      </c>
      <c r="J981" t="s">
        <v>33</v>
      </c>
    </row>
    <row r="982" spans="1:10" x14ac:dyDescent="0.35">
      <c r="A982" t="s">
        <v>17</v>
      </c>
      <c r="B982" t="s">
        <v>42</v>
      </c>
      <c r="C982">
        <v>55000</v>
      </c>
      <c r="D982" t="s">
        <v>11</v>
      </c>
      <c r="E982" t="s">
        <v>30</v>
      </c>
      <c r="F982" t="s">
        <v>39</v>
      </c>
      <c r="G982" t="s">
        <v>40</v>
      </c>
      <c r="H982" t="s">
        <v>14</v>
      </c>
      <c r="I982" t="s">
        <v>16</v>
      </c>
      <c r="J982" t="s">
        <v>33</v>
      </c>
    </row>
    <row r="983" spans="1:10" x14ac:dyDescent="0.35">
      <c r="A983" t="s">
        <v>47</v>
      </c>
      <c r="B983" t="s">
        <v>42</v>
      </c>
      <c r="C983">
        <v>55000</v>
      </c>
      <c r="D983" t="s">
        <v>18</v>
      </c>
      <c r="E983" t="s">
        <v>26</v>
      </c>
      <c r="F983" t="s">
        <v>13</v>
      </c>
      <c r="G983">
        <v>43845</v>
      </c>
      <c r="H983" t="s">
        <v>27</v>
      </c>
      <c r="I983" t="s">
        <v>16</v>
      </c>
      <c r="J983" t="s">
        <v>23</v>
      </c>
    </row>
    <row r="984" spans="1:10" x14ac:dyDescent="0.35">
      <c r="A984" t="s">
        <v>38</v>
      </c>
      <c r="B984" t="s">
        <v>16</v>
      </c>
      <c r="C984">
        <v>65000</v>
      </c>
      <c r="D984" t="s">
        <v>18</v>
      </c>
      <c r="E984" t="s">
        <v>12</v>
      </c>
      <c r="F984" t="s">
        <v>43</v>
      </c>
      <c r="G984">
        <v>43845</v>
      </c>
      <c r="H984" t="s">
        <v>14</v>
      </c>
      <c r="I984" t="s">
        <v>32</v>
      </c>
      <c r="J984" t="s">
        <v>23</v>
      </c>
    </row>
    <row r="985" spans="1:10" x14ac:dyDescent="0.35">
      <c r="A985" t="s">
        <v>38</v>
      </c>
      <c r="B985" t="s">
        <v>42</v>
      </c>
      <c r="C985">
        <v>65000</v>
      </c>
      <c r="D985" t="s">
        <v>18</v>
      </c>
      <c r="E985" t="s">
        <v>12</v>
      </c>
      <c r="F985" t="s">
        <v>20</v>
      </c>
      <c r="G985" t="s">
        <v>40</v>
      </c>
      <c r="H985" t="s">
        <v>14</v>
      </c>
      <c r="I985" t="s">
        <v>22</v>
      </c>
      <c r="J985" t="s">
        <v>45</v>
      </c>
    </row>
    <row r="986" spans="1:10" x14ac:dyDescent="0.35">
      <c r="A986" t="s">
        <v>17</v>
      </c>
      <c r="B986">
        <v>40</v>
      </c>
      <c r="C986" t="s">
        <v>34</v>
      </c>
      <c r="D986" t="s">
        <v>18</v>
      </c>
      <c r="E986" t="s">
        <v>37</v>
      </c>
      <c r="F986" t="s">
        <v>20</v>
      </c>
      <c r="G986">
        <v>43549</v>
      </c>
      <c r="H986" t="s">
        <v>41</v>
      </c>
      <c r="J986" t="s">
        <v>33</v>
      </c>
    </row>
    <row r="987" spans="1:10" x14ac:dyDescent="0.35">
      <c r="A987" t="s">
        <v>17</v>
      </c>
      <c r="B987">
        <v>25</v>
      </c>
      <c r="C987">
        <v>65000</v>
      </c>
      <c r="D987" t="s">
        <v>18</v>
      </c>
      <c r="E987" t="s">
        <v>30</v>
      </c>
      <c r="F987" t="s">
        <v>13</v>
      </c>
      <c r="G987">
        <v>43881</v>
      </c>
      <c r="H987" t="s">
        <v>21</v>
      </c>
      <c r="J987" t="s">
        <v>16</v>
      </c>
    </row>
    <row r="988" spans="1:10" x14ac:dyDescent="0.35">
      <c r="A988" t="s">
        <v>35</v>
      </c>
      <c r="B988">
        <v>40</v>
      </c>
      <c r="C988">
        <v>55000</v>
      </c>
      <c r="D988" t="s">
        <v>18</v>
      </c>
      <c r="E988" t="s">
        <v>19</v>
      </c>
      <c r="F988" t="s">
        <v>44</v>
      </c>
      <c r="G988">
        <v>43549</v>
      </c>
      <c r="H988" t="s">
        <v>31</v>
      </c>
      <c r="I988" t="s">
        <v>22</v>
      </c>
      <c r="J988" t="s">
        <v>28</v>
      </c>
    </row>
    <row r="989" spans="1:10" x14ac:dyDescent="0.35">
      <c r="A989" t="s">
        <v>29</v>
      </c>
      <c r="B989">
        <v>50</v>
      </c>
      <c r="C989" t="s">
        <v>25</v>
      </c>
      <c r="D989" t="s">
        <v>18</v>
      </c>
      <c r="E989" t="s">
        <v>26</v>
      </c>
      <c r="F989" t="s">
        <v>13</v>
      </c>
      <c r="G989">
        <v>43845</v>
      </c>
      <c r="H989" t="s">
        <v>21</v>
      </c>
      <c r="I989" t="s">
        <v>22</v>
      </c>
      <c r="J989" t="s">
        <v>45</v>
      </c>
    </row>
    <row r="990" spans="1:10" x14ac:dyDescent="0.35">
      <c r="A990" t="s">
        <v>17</v>
      </c>
      <c r="B990">
        <v>40</v>
      </c>
      <c r="C990">
        <v>70000</v>
      </c>
      <c r="D990" t="s">
        <v>18</v>
      </c>
      <c r="E990" t="s">
        <v>30</v>
      </c>
      <c r="F990" t="s">
        <v>13</v>
      </c>
      <c r="G990" t="s">
        <v>40</v>
      </c>
      <c r="H990" t="s">
        <v>27</v>
      </c>
      <c r="I990" t="s">
        <v>22</v>
      </c>
      <c r="J990" t="s">
        <v>33</v>
      </c>
    </row>
    <row r="991" spans="1:10" x14ac:dyDescent="0.35">
      <c r="A991" t="s">
        <v>35</v>
      </c>
      <c r="B991">
        <v>50</v>
      </c>
      <c r="C991" t="s">
        <v>25</v>
      </c>
      <c r="D991" t="s">
        <v>18</v>
      </c>
      <c r="E991" t="s">
        <v>26</v>
      </c>
      <c r="F991" t="s">
        <v>20</v>
      </c>
      <c r="G991" t="s">
        <v>40</v>
      </c>
      <c r="H991" t="s">
        <v>21</v>
      </c>
      <c r="I991" t="s">
        <v>22</v>
      </c>
      <c r="J991" t="s">
        <v>23</v>
      </c>
    </row>
    <row r="992" spans="1:10" x14ac:dyDescent="0.35">
      <c r="A992" t="s">
        <v>24</v>
      </c>
      <c r="B992" t="s">
        <v>42</v>
      </c>
      <c r="C992" t="s">
        <v>25</v>
      </c>
      <c r="D992" t="s">
        <v>11</v>
      </c>
      <c r="E992" t="s">
        <v>12</v>
      </c>
      <c r="F992" t="s">
        <v>43</v>
      </c>
      <c r="G992">
        <v>43549</v>
      </c>
      <c r="H992" t="s">
        <v>27</v>
      </c>
      <c r="I992" t="s">
        <v>15</v>
      </c>
      <c r="J992" t="s">
        <v>33</v>
      </c>
    </row>
    <row r="993" spans="1:10" x14ac:dyDescent="0.35">
      <c r="A993" t="s">
        <v>46</v>
      </c>
      <c r="B993">
        <v>25</v>
      </c>
      <c r="C993">
        <v>55000</v>
      </c>
      <c r="D993" t="s">
        <v>36</v>
      </c>
      <c r="E993" t="s">
        <v>37</v>
      </c>
      <c r="F993" t="s">
        <v>13</v>
      </c>
      <c r="G993">
        <v>43549</v>
      </c>
      <c r="H993" t="s">
        <v>27</v>
      </c>
      <c r="J993" t="s">
        <v>16</v>
      </c>
    </row>
    <row r="994" spans="1:10" x14ac:dyDescent="0.35">
      <c r="A994" t="s">
        <v>46</v>
      </c>
      <c r="B994" t="s">
        <v>42</v>
      </c>
      <c r="C994" t="s">
        <v>25</v>
      </c>
      <c r="D994" t="s">
        <v>18</v>
      </c>
      <c r="E994" t="s">
        <v>37</v>
      </c>
      <c r="F994" t="s">
        <v>44</v>
      </c>
      <c r="G994">
        <v>43881</v>
      </c>
      <c r="H994" t="s">
        <v>31</v>
      </c>
      <c r="I994" t="s">
        <v>15</v>
      </c>
      <c r="J994" t="s">
        <v>45</v>
      </c>
    </row>
    <row r="995" spans="1:10" x14ac:dyDescent="0.35">
      <c r="A995" t="s">
        <v>24</v>
      </c>
      <c r="B995">
        <v>35</v>
      </c>
      <c r="C995" t="s">
        <v>34</v>
      </c>
      <c r="D995" t="s">
        <v>36</v>
      </c>
      <c r="E995" t="s">
        <v>19</v>
      </c>
      <c r="F995" t="s">
        <v>39</v>
      </c>
      <c r="G995">
        <v>43195</v>
      </c>
      <c r="H995" t="s">
        <v>41</v>
      </c>
      <c r="I995" t="s">
        <v>16</v>
      </c>
      <c r="J995" t="s">
        <v>23</v>
      </c>
    </row>
    <row r="996" spans="1:10" x14ac:dyDescent="0.35">
      <c r="A996" t="s">
        <v>10</v>
      </c>
      <c r="B996" t="s">
        <v>42</v>
      </c>
      <c r="C996">
        <v>50000</v>
      </c>
      <c r="D996" t="s">
        <v>18</v>
      </c>
      <c r="E996" t="s">
        <v>37</v>
      </c>
      <c r="F996" t="s">
        <v>13</v>
      </c>
      <c r="G996">
        <v>43195</v>
      </c>
      <c r="H996" t="s">
        <v>31</v>
      </c>
      <c r="I996" t="s">
        <v>16</v>
      </c>
      <c r="J996" t="s">
        <v>16</v>
      </c>
    </row>
    <row r="997" spans="1:10" x14ac:dyDescent="0.35">
      <c r="A997" t="s">
        <v>35</v>
      </c>
      <c r="B997">
        <v>50</v>
      </c>
      <c r="C997">
        <v>65000</v>
      </c>
      <c r="D997" t="s">
        <v>18</v>
      </c>
      <c r="E997" t="s">
        <v>12</v>
      </c>
      <c r="F997" t="s">
        <v>13</v>
      </c>
      <c r="G997">
        <v>43881</v>
      </c>
      <c r="H997" t="s">
        <v>21</v>
      </c>
      <c r="J997" t="s">
        <v>28</v>
      </c>
    </row>
    <row r="998" spans="1:10" x14ac:dyDescent="0.35">
      <c r="A998" t="s">
        <v>35</v>
      </c>
      <c r="B998" t="s">
        <v>42</v>
      </c>
      <c r="C998">
        <v>50000</v>
      </c>
      <c r="D998" t="s">
        <v>11</v>
      </c>
      <c r="E998" t="s">
        <v>19</v>
      </c>
      <c r="F998" t="s">
        <v>44</v>
      </c>
      <c r="G998">
        <v>43195</v>
      </c>
      <c r="H998" t="s">
        <v>27</v>
      </c>
      <c r="I998" t="s">
        <v>16</v>
      </c>
      <c r="J998" t="s">
        <v>45</v>
      </c>
    </row>
    <row r="999" spans="1:10" x14ac:dyDescent="0.35">
      <c r="A999" t="s">
        <v>24</v>
      </c>
      <c r="B999" t="s">
        <v>42</v>
      </c>
      <c r="C999">
        <v>70000</v>
      </c>
      <c r="D999" t="s">
        <v>11</v>
      </c>
      <c r="E999" t="s">
        <v>30</v>
      </c>
      <c r="F999" t="s">
        <v>43</v>
      </c>
      <c r="G999">
        <v>43845</v>
      </c>
      <c r="H999" t="s">
        <v>14</v>
      </c>
      <c r="I999" t="s">
        <v>22</v>
      </c>
      <c r="J999" t="s">
        <v>16</v>
      </c>
    </row>
    <row r="1000" spans="1:10" x14ac:dyDescent="0.35">
      <c r="A1000" t="s">
        <v>47</v>
      </c>
      <c r="B1000">
        <v>25</v>
      </c>
      <c r="C1000">
        <v>65000</v>
      </c>
      <c r="D1000" t="s">
        <v>36</v>
      </c>
      <c r="E1000" t="s">
        <v>37</v>
      </c>
      <c r="F1000" t="s">
        <v>13</v>
      </c>
      <c r="G1000">
        <v>43195</v>
      </c>
      <c r="H1000" t="s">
        <v>14</v>
      </c>
      <c r="I1000" t="s">
        <v>15</v>
      </c>
      <c r="J1000" t="s">
        <v>16</v>
      </c>
    </row>
    <row r="1001" spans="1:10" x14ac:dyDescent="0.35">
      <c r="A1001" t="s">
        <v>49</v>
      </c>
      <c r="B1001" t="s">
        <v>42</v>
      </c>
      <c r="C1001" t="s">
        <v>25</v>
      </c>
      <c r="D1001" t="s">
        <v>11</v>
      </c>
      <c r="E1001" t="s">
        <v>19</v>
      </c>
      <c r="F1001" t="s">
        <v>13</v>
      </c>
      <c r="G1001">
        <v>43881</v>
      </c>
      <c r="H1001" t="s">
        <v>27</v>
      </c>
      <c r="I1001" t="s">
        <v>22</v>
      </c>
      <c r="J100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C6BC-5B4D-4CD7-AF46-9EDA3D464BB7}">
  <dimension ref="A1:U1002"/>
  <sheetViews>
    <sheetView workbookViewId="0">
      <pane ySplit="1" topLeftCell="A2" activePane="bottomLeft" state="frozen"/>
      <selection pane="bottomLeft" activeCell="U7" sqref="U7"/>
    </sheetView>
  </sheetViews>
  <sheetFormatPr defaultRowHeight="14.5" x14ac:dyDescent="0.35"/>
  <cols>
    <col min="4" max="4" width="8.90625" customWidth="1"/>
    <col min="5" max="5" width="12.81640625" customWidth="1"/>
    <col min="6" max="6" width="9.6328125" customWidth="1"/>
    <col min="7" max="7" width="16.90625" customWidth="1"/>
    <col min="8" max="8" width="13.36328125" customWidth="1"/>
    <col min="9" max="9" width="12.7265625" customWidth="1"/>
    <col min="10" max="10" width="18.6328125" customWidth="1"/>
    <col min="11" max="11" width="32.1796875" customWidth="1"/>
    <col min="12" max="12" width="25.81640625" customWidth="1"/>
    <col min="14" max="14" width="17.54296875" customWidth="1"/>
    <col min="18" max="18" width="21.6328125" customWidth="1"/>
    <col min="19" max="19" width="28.08984375" customWidth="1"/>
    <col min="20" max="20" width="20.1796875" customWidth="1"/>
    <col min="21" max="21" width="20.1796875" style="3" customWidth="1"/>
    <col min="22" max="22" width="13.81640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90</v>
      </c>
      <c r="I1" t="s">
        <v>91</v>
      </c>
      <c r="J1" t="s">
        <v>7</v>
      </c>
      <c r="K1" t="s">
        <v>8</v>
      </c>
      <c r="L1" t="s">
        <v>9</v>
      </c>
      <c r="M1" t="s">
        <v>68</v>
      </c>
      <c r="N1" t="s">
        <v>70</v>
      </c>
      <c r="O1" t="s">
        <v>74</v>
      </c>
      <c r="P1" t="s">
        <v>78</v>
      </c>
      <c r="Q1" t="s">
        <v>85</v>
      </c>
      <c r="R1" t="s">
        <v>86</v>
      </c>
      <c r="S1" s="3" t="s">
        <v>84</v>
      </c>
      <c r="T1" t="s">
        <v>90</v>
      </c>
      <c r="U1" t="s">
        <v>91</v>
      </c>
    </row>
    <row r="2" spans="1:21" x14ac:dyDescent="0.35">
      <c r="A2" t="s">
        <v>99</v>
      </c>
      <c r="B2">
        <v>25</v>
      </c>
      <c r="C2">
        <v>50000</v>
      </c>
      <c r="D2" t="s">
        <v>11</v>
      </c>
      <c r="E2" t="s">
        <v>12</v>
      </c>
      <c r="F2" t="s">
        <v>13</v>
      </c>
      <c r="G2" s="3">
        <v>43195</v>
      </c>
      <c r="H2" t="str">
        <f>TEXT(tbl_HR_Data[[#This Row],[Joining Date]], "mmm")</f>
        <v>Apr</v>
      </c>
      <c r="I2" t="s">
        <v>92</v>
      </c>
      <c r="J2" t="s">
        <v>14</v>
      </c>
      <c r="K2" t="s">
        <v>15</v>
      </c>
      <c r="L2" t="s">
        <v>77</v>
      </c>
      <c r="M2">
        <f>IFERROR( _xlfn.XLOOKUP(TRIM(tbl_HR_Data[[#This Row],[Age]]),#REF!,#REF!), VALUE(TRIM(tbl_HR_Data[[#This Row],[Age]])))</f>
        <v>25</v>
      </c>
      <c r="N2" t="str">
        <f>IFERROR(_xlfn.XLOOKUP(tbl_HR_Data[[#This Row],[Gender]], Mapping[Gender _Discarded], Mapping[Gender_Correction]), PROPER(TRIM(tbl_HR_Data[[#This Row],[Gender]])))</f>
        <v>Male</v>
      </c>
      <c r="O2" t="str">
        <f>TRIM(tbl_HR_Data[[#This Row],[Position]])</f>
        <v>Manager</v>
      </c>
      <c r="P2" t="str">
        <f>IFERROR(_xlfn.XLOOKUP(tbl_HR_Data[[#This Row],[Email]], Mapping[Email_Discarded], Mapping[Email_Correction]), LOWER(TRIM(tbl_HR_Data[[#This Row],[Email]])))</f>
        <v>email@example.com</v>
      </c>
      <c r="Q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" t="str" cm="1">
        <f t="array" ref="R2">_xlfn.REDUCE(Q2, {"-","/","_","\","(",")"}, _xlfn.LAMBDA(_xlpm.txt,_xlpm.itm, SUBSTITUTE(_xlpm.txt, _xlpm.itm, "")))</f>
        <v>Not Provided</v>
      </c>
      <c r="S2" s="3">
        <f>IFERROR(_xlfn.XLOOKUP(tbl_HR_Data[[#This Row],[Joining Date]], Mapping[Joining_Discarded], Mapping[Joining_Correction]), VALUE(tbl_HR_Data[[#This Row],[Joining Date]]))</f>
        <v>43195</v>
      </c>
      <c r="T2" t="str">
        <f>TEXT(tbl_HR_Data[[#This Row],[Joining Date]], "mmm")</f>
        <v>Apr</v>
      </c>
      <c r="U2" t="str">
        <f>TEXT(tbl_HR_Data[[#This Row],[Joining Date]], "ddd")</f>
        <v>Thu</v>
      </c>
    </row>
    <row r="3" spans="1:21" x14ac:dyDescent="0.35">
      <c r="A3" t="s">
        <v>100</v>
      </c>
      <c r="B3">
        <v>35</v>
      </c>
      <c r="C3">
        <v>50000</v>
      </c>
      <c r="D3" t="s">
        <v>18</v>
      </c>
      <c r="E3" t="s">
        <v>30</v>
      </c>
      <c r="F3" t="s">
        <v>13</v>
      </c>
      <c r="G3" s="3">
        <v>43195</v>
      </c>
      <c r="H3" t="str">
        <f>TEXT(tbl_HR_Data[[#This Row],[Joining Date]], "mmm")</f>
        <v>Apr</v>
      </c>
      <c r="I3" t="s">
        <v>92</v>
      </c>
      <c r="J3" t="s">
        <v>31</v>
      </c>
      <c r="K3" t="s">
        <v>32</v>
      </c>
      <c r="L3" t="s">
        <v>77</v>
      </c>
      <c r="M3">
        <f>IFERROR( _xlfn.XLOOKUP(TRIM(tbl_HR_Data[[#This Row],[Age]]),#REF!,#REF!), VALUE(TRIM(tbl_HR_Data[[#This Row],[Age]])))</f>
        <v>35</v>
      </c>
      <c r="N3" t="str">
        <f>IFERROR(_xlfn.XLOOKUP(tbl_HR_Data[[#This Row],[Gender]], Mapping[Gender _Discarded], Mapping[Gender_Correction]), PROPER(TRIM(tbl_HR_Data[[#This Row],[Gender]])))</f>
        <v>Female</v>
      </c>
      <c r="O3" t="str">
        <f>TRIM(tbl_HR_Data[[#This Row],[Position]])</f>
        <v>Manager</v>
      </c>
      <c r="P3" t="str">
        <f>IFERROR(_xlfn.XLOOKUP(tbl_HR_Data[[#This Row],[Email]], Mapping[Email_Discarded], Mapping[Email_Correction]), LOWER(TRIM(tbl_HR_Data[[#This Row],[Email]])))</f>
        <v>name@company.org</v>
      </c>
      <c r="Q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" t="str" cm="1">
        <f t="array" ref="R3">_xlfn.REDUCE(Q3, {"-","/","_","\","(",")"}, _xlfn.LAMBDA(_xlpm.txt,_xlpm.itm, SUBSTITUTE(_xlpm.txt, _xlpm.itm, "")))</f>
        <v>Not Provided</v>
      </c>
      <c r="S3" s="3">
        <f>IFERROR(_xlfn.XLOOKUP(tbl_HR_Data[[#This Row],[Joining Date]], Mapping[Joining_Discarded], Mapping[Joining_Correction]), VALUE(tbl_HR_Data[[#This Row],[Joining Date]]))</f>
        <v>43195</v>
      </c>
      <c r="T3" t="str">
        <f>TEXT(tbl_HR_Data[[#This Row],[Joining Date]], "mmm")</f>
        <v>Apr</v>
      </c>
      <c r="U3" t="str">
        <f>TEXT(tbl_HR_Data[[#This Row],[Joining Date]], "ddd")</f>
        <v>Thu</v>
      </c>
    </row>
    <row r="4" spans="1:21" x14ac:dyDescent="0.35">
      <c r="A4" t="s">
        <v>101</v>
      </c>
      <c r="B4">
        <v>0</v>
      </c>
      <c r="C4">
        <v>50000</v>
      </c>
      <c r="D4" t="s">
        <v>11</v>
      </c>
      <c r="E4" t="s">
        <v>30</v>
      </c>
      <c r="F4" t="s">
        <v>43</v>
      </c>
      <c r="G4" s="3">
        <v>43195</v>
      </c>
      <c r="H4" t="str">
        <f>TEXT(tbl_HR_Data[[#This Row],[Joining Date]], "mmm")</f>
        <v>Apr</v>
      </c>
      <c r="I4" t="s">
        <v>92</v>
      </c>
      <c r="J4" t="s">
        <v>14</v>
      </c>
      <c r="K4" t="s">
        <v>77</v>
      </c>
      <c r="L4" t="s">
        <v>77</v>
      </c>
      <c r="M4">
        <f>IFERROR( _xlfn.XLOOKUP(TRIM(tbl_HR_Data[[#This Row],[Age]]),#REF!,#REF!), VALUE(TRIM(tbl_HR_Data[[#This Row],[Age]])))</f>
        <v>0</v>
      </c>
      <c r="N4" t="str">
        <f>IFERROR(_xlfn.XLOOKUP(tbl_HR_Data[[#This Row],[Gender]], Mapping[Gender _Discarded], Mapping[Gender_Correction]), PROPER(TRIM(tbl_HR_Data[[#This Row],[Gender]])))</f>
        <v>Male</v>
      </c>
      <c r="O4" t="str">
        <f>TRIM(tbl_HR_Data[[#This Row],[Position]])</f>
        <v>Assistant</v>
      </c>
      <c r="P4" t="str">
        <f>IFERROR(_xlfn.XLOOKUP(tbl_HR_Data[[#This Row],[Email]], Mapping[Email_Discarded], Mapping[Email_Correction]), LOWER(TRIM(tbl_HR_Data[[#This Row],[Email]])))</f>
        <v>not provided</v>
      </c>
      <c r="Q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" t="str" cm="1">
        <f t="array" ref="R4">_xlfn.REDUCE(Q4, {"-","/","_","\","(",")"}, _xlfn.LAMBDA(_xlpm.txt,_xlpm.itm, SUBSTITUTE(_xlpm.txt, _xlpm.itm, "")))</f>
        <v>Not Provided</v>
      </c>
      <c r="S4" s="3">
        <f>IFERROR(_xlfn.XLOOKUP(tbl_HR_Data[[#This Row],[Joining Date]], Mapping[Joining_Discarded], Mapping[Joining_Correction]), VALUE(tbl_HR_Data[[#This Row],[Joining Date]]))</f>
        <v>43195</v>
      </c>
      <c r="T4" t="str">
        <f>TEXT(tbl_HR_Data[[#This Row],[Joining Date]], "mmm")</f>
        <v>Apr</v>
      </c>
      <c r="U4" t="str">
        <f>TEXT(tbl_HR_Data[[#This Row],[Joining Date]], "ddd")</f>
        <v>Thu</v>
      </c>
    </row>
    <row r="5" spans="1:21" x14ac:dyDescent="0.35">
      <c r="A5" t="s">
        <v>100</v>
      </c>
      <c r="B5">
        <v>50</v>
      </c>
      <c r="C5">
        <v>65000</v>
      </c>
      <c r="D5" t="s">
        <v>11</v>
      </c>
      <c r="E5" t="s">
        <v>19</v>
      </c>
      <c r="F5" t="s">
        <v>39</v>
      </c>
      <c r="G5" s="3">
        <v>43195</v>
      </c>
      <c r="H5" t="str">
        <f>TEXT(tbl_HR_Data[[#This Row],[Joining Date]], "mmm")</f>
        <v>Apr</v>
      </c>
      <c r="I5" t="s">
        <v>92</v>
      </c>
      <c r="J5" t="s">
        <v>21</v>
      </c>
      <c r="K5" t="s">
        <v>77</v>
      </c>
      <c r="L5" t="s">
        <v>87</v>
      </c>
      <c r="M5">
        <f>IFERROR( _xlfn.XLOOKUP(TRIM(tbl_HR_Data[[#This Row],[Age]]),#REF!,#REF!), VALUE(TRIM(tbl_HR_Data[[#This Row],[Age]])))</f>
        <v>50</v>
      </c>
      <c r="N5" t="str">
        <f>IFERROR(_xlfn.XLOOKUP(tbl_HR_Data[[#This Row],[Gender]], Mapping[Gender _Discarded], Mapping[Gender_Correction]), PROPER(TRIM(tbl_HR_Data[[#This Row],[Gender]])))</f>
        <v>Male</v>
      </c>
      <c r="O5" t="str">
        <f>TRIM(tbl_HR_Data[[#This Row],[Position]])</f>
        <v>Clerk</v>
      </c>
      <c r="P5" t="str">
        <f>IFERROR(_xlfn.XLOOKUP(tbl_HR_Data[[#This Row],[Email]], Mapping[Email_Discarded], Mapping[Email_Correction]), LOWER(TRIM(tbl_HR_Data[[#This Row],[Email]])))</f>
        <v>not provided</v>
      </c>
      <c r="Q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" t="str" cm="1">
        <f t="array" ref="R5">_xlfn.REDUCE(Q5, {"-","/","_","\","(",")"}, _xlfn.LAMBDA(_xlpm.txt,_xlpm.itm, SUBSTITUTE(_xlpm.txt, _xlpm.itm, "")))</f>
        <v>1234567890</v>
      </c>
      <c r="S5" s="3">
        <f>IFERROR(_xlfn.XLOOKUP(tbl_HR_Data[[#This Row],[Joining Date]], Mapping[Joining_Discarded], Mapping[Joining_Correction]), VALUE(tbl_HR_Data[[#This Row],[Joining Date]]))</f>
        <v>43195</v>
      </c>
      <c r="T5" t="str">
        <f>TEXT(tbl_HR_Data[[#This Row],[Joining Date]], "mmm")</f>
        <v>Apr</v>
      </c>
      <c r="U5" t="str">
        <f>TEXT(tbl_HR_Data[[#This Row],[Joining Date]], "ddd")</f>
        <v>Thu</v>
      </c>
    </row>
    <row r="6" spans="1:21" x14ac:dyDescent="0.35">
      <c r="A6" t="s">
        <v>101</v>
      </c>
      <c r="B6">
        <v>40</v>
      </c>
      <c r="C6">
        <v>55000</v>
      </c>
      <c r="D6" t="s">
        <v>11</v>
      </c>
      <c r="E6" t="s">
        <v>12</v>
      </c>
      <c r="F6" t="s">
        <v>20</v>
      </c>
      <c r="G6" s="3">
        <v>43195</v>
      </c>
      <c r="H6" t="str">
        <f>TEXT(tbl_HR_Data[[#This Row],[Joining Date]], "mmm")</f>
        <v>Apr</v>
      </c>
      <c r="I6" t="s">
        <v>92</v>
      </c>
      <c r="J6" t="s">
        <v>14</v>
      </c>
      <c r="K6" t="s">
        <v>22</v>
      </c>
      <c r="L6" t="s">
        <v>77</v>
      </c>
      <c r="M6">
        <f>IFERROR( _xlfn.XLOOKUP(TRIM(tbl_HR_Data[[#This Row],[Age]]),#REF!,#REF!), VALUE(TRIM(tbl_HR_Data[[#This Row],[Age]])))</f>
        <v>40</v>
      </c>
      <c r="N6" t="str">
        <f>IFERROR(_xlfn.XLOOKUP(tbl_HR_Data[[#This Row],[Gender]], Mapping[Gender _Discarded], Mapping[Gender_Correction]), PROPER(TRIM(tbl_HR_Data[[#This Row],[Gender]])))</f>
        <v>Male</v>
      </c>
      <c r="O6" t="str">
        <f>TRIM(tbl_HR_Data[[#This Row],[Position]])</f>
        <v>Director</v>
      </c>
      <c r="P6" t="str">
        <f>IFERROR(_xlfn.XLOOKUP(tbl_HR_Data[[#This Row],[Email]], Mapping[Email_Discarded], Mapping[Email_Correction]), LOWER(TRIM(tbl_HR_Data[[#This Row],[Email]])))</f>
        <v>user@domain.com</v>
      </c>
      <c r="Q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" t="str" cm="1">
        <f t="array" ref="R6">_xlfn.REDUCE(Q6, {"-","/","_","\","(",")"}, _xlfn.LAMBDA(_xlpm.txt,_xlpm.itm, SUBSTITUTE(_xlpm.txt, _xlpm.itm, "")))</f>
        <v>Not Provided</v>
      </c>
      <c r="S6" s="3">
        <f>IFERROR(_xlfn.XLOOKUP(tbl_HR_Data[[#This Row],[Joining Date]], Mapping[Joining_Discarded], Mapping[Joining_Correction]), VALUE(tbl_HR_Data[[#This Row],[Joining Date]]))</f>
        <v>43195</v>
      </c>
      <c r="T6" t="str">
        <f>TEXT(tbl_HR_Data[[#This Row],[Joining Date]], "mmm")</f>
        <v>Apr</v>
      </c>
      <c r="U6" t="str">
        <f>TEXT(tbl_HR_Data[[#This Row],[Joining Date]], "ddd")</f>
        <v>Thu</v>
      </c>
    </row>
    <row r="7" spans="1:21" x14ac:dyDescent="0.35">
      <c r="A7" t="s">
        <v>102</v>
      </c>
      <c r="B7">
        <v>35</v>
      </c>
      <c r="C7">
        <v>50000</v>
      </c>
      <c r="D7" t="s">
        <v>36</v>
      </c>
      <c r="E7" t="s">
        <v>30</v>
      </c>
      <c r="F7" t="s">
        <v>20</v>
      </c>
      <c r="G7" s="3">
        <v>43195</v>
      </c>
      <c r="H7" t="str">
        <f>TEXT(tbl_HR_Data[[#This Row],[Joining Date]], "mmm")</f>
        <v>Apr</v>
      </c>
      <c r="I7" t="s">
        <v>92</v>
      </c>
      <c r="J7" t="s">
        <v>21</v>
      </c>
      <c r="K7" t="s">
        <v>22</v>
      </c>
      <c r="L7" t="s">
        <v>89</v>
      </c>
      <c r="M7">
        <f>IFERROR( _xlfn.XLOOKUP(TRIM(tbl_HR_Data[[#This Row],[Age]]),#REF!,#REF!), VALUE(TRIM(tbl_HR_Data[[#This Row],[Age]])))</f>
        <v>35</v>
      </c>
      <c r="N7" t="str">
        <f>IFERROR(_xlfn.XLOOKUP(tbl_HR_Data[[#This Row],[Gender]], Mapping[Gender _Discarded], Mapping[Gender_Correction]), PROPER(TRIM(tbl_HR_Data[[#This Row],[Gender]])))</f>
        <v>Other</v>
      </c>
      <c r="O7" t="str">
        <f>TRIM(tbl_HR_Data[[#This Row],[Position]])</f>
        <v>Director</v>
      </c>
      <c r="P7" t="str">
        <f>IFERROR(_xlfn.XLOOKUP(tbl_HR_Data[[#This Row],[Email]], Mapping[Email_Discarded], Mapping[Email_Correction]), LOWER(TRIM(tbl_HR_Data[[#This Row],[Email]])))</f>
        <v>user@domain.com</v>
      </c>
      <c r="Q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7" t="str" cm="1">
        <f t="array" ref="R7">_xlfn.REDUCE(Q7, {"-","/","_","\","(",")"}, _xlfn.LAMBDA(_xlpm.txt,_xlpm.itm, SUBSTITUTE(_xlpm.txt, _xlpm.itm, "")))</f>
        <v>5555555555</v>
      </c>
      <c r="S7" s="3">
        <f>IFERROR(_xlfn.XLOOKUP(tbl_HR_Data[[#This Row],[Joining Date]], Mapping[Joining_Discarded], Mapping[Joining_Correction]), VALUE(tbl_HR_Data[[#This Row],[Joining Date]]))</f>
        <v>43195</v>
      </c>
      <c r="T7" t="str">
        <f>TEXT(tbl_HR_Data[[#This Row],[Joining Date]], "mmm")</f>
        <v>Apr</v>
      </c>
      <c r="U7" t="str">
        <f>TEXT(tbl_HR_Data[[#This Row],[Joining Date]], "ddd")</f>
        <v>Thu</v>
      </c>
    </row>
    <row r="8" spans="1:21" x14ac:dyDescent="0.35">
      <c r="A8" t="s">
        <v>103</v>
      </c>
      <c r="B8">
        <v>25</v>
      </c>
      <c r="C8">
        <v>50000</v>
      </c>
      <c r="D8" t="s">
        <v>36</v>
      </c>
      <c r="E8" t="s">
        <v>37</v>
      </c>
      <c r="F8" t="s">
        <v>44</v>
      </c>
      <c r="G8" s="3">
        <v>43195</v>
      </c>
      <c r="H8" t="str">
        <f>TEXT(tbl_HR_Data[[#This Row],[Joining Date]], "mmm")</f>
        <v>Apr</v>
      </c>
      <c r="I8" t="s">
        <v>92</v>
      </c>
      <c r="J8" t="s">
        <v>41</v>
      </c>
      <c r="K8" t="s">
        <v>15</v>
      </c>
      <c r="L8" t="s">
        <v>77</v>
      </c>
      <c r="M8">
        <f>IFERROR( _xlfn.XLOOKUP(TRIM(tbl_HR_Data[[#This Row],[Age]]),#REF!,#REF!), VALUE(TRIM(tbl_HR_Data[[#This Row],[Age]])))</f>
        <v>25</v>
      </c>
      <c r="N8" t="str">
        <f>IFERROR(_xlfn.XLOOKUP(tbl_HR_Data[[#This Row],[Gender]], Mapping[Gender _Discarded], Mapping[Gender_Correction]), PROPER(TRIM(tbl_HR_Data[[#This Row],[Gender]])))</f>
        <v>Other</v>
      </c>
      <c r="O8" t="str">
        <f>TRIM(tbl_HR_Data[[#This Row],[Position]])</f>
        <v>Analyst</v>
      </c>
      <c r="P8" t="str">
        <f>IFERROR(_xlfn.XLOOKUP(tbl_HR_Data[[#This Row],[Email]], Mapping[Email_Discarded], Mapping[Email_Correction]), LOWER(TRIM(tbl_HR_Data[[#This Row],[Email]])))</f>
        <v>email@example.com</v>
      </c>
      <c r="Q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" t="str" cm="1">
        <f t="array" ref="R8">_xlfn.REDUCE(Q8, {"-","/","_","\","(",")"}, _xlfn.LAMBDA(_xlpm.txt,_xlpm.itm, SUBSTITUTE(_xlpm.txt, _xlpm.itm, "")))</f>
        <v>Not Provided</v>
      </c>
      <c r="S8" s="3">
        <f>IFERROR(_xlfn.XLOOKUP(tbl_HR_Data[[#This Row],[Joining Date]], Mapping[Joining_Discarded], Mapping[Joining_Correction]), VALUE(tbl_HR_Data[[#This Row],[Joining Date]]))</f>
        <v>43195</v>
      </c>
      <c r="T8" t="str">
        <f>TEXT(tbl_HR_Data[[#This Row],[Joining Date]], "mmm")</f>
        <v>Apr</v>
      </c>
      <c r="U8" t="str">
        <f>TEXT(tbl_HR_Data[[#This Row],[Joining Date]], "ddd")</f>
        <v>Thu</v>
      </c>
    </row>
    <row r="9" spans="1:21" x14ac:dyDescent="0.35">
      <c r="A9" t="s">
        <v>104</v>
      </c>
      <c r="B9">
        <v>40</v>
      </c>
      <c r="C9">
        <v>50000</v>
      </c>
      <c r="D9" t="s">
        <v>36</v>
      </c>
      <c r="E9" t="s">
        <v>19</v>
      </c>
      <c r="F9" t="s">
        <v>13</v>
      </c>
      <c r="G9" s="3">
        <v>43195</v>
      </c>
      <c r="H9" t="str">
        <f>TEXT(tbl_HR_Data[[#This Row],[Joining Date]], "mmm")</f>
        <v>Apr</v>
      </c>
      <c r="I9" t="s">
        <v>92</v>
      </c>
      <c r="J9" t="s">
        <v>31</v>
      </c>
      <c r="K9" t="s">
        <v>32</v>
      </c>
      <c r="L9" t="s">
        <v>87</v>
      </c>
      <c r="M9">
        <f>IFERROR( _xlfn.XLOOKUP(TRIM(tbl_HR_Data[[#This Row],[Age]]),#REF!,#REF!), VALUE(TRIM(tbl_HR_Data[[#This Row],[Age]])))</f>
        <v>40</v>
      </c>
      <c r="N9" t="str">
        <f>IFERROR(_xlfn.XLOOKUP(tbl_HR_Data[[#This Row],[Gender]], Mapping[Gender _Discarded], Mapping[Gender_Correction]), PROPER(TRIM(tbl_HR_Data[[#This Row],[Gender]])))</f>
        <v>Other</v>
      </c>
      <c r="O9" t="str">
        <f>TRIM(tbl_HR_Data[[#This Row],[Position]])</f>
        <v>Manager</v>
      </c>
      <c r="P9" t="str">
        <f>IFERROR(_xlfn.XLOOKUP(tbl_HR_Data[[#This Row],[Email]], Mapping[Email_Discarded], Mapping[Email_Correction]), LOWER(TRIM(tbl_HR_Data[[#This Row],[Email]])))</f>
        <v>name@company.org</v>
      </c>
      <c r="Q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" t="str" cm="1">
        <f t="array" ref="R9">_xlfn.REDUCE(Q9, {"-","/","_","\","(",")"}, _xlfn.LAMBDA(_xlpm.txt,_xlpm.itm, SUBSTITUTE(_xlpm.txt, _xlpm.itm, "")))</f>
        <v>1234567890</v>
      </c>
      <c r="S9" s="3">
        <f>IFERROR(_xlfn.XLOOKUP(tbl_HR_Data[[#This Row],[Joining Date]], Mapping[Joining_Discarded], Mapping[Joining_Correction]), VALUE(tbl_HR_Data[[#This Row],[Joining Date]]))</f>
        <v>43195</v>
      </c>
      <c r="T9" t="str">
        <f>TEXT(tbl_HR_Data[[#This Row],[Joining Date]], "mmm")</f>
        <v>Apr</v>
      </c>
      <c r="U9" t="str">
        <f>TEXT(tbl_HR_Data[[#This Row],[Joining Date]], "ddd")</f>
        <v>Thu</v>
      </c>
    </row>
    <row r="10" spans="1:21" x14ac:dyDescent="0.35">
      <c r="A10" t="s">
        <v>105</v>
      </c>
      <c r="B10">
        <v>35</v>
      </c>
      <c r="C10">
        <v>0</v>
      </c>
      <c r="D10" t="s">
        <v>18</v>
      </c>
      <c r="E10" t="s">
        <v>30</v>
      </c>
      <c r="F10" t="s">
        <v>20</v>
      </c>
      <c r="G10" s="3">
        <v>43195</v>
      </c>
      <c r="H10" t="str">
        <f>TEXT(tbl_HR_Data[[#This Row],[Joining Date]], "mmm")</f>
        <v>Apr</v>
      </c>
      <c r="I10" t="s">
        <v>92</v>
      </c>
      <c r="J10" t="s">
        <v>14</v>
      </c>
      <c r="K10" t="s">
        <v>15</v>
      </c>
      <c r="L10" t="s">
        <v>89</v>
      </c>
      <c r="M10">
        <f>IFERROR( _xlfn.XLOOKUP(TRIM(tbl_HR_Data[[#This Row],[Age]]),#REF!,#REF!), VALUE(TRIM(tbl_HR_Data[[#This Row],[Age]])))</f>
        <v>35</v>
      </c>
      <c r="N10" t="str">
        <f>IFERROR(_xlfn.XLOOKUP(tbl_HR_Data[[#This Row],[Gender]], Mapping[Gender _Discarded], Mapping[Gender_Correction]), PROPER(TRIM(tbl_HR_Data[[#This Row],[Gender]])))</f>
        <v>Female</v>
      </c>
      <c r="O10" t="str">
        <f>TRIM(tbl_HR_Data[[#This Row],[Position]])</f>
        <v>Director</v>
      </c>
      <c r="P10" t="str">
        <f>IFERROR(_xlfn.XLOOKUP(tbl_HR_Data[[#This Row],[Email]], Mapping[Email_Discarded], Mapping[Email_Correction]), LOWER(TRIM(tbl_HR_Data[[#This Row],[Email]])))</f>
        <v>email@example.com</v>
      </c>
      <c r="Q1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10" t="str" cm="1">
        <f t="array" ref="R10">_xlfn.REDUCE(Q10, {"-","/","_","\","(",")"}, _xlfn.LAMBDA(_xlpm.txt,_xlpm.itm, SUBSTITUTE(_xlpm.txt, _xlpm.itm, "")))</f>
        <v>5555555555</v>
      </c>
      <c r="S10" s="3">
        <f>IFERROR(_xlfn.XLOOKUP(tbl_HR_Data[[#This Row],[Joining Date]], Mapping[Joining_Discarded], Mapping[Joining_Correction]), VALUE(tbl_HR_Data[[#This Row],[Joining Date]]))</f>
        <v>43195</v>
      </c>
      <c r="T10" t="str">
        <f>TEXT(tbl_HR_Data[[#This Row],[Joining Date]], "mmm")</f>
        <v>Apr</v>
      </c>
      <c r="U10" t="str">
        <f>TEXT(tbl_HR_Data[[#This Row],[Joining Date]], "ddd")</f>
        <v>Thu</v>
      </c>
    </row>
    <row r="11" spans="1:21" x14ac:dyDescent="0.35">
      <c r="A11" t="s">
        <v>104</v>
      </c>
      <c r="B11">
        <v>25</v>
      </c>
      <c r="C11">
        <v>70000</v>
      </c>
      <c r="D11" t="s">
        <v>18</v>
      </c>
      <c r="E11" t="s">
        <v>12</v>
      </c>
      <c r="F11" t="s">
        <v>43</v>
      </c>
      <c r="G11" s="3">
        <v>43195</v>
      </c>
      <c r="H11" t="str">
        <f>TEXT(tbl_HR_Data[[#This Row],[Joining Date]], "mmm")</f>
        <v>Apr</v>
      </c>
      <c r="I11" t="s">
        <v>92</v>
      </c>
      <c r="J11" t="s">
        <v>27</v>
      </c>
      <c r="K11" t="s">
        <v>15</v>
      </c>
      <c r="L11" t="s">
        <v>77</v>
      </c>
      <c r="M11">
        <f>IFERROR( _xlfn.XLOOKUP(TRIM(tbl_HR_Data[[#This Row],[Age]]),#REF!,#REF!), VALUE(TRIM(tbl_HR_Data[[#This Row],[Age]])))</f>
        <v>25</v>
      </c>
      <c r="N11" t="str">
        <f>IFERROR(_xlfn.XLOOKUP(tbl_HR_Data[[#This Row],[Gender]], Mapping[Gender _Discarded], Mapping[Gender_Correction]), PROPER(TRIM(tbl_HR_Data[[#This Row],[Gender]])))</f>
        <v>Female</v>
      </c>
      <c r="O11" t="str">
        <f>TRIM(tbl_HR_Data[[#This Row],[Position]])</f>
        <v>Assistant</v>
      </c>
      <c r="P11" t="str">
        <f>IFERROR(_xlfn.XLOOKUP(tbl_HR_Data[[#This Row],[Email]], Mapping[Email_Discarded], Mapping[Email_Correction]), LOWER(TRIM(tbl_HR_Data[[#This Row],[Email]])))</f>
        <v>email@example.com</v>
      </c>
      <c r="Q1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1" t="str" cm="1">
        <f t="array" ref="R11">_xlfn.REDUCE(Q11, {"-","/","_","\","(",")"}, _xlfn.LAMBDA(_xlpm.txt,_xlpm.itm, SUBSTITUTE(_xlpm.txt, _xlpm.itm, "")))</f>
        <v>Not Provided</v>
      </c>
      <c r="S11" s="3">
        <f>IFERROR(_xlfn.XLOOKUP(tbl_HR_Data[[#This Row],[Joining Date]], Mapping[Joining_Discarded], Mapping[Joining_Correction]), VALUE(tbl_HR_Data[[#This Row],[Joining Date]]))</f>
        <v>43195</v>
      </c>
      <c r="T11" t="str">
        <f>TEXT(tbl_HR_Data[[#This Row],[Joining Date]], "mmm")</f>
        <v>Apr</v>
      </c>
      <c r="U11" t="str">
        <f>TEXT(tbl_HR_Data[[#This Row],[Joining Date]], "ddd")</f>
        <v>Thu</v>
      </c>
    </row>
    <row r="12" spans="1:21" x14ac:dyDescent="0.35">
      <c r="A12" t="s">
        <v>105</v>
      </c>
      <c r="B12">
        <v>30</v>
      </c>
      <c r="C12">
        <v>50000</v>
      </c>
      <c r="D12" t="s">
        <v>18</v>
      </c>
      <c r="E12" t="s">
        <v>26</v>
      </c>
      <c r="F12" t="s">
        <v>43</v>
      </c>
      <c r="G12" s="3">
        <v>43195</v>
      </c>
      <c r="H12" t="str">
        <f>TEXT(tbl_HR_Data[[#This Row],[Joining Date]], "mmm")</f>
        <v>Apr</v>
      </c>
      <c r="I12" t="s">
        <v>92</v>
      </c>
      <c r="J12" t="s">
        <v>14</v>
      </c>
      <c r="K12" t="s">
        <v>22</v>
      </c>
      <c r="L12" t="s">
        <v>88</v>
      </c>
      <c r="M12">
        <f>IFERROR( _xlfn.XLOOKUP(TRIM(tbl_HR_Data[[#This Row],[Age]]),#REF!,#REF!), VALUE(TRIM(tbl_HR_Data[[#This Row],[Age]])))</f>
        <v>30</v>
      </c>
      <c r="N12" t="str">
        <f>IFERROR(_xlfn.XLOOKUP(tbl_HR_Data[[#This Row],[Gender]], Mapping[Gender _Discarded], Mapping[Gender_Correction]), PROPER(TRIM(tbl_HR_Data[[#This Row],[Gender]])))</f>
        <v>Female</v>
      </c>
      <c r="O12" t="str">
        <f>TRIM(tbl_HR_Data[[#This Row],[Position]])</f>
        <v>Assistant</v>
      </c>
      <c r="P12" t="str">
        <f>IFERROR(_xlfn.XLOOKUP(tbl_HR_Data[[#This Row],[Email]], Mapping[Email_Discarded], Mapping[Email_Correction]), LOWER(TRIM(tbl_HR_Data[[#This Row],[Email]])))</f>
        <v>user@domain.com</v>
      </c>
      <c r="Q1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12" t="str" cm="1">
        <f t="array" ref="R12">_xlfn.REDUCE(Q12, {"-","/","_","\","(",")"}, _xlfn.LAMBDA(_xlpm.txt,_xlpm.itm, SUBSTITUTE(_xlpm.txt, _xlpm.itm, "")))</f>
        <v>0987654321</v>
      </c>
      <c r="S12" s="3">
        <f>IFERROR(_xlfn.XLOOKUP(tbl_HR_Data[[#This Row],[Joining Date]], Mapping[Joining_Discarded], Mapping[Joining_Correction]), VALUE(tbl_HR_Data[[#This Row],[Joining Date]]))</f>
        <v>43195</v>
      </c>
      <c r="T12" t="str">
        <f>TEXT(tbl_HR_Data[[#This Row],[Joining Date]], "mmm")</f>
        <v>Apr</v>
      </c>
      <c r="U12" t="str">
        <f>TEXT(tbl_HR_Data[[#This Row],[Joining Date]], "ddd")</f>
        <v>Thu</v>
      </c>
    </row>
    <row r="13" spans="1:21" x14ac:dyDescent="0.35">
      <c r="A13" t="s">
        <v>106</v>
      </c>
      <c r="B13">
        <v>35</v>
      </c>
      <c r="C13">
        <v>50000</v>
      </c>
      <c r="D13" t="s">
        <v>11</v>
      </c>
      <c r="E13" t="s">
        <v>37</v>
      </c>
      <c r="F13" t="s">
        <v>39</v>
      </c>
      <c r="G13" s="3">
        <v>43195</v>
      </c>
      <c r="H13" t="str">
        <f>TEXT(tbl_HR_Data[[#This Row],[Joining Date]], "mmm")</f>
        <v>Apr</v>
      </c>
      <c r="I13" t="s">
        <v>92</v>
      </c>
      <c r="J13" t="s">
        <v>14</v>
      </c>
      <c r="K13" t="s">
        <v>77</v>
      </c>
      <c r="L13" t="s">
        <v>88</v>
      </c>
      <c r="M13">
        <f>IFERROR( _xlfn.XLOOKUP(TRIM(tbl_HR_Data[[#This Row],[Age]]),#REF!,#REF!), VALUE(TRIM(tbl_HR_Data[[#This Row],[Age]])))</f>
        <v>35</v>
      </c>
      <c r="N13" t="str">
        <f>IFERROR(_xlfn.XLOOKUP(tbl_HR_Data[[#This Row],[Gender]], Mapping[Gender _Discarded], Mapping[Gender_Correction]), PROPER(TRIM(tbl_HR_Data[[#This Row],[Gender]])))</f>
        <v>Male</v>
      </c>
      <c r="O13" t="str">
        <f>TRIM(tbl_HR_Data[[#This Row],[Position]])</f>
        <v>Clerk</v>
      </c>
      <c r="P13" t="str">
        <f>IFERROR(_xlfn.XLOOKUP(tbl_HR_Data[[#This Row],[Email]], Mapping[Email_Discarded], Mapping[Email_Correction]), LOWER(TRIM(tbl_HR_Data[[#This Row],[Email]])))</f>
        <v>not provided</v>
      </c>
      <c r="Q1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13" t="str" cm="1">
        <f t="array" ref="R13">_xlfn.REDUCE(Q13, {"-","/","_","\","(",")"}, _xlfn.LAMBDA(_xlpm.txt,_xlpm.itm, SUBSTITUTE(_xlpm.txt, _xlpm.itm, "")))</f>
        <v>0987654321</v>
      </c>
      <c r="S13" s="3">
        <f>IFERROR(_xlfn.XLOOKUP(tbl_HR_Data[[#This Row],[Joining Date]], Mapping[Joining_Discarded], Mapping[Joining_Correction]), VALUE(tbl_HR_Data[[#This Row],[Joining Date]]))</f>
        <v>43195</v>
      </c>
      <c r="T13" t="str">
        <f>TEXT(tbl_HR_Data[[#This Row],[Joining Date]], "mmm")</f>
        <v>Apr</v>
      </c>
      <c r="U13" t="str">
        <f>TEXT(tbl_HR_Data[[#This Row],[Joining Date]], "ddd")</f>
        <v>Thu</v>
      </c>
    </row>
    <row r="14" spans="1:21" x14ac:dyDescent="0.35">
      <c r="A14" t="s">
        <v>106</v>
      </c>
      <c r="B14">
        <v>0</v>
      </c>
      <c r="C14">
        <v>50000</v>
      </c>
      <c r="D14" t="s">
        <v>11</v>
      </c>
      <c r="E14" t="s">
        <v>30</v>
      </c>
      <c r="F14" t="s">
        <v>20</v>
      </c>
      <c r="G14" s="3">
        <v>43195</v>
      </c>
      <c r="H14" t="str">
        <f>TEXT(tbl_HR_Data[[#This Row],[Joining Date]], "mmm")</f>
        <v>Apr</v>
      </c>
      <c r="I14" t="s">
        <v>92</v>
      </c>
      <c r="J14" t="s">
        <v>31</v>
      </c>
      <c r="K14" t="s">
        <v>15</v>
      </c>
      <c r="L14" t="s">
        <v>77</v>
      </c>
      <c r="M14">
        <f>IFERROR( _xlfn.XLOOKUP(TRIM(tbl_HR_Data[[#This Row],[Age]]),#REF!,#REF!), VALUE(TRIM(tbl_HR_Data[[#This Row],[Age]])))</f>
        <v>0</v>
      </c>
      <c r="N14" t="str">
        <f>IFERROR(_xlfn.XLOOKUP(tbl_HR_Data[[#This Row],[Gender]], Mapping[Gender _Discarded], Mapping[Gender_Correction]), PROPER(TRIM(tbl_HR_Data[[#This Row],[Gender]])))</f>
        <v>Male</v>
      </c>
      <c r="O14" t="str">
        <f>TRIM(tbl_HR_Data[[#This Row],[Position]])</f>
        <v>Director</v>
      </c>
      <c r="P14" t="str">
        <f>IFERROR(_xlfn.XLOOKUP(tbl_HR_Data[[#This Row],[Email]], Mapping[Email_Discarded], Mapping[Email_Correction]), LOWER(TRIM(tbl_HR_Data[[#This Row],[Email]])))</f>
        <v>email@example.com</v>
      </c>
      <c r="Q1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4" t="str" cm="1">
        <f t="array" ref="R14">_xlfn.REDUCE(Q14, {"-","/","_","\","(",")"}, _xlfn.LAMBDA(_xlpm.txt,_xlpm.itm, SUBSTITUTE(_xlpm.txt, _xlpm.itm, "")))</f>
        <v>Not Provided</v>
      </c>
      <c r="S14" s="3">
        <f>IFERROR(_xlfn.XLOOKUP(tbl_HR_Data[[#This Row],[Joining Date]], Mapping[Joining_Discarded], Mapping[Joining_Correction]), VALUE(tbl_HR_Data[[#This Row],[Joining Date]]))</f>
        <v>43195</v>
      </c>
      <c r="T14" t="str">
        <f>TEXT(tbl_HR_Data[[#This Row],[Joining Date]], "mmm")</f>
        <v>Apr</v>
      </c>
      <c r="U14" t="str">
        <f>TEXT(tbl_HR_Data[[#This Row],[Joining Date]], "ddd")</f>
        <v>Thu</v>
      </c>
    </row>
    <row r="15" spans="1:21" x14ac:dyDescent="0.35">
      <c r="A15" t="s">
        <v>103</v>
      </c>
      <c r="B15">
        <v>35</v>
      </c>
      <c r="C15">
        <v>50000</v>
      </c>
      <c r="D15" t="s">
        <v>36</v>
      </c>
      <c r="E15" t="s">
        <v>19</v>
      </c>
      <c r="F15" t="s">
        <v>39</v>
      </c>
      <c r="G15" s="3">
        <v>43195</v>
      </c>
      <c r="H15" t="str">
        <f>TEXT(tbl_HR_Data[[#This Row],[Joining Date]], "mmm")</f>
        <v>Apr</v>
      </c>
      <c r="I15" t="s">
        <v>92</v>
      </c>
      <c r="J15" t="s">
        <v>14</v>
      </c>
      <c r="K15" t="s">
        <v>22</v>
      </c>
      <c r="L15" t="s">
        <v>77</v>
      </c>
      <c r="M15">
        <f>IFERROR( _xlfn.XLOOKUP(TRIM(tbl_HR_Data[[#This Row],[Age]]),#REF!,#REF!), VALUE(TRIM(tbl_HR_Data[[#This Row],[Age]])))</f>
        <v>35</v>
      </c>
      <c r="N15" t="str">
        <f>IFERROR(_xlfn.XLOOKUP(tbl_HR_Data[[#This Row],[Gender]], Mapping[Gender _Discarded], Mapping[Gender_Correction]), PROPER(TRIM(tbl_HR_Data[[#This Row],[Gender]])))</f>
        <v>Other</v>
      </c>
      <c r="O15" t="str">
        <f>TRIM(tbl_HR_Data[[#This Row],[Position]])</f>
        <v>Clerk</v>
      </c>
      <c r="P15" t="str">
        <f>IFERROR(_xlfn.XLOOKUP(tbl_HR_Data[[#This Row],[Email]], Mapping[Email_Discarded], Mapping[Email_Correction]), LOWER(TRIM(tbl_HR_Data[[#This Row],[Email]])))</f>
        <v>user@domain.com</v>
      </c>
      <c r="Q1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5" t="str" cm="1">
        <f t="array" ref="R15">_xlfn.REDUCE(Q15, {"-","/","_","\","(",")"}, _xlfn.LAMBDA(_xlpm.txt,_xlpm.itm, SUBSTITUTE(_xlpm.txt, _xlpm.itm, "")))</f>
        <v>Not Provided</v>
      </c>
      <c r="S15" s="3">
        <f>IFERROR(_xlfn.XLOOKUP(tbl_HR_Data[[#This Row],[Joining Date]], Mapping[Joining_Discarded], Mapping[Joining_Correction]), VALUE(tbl_HR_Data[[#This Row],[Joining Date]]))</f>
        <v>43195</v>
      </c>
      <c r="T15" t="str">
        <f>TEXT(tbl_HR_Data[[#This Row],[Joining Date]], "mmm")</f>
        <v>Apr</v>
      </c>
      <c r="U15" t="str">
        <f>TEXT(tbl_HR_Data[[#This Row],[Joining Date]], "ddd")</f>
        <v>Thu</v>
      </c>
    </row>
    <row r="16" spans="1:21" x14ac:dyDescent="0.35">
      <c r="A16" t="s">
        <v>107</v>
      </c>
      <c r="B16">
        <v>35</v>
      </c>
      <c r="C16">
        <v>50000</v>
      </c>
      <c r="D16" t="s">
        <v>18</v>
      </c>
      <c r="E16" t="s">
        <v>26</v>
      </c>
      <c r="F16" t="s">
        <v>44</v>
      </c>
      <c r="G16" s="3">
        <v>43195</v>
      </c>
      <c r="H16" t="str">
        <f>TEXT(tbl_HR_Data[[#This Row],[Joining Date]], "mmm")</f>
        <v>Apr</v>
      </c>
      <c r="I16" t="s">
        <v>92</v>
      </c>
      <c r="J16" t="s">
        <v>21</v>
      </c>
      <c r="K16" t="s">
        <v>22</v>
      </c>
      <c r="L16" t="s">
        <v>77</v>
      </c>
      <c r="M16">
        <f>IFERROR( _xlfn.XLOOKUP(TRIM(tbl_HR_Data[[#This Row],[Age]]),#REF!,#REF!), VALUE(TRIM(tbl_HR_Data[[#This Row],[Age]])))</f>
        <v>35</v>
      </c>
      <c r="N16" t="str">
        <f>IFERROR(_xlfn.XLOOKUP(tbl_HR_Data[[#This Row],[Gender]], Mapping[Gender _Discarded], Mapping[Gender_Correction]), PROPER(TRIM(tbl_HR_Data[[#This Row],[Gender]])))</f>
        <v>Female</v>
      </c>
      <c r="O16" t="str">
        <f>TRIM(tbl_HR_Data[[#This Row],[Position]])</f>
        <v>Analyst</v>
      </c>
      <c r="P16" t="str">
        <f>IFERROR(_xlfn.XLOOKUP(tbl_HR_Data[[#This Row],[Email]], Mapping[Email_Discarded], Mapping[Email_Correction]), LOWER(TRIM(tbl_HR_Data[[#This Row],[Email]])))</f>
        <v>user@domain.com</v>
      </c>
      <c r="Q1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6" t="str" cm="1">
        <f t="array" ref="R16">_xlfn.REDUCE(Q16, {"-","/","_","\","(",")"}, _xlfn.LAMBDA(_xlpm.txt,_xlpm.itm, SUBSTITUTE(_xlpm.txt, _xlpm.itm, "")))</f>
        <v>Not Provided</v>
      </c>
      <c r="S16" s="3">
        <f>IFERROR(_xlfn.XLOOKUP(tbl_HR_Data[[#This Row],[Joining Date]], Mapping[Joining_Discarded], Mapping[Joining_Correction]), VALUE(tbl_HR_Data[[#This Row],[Joining Date]]))</f>
        <v>43195</v>
      </c>
      <c r="T16" t="str">
        <f>TEXT(tbl_HR_Data[[#This Row],[Joining Date]], "mmm")</f>
        <v>Apr</v>
      </c>
      <c r="U16" t="str">
        <f>TEXT(tbl_HR_Data[[#This Row],[Joining Date]], "ddd")</f>
        <v>Thu</v>
      </c>
    </row>
    <row r="17" spans="1:21" x14ac:dyDescent="0.35">
      <c r="A17" t="s">
        <v>108</v>
      </c>
      <c r="B17">
        <v>50</v>
      </c>
      <c r="C17">
        <v>55000</v>
      </c>
      <c r="D17" t="s">
        <v>18</v>
      </c>
      <c r="E17" t="s">
        <v>19</v>
      </c>
      <c r="F17" t="s">
        <v>13</v>
      </c>
      <c r="G17" s="3">
        <v>43195</v>
      </c>
      <c r="H17" t="str">
        <f>TEXT(tbl_HR_Data[[#This Row],[Joining Date]], "mmm")</f>
        <v>Apr</v>
      </c>
      <c r="I17" t="s">
        <v>92</v>
      </c>
      <c r="J17" t="s">
        <v>21</v>
      </c>
      <c r="K17" t="s">
        <v>22</v>
      </c>
      <c r="L17" t="s">
        <v>89</v>
      </c>
      <c r="M17">
        <f>IFERROR( _xlfn.XLOOKUP(TRIM(tbl_HR_Data[[#This Row],[Age]]),#REF!,#REF!), VALUE(TRIM(tbl_HR_Data[[#This Row],[Age]])))</f>
        <v>50</v>
      </c>
      <c r="N17" t="str">
        <f>IFERROR(_xlfn.XLOOKUP(tbl_HR_Data[[#This Row],[Gender]], Mapping[Gender _Discarded], Mapping[Gender_Correction]), PROPER(TRIM(tbl_HR_Data[[#This Row],[Gender]])))</f>
        <v>Female</v>
      </c>
      <c r="O17" t="str">
        <f>TRIM(tbl_HR_Data[[#This Row],[Position]])</f>
        <v>Manager</v>
      </c>
      <c r="P17" t="str">
        <f>IFERROR(_xlfn.XLOOKUP(tbl_HR_Data[[#This Row],[Email]], Mapping[Email_Discarded], Mapping[Email_Correction]), LOWER(TRIM(tbl_HR_Data[[#This Row],[Email]])))</f>
        <v>user@domain.com</v>
      </c>
      <c r="Q1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17" t="str" cm="1">
        <f t="array" ref="R17">_xlfn.REDUCE(Q17, {"-","/","_","\","(",")"}, _xlfn.LAMBDA(_xlpm.txt,_xlpm.itm, SUBSTITUTE(_xlpm.txt, _xlpm.itm, "")))</f>
        <v>5555555555</v>
      </c>
      <c r="S17" s="3">
        <f>IFERROR(_xlfn.XLOOKUP(tbl_HR_Data[[#This Row],[Joining Date]], Mapping[Joining_Discarded], Mapping[Joining_Correction]), VALUE(tbl_HR_Data[[#This Row],[Joining Date]]))</f>
        <v>43195</v>
      </c>
      <c r="T17" t="str">
        <f>TEXT(tbl_HR_Data[[#This Row],[Joining Date]], "mmm")</f>
        <v>Apr</v>
      </c>
      <c r="U17" t="str">
        <f>TEXT(tbl_HR_Data[[#This Row],[Joining Date]], "ddd")</f>
        <v>Thu</v>
      </c>
    </row>
    <row r="18" spans="1:21" x14ac:dyDescent="0.35">
      <c r="A18" t="s">
        <v>107</v>
      </c>
      <c r="B18">
        <v>25</v>
      </c>
      <c r="C18">
        <v>60000</v>
      </c>
      <c r="D18" t="s">
        <v>36</v>
      </c>
      <c r="E18" t="s">
        <v>26</v>
      </c>
      <c r="F18" t="s">
        <v>13</v>
      </c>
      <c r="G18" s="3">
        <v>43195</v>
      </c>
      <c r="H18" t="str">
        <f>TEXT(tbl_HR_Data[[#This Row],[Joining Date]], "mmm")</f>
        <v>Apr</v>
      </c>
      <c r="I18" t="s">
        <v>92</v>
      </c>
      <c r="J18" t="s">
        <v>14</v>
      </c>
      <c r="K18" t="s">
        <v>15</v>
      </c>
      <c r="L18" t="s">
        <v>89</v>
      </c>
      <c r="M18">
        <f>IFERROR( _xlfn.XLOOKUP(TRIM(tbl_HR_Data[[#This Row],[Age]]),#REF!,#REF!), VALUE(TRIM(tbl_HR_Data[[#This Row],[Age]])))</f>
        <v>25</v>
      </c>
      <c r="N18" t="str">
        <f>IFERROR(_xlfn.XLOOKUP(tbl_HR_Data[[#This Row],[Gender]], Mapping[Gender _Discarded], Mapping[Gender_Correction]), PROPER(TRIM(tbl_HR_Data[[#This Row],[Gender]])))</f>
        <v>Other</v>
      </c>
      <c r="O18" t="str">
        <f>TRIM(tbl_HR_Data[[#This Row],[Position]])</f>
        <v>Manager</v>
      </c>
      <c r="P18" t="str">
        <f>IFERROR(_xlfn.XLOOKUP(tbl_HR_Data[[#This Row],[Email]], Mapping[Email_Discarded], Mapping[Email_Correction]), LOWER(TRIM(tbl_HR_Data[[#This Row],[Email]])))</f>
        <v>email@example.com</v>
      </c>
      <c r="Q1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18" t="str" cm="1">
        <f t="array" ref="R18">_xlfn.REDUCE(Q18, {"-","/","_","\","(",")"}, _xlfn.LAMBDA(_xlpm.txt,_xlpm.itm, SUBSTITUTE(_xlpm.txt, _xlpm.itm, "")))</f>
        <v>5555555555</v>
      </c>
      <c r="S18" s="3">
        <f>IFERROR(_xlfn.XLOOKUP(tbl_HR_Data[[#This Row],[Joining Date]], Mapping[Joining_Discarded], Mapping[Joining_Correction]), VALUE(tbl_HR_Data[[#This Row],[Joining Date]]))</f>
        <v>43195</v>
      </c>
      <c r="T18" t="str">
        <f>TEXT(tbl_HR_Data[[#This Row],[Joining Date]], "mmm")</f>
        <v>Apr</v>
      </c>
      <c r="U18" t="str">
        <f>TEXT(tbl_HR_Data[[#This Row],[Joining Date]], "ddd")</f>
        <v>Thu</v>
      </c>
    </row>
    <row r="19" spans="1:21" x14ac:dyDescent="0.35">
      <c r="A19" t="s">
        <v>103</v>
      </c>
      <c r="B19">
        <v>25</v>
      </c>
      <c r="C19">
        <v>55000</v>
      </c>
      <c r="D19" t="s">
        <v>36</v>
      </c>
      <c r="E19" t="s">
        <v>12</v>
      </c>
      <c r="F19" t="s">
        <v>20</v>
      </c>
      <c r="G19" s="3">
        <v>43195</v>
      </c>
      <c r="H19" t="str">
        <f>TEXT(tbl_HR_Data[[#This Row],[Joining Date]], "mmm")</f>
        <v>Apr</v>
      </c>
      <c r="I19" t="s">
        <v>92</v>
      </c>
      <c r="J19" t="s">
        <v>41</v>
      </c>
      <c r="K19" t="s">
        <v>77</v>
      </c>
      <c r="L19" t="s">
        <v>88</v>
      </c>
      <c r="M19">
        <f>IFERROR( _xlfn.XLOOKUP(TRIM(tbl_HR_Data[[#This Row],[Age]]),#REF!,#REF!), VALUE(TRIM(tbl_HR_Data[[#This Row],[Age]])))</f>
        <v>25</v>
      </c>
      <c r="N19" t="str">
        <f>IFERROR(_xlfn.XLOOKUP(tbl_HR_Data[[#This Row],[Gender]], Mapping[Gender _Discarded], Mapping[Gender_Correction]), PROPER(TRIM(tbl_HR_Data[[#This Row],[Gender]])))</f>
        <v>Other</v>
      </c>
      <c r="O19" t="str">
        <f>TRIM(tbl_HR_Data[[#This Row],[Position]])</f>
        <v>Director</v>
      </c>
      <c r="P19" t="str">
        <f>IFERROR(_xlfn.XLOOKUP(tbl_HR_Data[[#This Row],[Email]], Mapping[Email_Discarded], Mapping[Email_Correction]), LOWER(TRIM(tbl_HR_Data[[#This Row],[Email]])))</f>
        <v>not provided</v>
      </c>
      <c r="Q1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19" t="str" cm="1">
        <f t="array" ref="R19">_xlfn.REDUCE(Q19, {"-","/","_","\","(",")"}, _xlfn.LAMBDA(_xlpm.txt,_xlpm.itm, SUBSTITUTE(_xlpm.txt, _xlpm.itm, "")))</f>
        <v>0987654321</v>
      </c>
      <c r="S19" s="3">
        <f>IFERROR(_xlfn.XLOOKUP(tbl_HR_Data[[#This Row],[Joining Date]], Mapping[Joining_Discarded], Mapping[Joining_Correction]), VALUE(tbl_HR_Data[[#This Row],[Joining Date]]))</f>
        <v>43195</v>
      </c>
      <c r="T19" t="str">
        <f>TEXT(tbl_HR_Data[[#This Row],[Joining Date]], "mmm")</f>
        <v>Apr</v>
      </c>
      <c r="U19" t="str">
        <f>TEXT(tbl_HR_Data[[#This Row],[Joining Date]], "ddd")</f>
        <v>Thu</v>
      </c>
    </row>
    <row r="20" spans="1:21" x14ac:dyDescent="0.35">
      <c r="A20" t="s">
        <v>104</v>
      </c>
      <c r="B20">
        <v>25</v>
      </c>
      <c r="C20">
        <v>55000</v>
      </c>
      <c r="D20" t="s">
        <v>36</v>
      </c>
      <c r="E20" t="s">
        <v>26</v>
      </c>
      <c r="F20" t="s">
        <v>39</v>
      </c>
      <c r="G20" s="3">
        <v>43195</v>
      </c>
      <c r="H20" t="str">
        <f>TEXT(tbl_HR_Data[[#This Row],[Joining Date]], "mmm")</f>
        <v>Apr</v>
      </c>
      <c r="I20" t="s">
        <v>92</v>
      </c>
      <c r="J20" t="s">
        <v>14</v>
      </c>
      <c r="K20" t="s">
        <v>77</v>
      </c>
      <c r="L20" t="s">
        <v>88</v>
      </c>
      <c r="M20">
        <f>IFERROR( _xlfn.XLOOKUP(TRIM(tbl_HR_Data[[#This Row],[Age]]),#REF!,#REF!), VALUE(TRIM(tbl_HR_Data[[#This Row],[Age]])))</f>
        <v>25</v>
      </c>
      <c r="N20" t="str">
        <f>IFERROR(_xlfn.XLOOKUP(tbl_HR_Data[[#This Row],[Gender]], Mapping[Gender _Discarded], Mapping[Gender_Correction]), PROPER(TRIM(tbl_HR_Data[[#This Row],[Gender]])))</f>
        <v>Other</v>
      </c>
      <c r="O20" t="str">
        <f>TRIM(tbl_HR_Data[[#This Row],[Position]])</f>
        <v>Clerk</v>
      </c>
      <c r="P20" t="str">
        <f>IFERROR(_xlfn.XLOOKUP(tbl_HR_Data[[#This Row],[Email]], Mapping[Email_Discarded], Mapping[Email_Correction]), LOWER(TRIM(tbl_HR_Data[[#This Row],[Email]])))</f>
        <v>not provided</v>
      </c>
      <c r="Q2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20" t="str" cm="1">
        <f t="array" ref="R20">_xlfn.REDUCE(Q20, {"-","/","_","\","(",")"}, _xlfn.LAMBDA(_xlpm.txt,_xlpm.itm, SUBSTITUTE(_xlpm.txt, _xlpm.itm, "")))</f>
        <v>0987654321</v>
      </c>
      <c r="S20" s="3">
        <f>IFERROR(_xlfn.XLOOKUP(tbl_HR_Data[[#This Row],[Joining Date]], Mapping[Joining_Discarded], Mapping[Joining_Correction]), VALUE(tbl_HR_Data[[#This Row],[Joining Date]]))</f>
        <v>43195</v>
      </c>
      <c r="T20" t="str">
        <f>TEXT(tbl_HR_Data[[#This Row],[Joining Date]], "mmm")</f>
        <v>Apr</v>
      </c>
      <c r="U20" t="str">
        <f>TEXT(tbl_HR_Data[[#This Row],[Joining Date]], "ddd")</f>
        <v>Thu</v>
      </c>
    </row>
    <row r="21" spans="1:21" x14ac:dyDescent="0.35">
      <c r="A21" t="s">
        <v>102</v>
      </c>
      <c r="B21">
        <v>25</v>
      </c>
      <c r="C21">
        <v>65000</v>
      </c>
      <c r="D21" t="s">
        <v>11</v>
      </c>
      <c r="E21" t="s">
        <v>19</v>
      </c>
      <c r="F21" t="s">
        <v>20</v>
      </c>
      <c r="G21" s="3">
        <v>43195</v>
      </c>
      <c r="H21" t="str">
        <f>TEXT(tbl_HR_Data[[#This Row],[Joining Date]], "mmm")</f>
        <v>Apr</v>
      </c>
      <c r="I21" t="s">
        <v>92</v>
      </c>
      <c r="J21" t="s">
        <v>14</v>
      </c>
      <c r="K21" t="s">
        <v>22</v>
      </c>
      <c r="L21" t="s">
        <v>87</v>
      </c>
      <c r="M21">
        <f>IFERROR( _xlfn.XLOOKUP(TRIM(tbl_HR_Data[[#This Row],[Age]]),#REF!,#REF!), VALUE(TRIM(tbl_HR_Data[[#This Row],[Age]])))</f>
        <v>25</v>
      </c>
      <c r="N21" t="str">
        <f>IFERROR(_xlfn.XLOOKUP(tbl_HR_Data[[#This Row],[Gender]], Mapping[Gender _Discarded], Mapping[Gender_Correction]), PROPER(TRIM(tbl_HR_Data[[#This Row],[Gender]])))</f>
        <v>Male</v>
      </c>
      <c r="O21" t="str">
        <f>TRIM(tbl_HR_Data[[#This Row],[Position]])</f>
        <v>Director</v>
      </c>
      <c r="P21" t="str">
        <f>IFERROR(_xlfn.XLOOKUP(tbl_HR_Data[[#This Row],[Email]], Mapping[Email_Discarded], Mapping[Email_Correction]), LOWER(TRIM(tbl_HR_Data[[#This Row],[Email]])))</f>
        <v>user@domain.com</v>
      </c>
      <c r="Q2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1" t="str" cm="1">
        <f t="array" ref="R21">_xlfn.REDUCE(Q21, {"-","/","_","\","(",")"}, _xlfn.LAMBDA(_xlpm.txt,_xlpm.itm, SUBSTITUTE(_xlpm.txt, _xlpm.itm, "")))</f>
        <v>1234567890</v>
      </c>
      <c r="S21" s="3">
        <f>IFERROR(_xlfn.XLOOKUP(tbl_HR_Data[[#This Row],[Joining Date]], Mapping[Joining_Discarded], Mapping[Joining_Correction]), VALUE(tbl_HR_Data[[#This Row],[Joining Date]]))</f>
        <v>43195</v>
      </c>
      <c r="T21" t="str">
        <f>TEXT(tbl_HR_Data[[#This Row],[Joining Date]], "mmm")</f>
        <v>Apr</v>
      </c>
      <c r="U21" t="str">
        <f>TEXT(tbl_HR_Data[[#This Row],[Joining Date]], "ddd")</f>
        <v>Thu</v>
      </c>
    </row>
    <row r="22" spans="1:21" x14ac:dyDescent="0.35">
      <c r="A22" t="s">
        <v>99</v>
      </c>
      <c r="B22">
        <v>0</v>
      </c>
      <c r="C22">
        <v>70000</v>
      </c>
      <c r="D22" t="s">
        <v>18</v>
      </c>
      <c r="E22" t="s">
        <v>37</v>
      </c>
      <c r="F22" t="s">
        <v>39</v>
      </c>
      <c r="G22" s="3">
        <v>43195</v>
      </c>
      <c r="H22" t="str">
        <f>TEXT(tbl_HR_Data[[#This Row],[Joining Date]], "mmm")</f>
        <v>Apr</v>
      </c>
      <c r="I22" t="s">
        <v>92</v>
      </c>
      <c r="J22" t="s">
        <v>27</v>
      </c>
      <c r="K22" t="s">
        <v>77</v>
      </c>
      <c r="L22" t="s">
        <v>88</v>
      </c>
      <c r="M22">
        <f>IFERROR( _xlfn.XLOOKUP(TRIM(tbl_HR_Data[[#This Row],[Age]]),#REF!,#REF!), VALUE(TRIM(tbl_HR_Data[[#This Row],[Age]])))</f>
        <v>0</v>
      </c>
      <c r="N22" t="str">
        <f>IFERROR(_xlfn.XLOOKUP(tbl_HR_Data[[#This Row],[Gender]], Mapping[Gender _Discarded], Mapping[Gender_Correction]), PROPER(TRIM(tbl_HR_Data[[#This Row],[Gender]])))</f>
        <v>Female</v>
      </c>
      <c r="O22" t="str">
        <f>TRIM(tbl_HR_Data[[#This Row],[Position]])</f>
        <v>Clerk</v>
      </c>
      <c r="P22" t="str">
        <f>IFERROR(_xlfn.XLOOKUP(tbl_HR_Data[[#This Row],[Email]], Mapping[Email_Discarded], Mapping[Email_Correction]), LOWER(TRIM(tbl_HR_Data[[#This Row],[Email]])))</f>
        <v>not provided</v>
      </c>
      <c r="Q2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22" t="str" cm="1">
        <f t="array" ref="R22">_xlfn.REDUCE(Q22, {"-","/","_","\","(",")"}, _xlfn.LAMBDA(_xlpm.txt,_xlpm.itm, SUBSTITUTE(_xlpm.txt, _xlpm.itm, "")))</f>
        <v>0987654321</v>
      </c>
      <c r="S22" s="3">
        <f>IFERROR(_xlfn.XLOOKUP(tbl_HR_Data[[#This Row],[Joining Date]], Mapping[Joining_Discarded], Mapping[Joining_Correction]), VALUE(tbl_HR_Data[[#This Row],[Joining Date]]))</f>
        <v>43195</v>
      </c>
      <c r="T22" t="str">
        <f>TEXT(tbl_HR_Data[[#This Row],[Joining Date]], "mmm")</f>
        <v>Apr</v>
      </c>
      <c r="U22" t="str">
        <f>TEXT(tbl_HR_Data[[#This Row],[Joining Date]], "ddd")</f>
        <v>Thu</v>
      </c>
    </row>
    <row r="23" spans="1:21" x14ac:dyDescent="0.35">
      <c r="A23" t="s">
        <v>104</v>
      </c>
      <c r="B23">
        <v>50</v>
      </c>
      <c r="C23">
        <v>60000</v>
      </c>
      <c r="D23" t="s">
        <v>36</v>
      </c>
      <c r="E23" t="s">
        <v>30</v>
      </c>
      <c r="F23" t="s">
        <v>43</v>
      </c>
      <c r="G23" s="3">
        <v>43195</v>
      </c>
      <c r="H23" t="str">
        <f>TEXT(tbl_HR_Data[[#This Row],[Joining Date]], "mmm")</f>
        <v>Apr</v>
      </c>
      <c r="I23" t="s">
        <v>92</v>
      </c>
      <c r="J23" t="s">
        <v>41</v>
      </c>
      <c r="K23" t="s">
        <v>22</v>
      </c>
      <c r="L23" t="s">
        <v>88</v>
      </c>
      <c r="M23">
        <f>IFERROR( _xlfn.XLOOKUP(TRIM(tbl_HR_Data[[#This Row],[Age]]),#REF!,#REF!), VALUE(TRIM(tbl_HR_Data[[#This Row],[Age]])))</f>
        <v>50</v>
      </c>
      <c r="N23" t="str">
        <f>IFERROR(_xlfn.XLOOKUP(tbl_HR_Data[[#This Row],[Gender]], Mapping[Gender _Discarded], Mapping[Gender_Correction]), PROPER(TRIM(tbl_HR_Data[[#This Row],[Gender]])))</f>
        <v>Other</v>
      </c>
      <c r="O23" t="str">
        <f>TRIM(tbl_HR_Data[[#This Row],[Position]])</f>
        <v>Assistant</v>
      </c>
      <c r="P23" t="str">
        <f>IFERROR(_xlfn.XLOOKUP(tbl_HR_Data[[#This Row],[Email]], Mapping[Email_Discarded], Mapping[Email_Correction]), LOWER(TRIM(tbl_HR_Data[[#This Row],[Email]])))</f>
        <v>user@domain.com</v>
      </c>
      <c r="Q2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23" t="str" cm="1">
        <f t="array" ref="R23">_xlfn.REDUCE(Q23, {"-","/","_","\","(",")"}, _xlfn.LAMBDA(_xlpm.txt,_xlpm.itm, SUBSTITUTE(_xlpm.txt, _xlpm.itm, "")))</f>
        <v>0987654321</v>
      </c>
      <c r="S23" s="3">
        <f>IFERROR(_xlfn.XLOOKUP(tbl_HR_Data[[#This Row],[Joining Date]], Mapping[Joining_Discarded], Mapping[Joining_Correction]), VALUE(tbl_HR_Data[[#This Row],[Joining Date]]))</f>
        <v>43195</v>
      </c>
      <c r="T23" t="str">
        <f>TEXT(tbl_HR_Data[[#This Row],[Joining Date]], "mmm")</f>
        <v>Apr</v>
      </c>
      <c r="U23" t="str">
        <f>TEXT(tbl_HR_Data[[#This Row],[Joining Date]], "ddd")</f>
        <v>Thu</v>
      </c>
    </row>
    <row r="24" spans="1:21" x14ac:dyDescent="0.35">
      <c r="A24" t="s">
        <v>101</v>
      </c>
      <c r="B24">
        <v>30</v>
      </c>
      <c r="C24">
        <v>60000</v>
      </c>
      <c r="D24" t="s">
        <v>11</v>
      </c>
      <c r="E24" t="s">
        <v>37</v>
      </c>
      <c r="F24" t="s">
        <v>43</v>
      </c>
      <c r="G24" s="3">
        <v>43195</v>
      </c>
      <c r="H24" t="str">
        <f>TEXT(tbl_HR_Data[[#This Row],[Joining Date]], "mmm")</f>
        <v>Apr</v>
      </c>
      <c r="I24" t="s">
        <v>92</v>
      </c>
      <c r="J24" t="s">
        <v>14</v>
      </c>
      <c r="K24" t="s">
        <v>32</v>
      </c>
      <c r="L24" t="s">
        <v>88</v>
      </c>
      <c r="M24">
        <f>IFERROR( _xlfn.XLOOKUP(TRIM(tbl_HR_Data[[#This Row],[Age]]),#REF!,#REF!), VALUE(TRIM(tbl_HR_Data[[#This Row],[Age]])))</f>
        <v>30</v>
      </c>
      <c r="N24" t="str">
        <f>IFERROR(_xlfn.XLOOKUP(tbl_HR_Data[[#This Row],[Gender]], Mapping[Gender _Discarded], Mapping[Gender_Correction]), PROPER(TRIM(tbl_HR_Data[[#This Row],[Gender]])))</f>
        <v>Male</v>
      </c>
      <c r="O24" t="str">
        <f>TRIM(tbl_HR_Data[[#This Row],[Position]])</f>
        <v>Assistant</v>
      </c>
      <c r="P24" t="str">
        <f>IFERROR(_xlfn.XLOOKUP(tbl_HR_Data[[#This Row],[Email]], Mapping[Email_Discarded], Mapping[Email_Correction]), LOWER(TRIM(tbl_HR_Data[[#This Row],[Email]])))</f>
        <v>name@company.org</v>
      </c>
      <c r="Q2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24" t="str" cm="1">
        <f t="array" ref="R24">_xlfn.REDUCE(Q24, {"-","/","_","\","(",")"}, _xlfn.LAMBDA(_xlpm.txt,_xlpm.itm, SUBSTITUTE(_xlpm.txt, _xlpm.itm, "")))</f>
        <v>0987654321</v>
      </c>
      <c r="S24" s="3">
        <f>IFERROR(_xlfn.XLOOKUP(tbl_HR_Data[[#This Row],[Joining Date]], Mapping[Joining_Discarded], Mapping[Joining_Correction]), VALUE(tbl_HR_Data[[#This Row],[Joining Date]]))</f>
        <v>43195</v>
      </c>
      <c r="T24" t="str">
        <f>TEXT(tbl_HR_Data[[#This Row],[Joining Date]], "mmm")</f>
        <v>Apr</v>
      </c>
      <c r="U24" t="str">
        <f>TEXT(tbl_HR_Data[[#This Row],[Joining Date]], "ddd")</f>
        <v>Thu</v>
      </c>
    </row>
    <row r="25" spans="1:21" x14ac:dyDescent="0.35">
      <c r="A25" t="s">
        <v>103</v>
      </c>
      <c r="B25">
        <v>35</v>
      </c>
      <c r="C25">
        <v>0</v>
      </c>
      <c r="D25" t="s">
        <v>36</v>
      </c>
      <c r="E25" t="s">
        <v>12</v>
      </c>
      <c r="F25" t="s">
        <v>20</v>
      </c>
      <c r="G25" s="3">
        <v>43195</v>
      </c>
      <c r="H25" t="str">
        <f>TEXT(tbl_HR_Data[[#This Row],[Joining Date]], "mmm")</f>
        <v>Apr</v>
      </c>
      <c r="I25" t="s">
        <v>92</v>
      </c>
      <c r="J25" t="s">
        <v>27</v>
      </c>
      <c r="K25" t="s">
        <v>22</v>
      </c>
      <c r="L25" t="s">
        <v>88</v>
      </c>
      <c r="M25">
        <f>IFERROR( _xlfn.XLOOKUP(TRIM(tbl_HR_Data[[#This Row],[Age]]),#REF!,#REF!), VALUE(TRIM(tbl_HR_Data[[#This Row],[Age]])))</f>
        <v>35</v>
      </c>
      <c r="N25" t="str">
        <f>IFERROR(_xlfn.XLOOKUP(tbl_HR_Data[[#This Row],[Gender]], Mapping[Gender _Discarded], Mapping[Gender_Correction]), PROPER(TRIM(tbl_HR_Data[[#This Row],[Gender]])))</f>
        <v>Other</v>
      </c>
      <c r="O25" t="str">
        <f>TRIM(tbl_HR_Data[[#This Row],[Position]])</f>
        <v>Director</v>
      </c>
      <c r="P25" t="str">
        <f>IFERROR(_xlfn.XLOOKUP(tbl_HR_Data[[#This Row],[Email]], Mapping[Email_Discarded], Mapping[Email_Correction]), LOWER(TRIM(tbl_HR_Data[[#This Row],[Email]])))</f>
        <v>user@domain.com</v>
      </c>
      <c r="Q2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25" t="str" cm="1">
        <f t="array" ref="R25">_xlfn.REDUCE(Q25, {"-","/","_","\","(",")"}, _xlfn.LAMBDA(_xlpm.txt,_xlpm.itm, SUBSTITUTE(_xlpm.txt, _xlpm.itm, "")))</f>
        <v>0987654321</v>
      </c>
      <c r="S25" s="3">
        <f>IFERROR(_xlfn.XLOOKUP(tbl_HR_Data[[#This Row],[Joining Date]], Mapping[Joining_Discarded], Mapping[Joining_Correction]), VALUE(tbl_HR_Data[[#This Row],[Joining Date]]))</f>
        <v>43195</v>
      </c>
      <c r="T25" t="str">
        <f>TEXT(tbl_HR_Data[[#This Row],[Joining Date]], "mmm")</f>
        <v>Apr</v>
      </c>
      <c r="U25" t="str">
        <f>TEXT(tbl_HR_Data[[#This Row],[Joining Date]], "ddd")</f>
        <v>Thu</v>
      </c>
    </row>
    <row r="26" spans="1:21" x14ac:dyDescent="0.35">
      <c r="A26" t="s">
        <v>104</v>
      </c>
      <c r="B26">
        <v>35</v>
      </c>
      <c r="C26">
        <v>65000</v>
      </c>
      <c r="D26" t="s">
        <v>18</v>
      </c>
      <c r="E26" t="s">
        <v>26</v>
      </c>
      <c r="F26" t="s">
        <v>20</v>
      </c>
      <c r="G26" s="3">
        <v>43195</v>
      </c>
      <c r="H26" t="str">
        <f>TEXT(tbl_HR_Data[[#This Row],[Joining Date]], "mmm")</f>
        <v>Apr</v>
      </c>
      <c r="I26" t="s">
        <v>92</v>
      </c>
      <c r="J26" t="s">
        <v>41</v>
      </c>
      <c r="K26" t="s">
        <v>15</v>
      </c>
      <c r="L26" t="s">
        <v>77</v>
      </c>
      <c r="M26">
        <f>IFERROR( _xlfn.XLOOKUP(TRIM(tbl_HR_Data[[#This Row],[Age]]),#REF!,#REF!), VALUE(TRIM(tbl_HR_Data[[#This Row],[Age]])))</f>
        <v>35</v>
      </c>
      <c r="N26" t="str">
        <f>IFERROR(_xlfn.XLOOKUP(tbl_HR_Data[[#This Row],[Gender]], Mapping[Gender _Discarded], Mapping[Gender_Correction]), PROPER(TRIM(tbl_HR_Data[[#This Row],[Gender]])))</f>
        <v>Female</v>
      </c>
      <c r="O26" t="str">
        <f>TRIM(tbl_HR_Data[[#This Row],[Position]])</f>
        <v>Director</v>
      </c>
      <c r="P26" t="str">
        <f>IFERROR(_xlfn.XLOOKUP(tbl_HR_Data[[#This Row],[Email]], Mapping[Email_Discarded], Mapping[Email_Correction]), LOWER(TRIM(tbl_HR_Data[[#This Row],[Email]])))</f>
        <v>email@example.com</v>
      </c>
      <c r="Q2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6" t="str" cm="1">
        <f t="array" ref="R26">_xlfn.REDUCE(Q26, {"-","/","_","\","(",")"}, _xlfn.LAMBDA(_xlpm.txt,_xlpm.itm, SUBSTITUTE(_xlpm.txt, _xlpm.itm, "")))</f>
        <v>Not Provided</v>
      </c>
      <c r="S26" s="3">
        <f>IFERROR(_xlfn.XLOOKUP(tbl_HR_Data[[#This Row],[Joining Date]], Mapping[Joining_Discarded], Mapping[Joining_Correction]), VALUE(tbl_HR_Data[[#This Row],[Joining Date]]))</f>
        <v>43195</v>
      </c>
      <c r="T26" t="str">
        <f>TEXT(tbl_HR_Data[[#This Row],[Joining Date]], "mmm")</f>
        <v>Apr</v>
      </c>
      <c r="U26" t="str">
        <f>TEXT(tbl_HR_Data[[#This Row],[Joining Date]], "ddd")</f>
        <v>Thu</v>
      </c>
    </row>
    <row r="27" spans="1:21" x14ac:dyDescent="0.35">
      <c r="A27" t="s">
        <v>103</v>
      </c>
      <c r="B27">
        <v>30</v>
      </c>
      <c r="C27">
        <v>55000</v>
      </c>
      <c r="D27" t="s">
        <v>18</v>
      </c>
      <c r="E27" t="s">
        <v>19</v>
      </c>
      <c r="F27" t="s">
        <v>13</v>
      </c>
      <c r="G27" s="3">
        <v>43195</v>
      </c>
      <c r="H27" t="str">
        <f>TEXT(tbl_HR_Data[[#This Row],[Joining Date]], "mmm")</f>
        <v>Apr</v>
      </c>
      <c r="I27" t="s">
        <v>92</v>
      </c>
      <c r="J27" t="s">
        <v>21</v>
      </c>
      <c r="K27" t="s">
        <v>22</v>
      </c>
      <c r="L27" t="s">
        <v>87</v>
      </c>
      <c r="M27">
        <f>IFERROR( _xlfn.XLOOKUP(TRIM(tbl_HR_Data[[#This Row],[Age]]),#REF!,#REF!), VALUE(TRIM(tbl_HR_Data[[#This Row],[Age]])))</f>
        <v>30</v>
      </c>
      <c r="N27" t="str">
        <f>IFERROR(_xlfn.XLOOKUP(tbl_HR_Data[[#This Row],[Gender]], Mapping[Gender _Discarded], Mapping[Gender_Correction]), PROPER(TRIM(tbl_HR_Data[[#This Row],[Gender]])))</f>
        <v>Female</v>
      </c>
      <c r="O27" t="str">
        <f>TRIM(tbl_HR_Data[[#This Row],[Position]])</f>
        <v>Manager</v>
      </c>
      <c r="P27" t="str">
        <f>IFERROR(_xlfn.XLOOKUP(tbl_HR_Data[[#This Row],[Email]], Mapping[Email_Discarded], Mapping[Email_Correction]), LOWER(TRIM(tbl_HR_Data[[#This Row],[Email]])))</f>
        <v>user@domain.com</v>
      </c>
      <c r="Q2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7" t="str" cm="1">
        <f t="array" ref="R27">_xlfn.REDUCE(Q27, {"-","/","_","\","(",")"}, _xlfn.LAMBDA(_xlpm.txt,_xlpm.itm, SUBSTITUTE(_xlpm.txt, _xlpm.itm, "")))</f>
        <v>1234567890</v>
      </c>
      <c r="S27" s="3">
        <f>IFERROR(_xlfn.XLOOKUP(tbl_HR_Data[[#This Row],[Joining Date]], Mapping[Joining_Discarded], Mapping[Joining_Correction]), VALUE(tbl_HR_Data[[#This Row],[Joining Date]]))</f>
        <v>43195</v>
      </c>
      <c r="T27" t="str">
        <f>TEXT(tbl_HR_Data[[#This Row],[Joining Date]], "mmm")</f>
        <v>Apr</v>
      </c>
      <c r="U27" t="str">
        <f>TEXT(tbl_HR_Data[[#This Row],[Joining Date]], "ddd")</f>
        <v>Thu</v>
      </c>
    </row>
    <row r="28" spans="1:21" x14ac:dyDescent="0.35">
      <c r="A28" t="s">
        <v>99</v>
      </c>
      <c r="B28">
        <v>50</v>
      </c>
      <c r="C28">
        <v>65000</v>
      </c>
      <c r="D28" t="s">
        <v>36</v>
      </c>
      <c r="E28" t="s">
        <v>19</v>
      </c>
      <c r="F28" t="s">
        <v>44</v>
      </c>
      <c r="G28" s="3">
        <v>43195</v>
      </c>
      <c r="H28" t="str">
        <f>TEXT(tbl_HR_Data[[#This Row],[Joining Date]], "mmm")</f>
        <v>Apr</v>
      </c>
      <c r="I28" t="s">
        <v>92</v>
      </c>
      <c r="J28" t="s">
        <v>21</v>
      </c>
      <c r="K28" t="s">
        <v>15</v>
      </c>
      <c r="L28" t="s">
        <v>87</v>
      </c>
      <c r="M28">
        <f>IFERROR( _xlfn.XLOOKUP(TRIM(tbl_HR_Data[[#This Row],[Age]]),#REF!,#REF!), VALUE(TRIM(tbl_HR_Data[[#This Row],[Age]])))</f>
        <v>50</v>
      </c>
      <c r="N28" t="str">
        <f>IFERROR(_xlfn.XLOOKUP(tbl_HR_Data[[#This Row],[Gender]], Mapping[Gender _Discarded], Mapping[Gender_Correction]), PROPER(TRIM(tbl_HR_Data[[#This Row],[Gender]])))</f>
        <v>Other</v>
      </c>
      <c r="O28" t="str">
        <f>TRIM(tbl_HR_Data[[#This Row],[Position]])</f>
        <v>Analyst</v>
      </c>
      <c r="P28" t="str">
        <f>IFERROR(_xlfn.XLOOKUP(tbl_HR_Data[[#This Row],[Email]], Mapping[Email_Discarded], Mapping[Email_Correction]), LOWER(TRIM(tbl_HR_Data[[#This Row],[Email]])))</f>
        <v>email@example.com</v>
      </c>
      <c r="Q2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8" t="str" cm="1">
        <f t="array" ref="R28">_xlfn.REDUCE(Q28, {"-","/","_","\","(",")"}, _xlfn.LAMBDA(_xlpm.txt,_xlpm.itm, SUBSTITUTE(_xlpm.txt, _xlpm.itm, "")))</f>
        <v>1234567890</v>
      </c>
      <c r="S28" s="3">
        <f>IFERROR(_xlfn.XLOOKUP(tbl_HR_Data[[#This Row],[Joining Date]], Mapping[Joining_Discarded], Mapping[Joining_Correction]), VALUE(tbl_HR_Data[[#This Row],[Joining Date]]))</f>
        <v>43195</v>
      </c>
      <c r="T28" t="str">
        <f>TEXT(tbl_HR_Data[[#This Row],[Joining Date]], "mmm")</f>
        <v>Apr</v>
      </c>
      <c r="U28" t="str">
        <f>TEXT(tbl_HR_Data[[#This Row],[Joining Date]], "ddd")</f>
        <v>Thu</v>
      </c>
    </row>
    <row r="29" spans="1:21" x14ac:dyDescent="0.35">
      <c r="A29" t="s">
        <v>104</v>
      </c>
      <c r="B29">
        <v>40</v>
      </c>
      <c r="C29">
        <v>65000</v>
      </c>
      <c r="D29" t="s">
        <v>11</v>
      </c>
      <c r="E29" t="s">
        <v>30</v>
      </c>
      <c r="F29" t="s">
        <v>20</v>
      </c>
      <c r="G29" s="3">
        <v>43195</v>
      </c>
      <c r="H29" t="str">
        <f>TEXT(tbl_HR_Data[[#This Row],[Joining Date]], "mmm")</f>
        <v>Apr</v>
      </c>
      <c r="I29" t="s">
        <v>92</v>
      </c>
      <c r="J29" t="s">
        <v>31</v>
      </c>
      <c r="K29" t="s">
        <v>77</v>
      </c>
      <c r="L29" t="s">
        <v>87</v>
      </c>
      <c r="M29">
        <f>IFERROR( _xlfn.XLOOKUP(TRIM(tbl_HR_Data[[#This Row],[Age]]),#REF!,#REF!), VALUE(TRIM(tbl_HR_Data[[#This Row],[Age]])))</f>
        <v>40</v>
      </c>
      <c r="N29" t="str">
        <f>IFERROR(_xlfn.XLOOKUP(tbl_HR_Data[[#This Row],[Gender]], Mapping[Gender _Discarded], Mapping[Gender_Correction]), PROPER(TRIM(tbl_HR_Data[[#This Row],[Gender]])))</f>
        <v>Male</v>
      </c>
      <c r="O29" t="str">
        <f>TRIM(tbl_HR_Data[[#This Row],[Position]])</f>
        <v>Director</v>
      </c>
      <c r="P29" t="str">
        <f>IFERROR(_xlfn.XLOOKUP(tbl_HR_Data[[#This Row],[Email]], Mapping[Email_Discarded], Mapping[Email_Correction]), LOWER(TRIM(tbl_HR_Data[[#This Row],[Email]])))</f>
        <v>not provided</v>
      </c>
      <c r="Q2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9" t="str" cm="1">
        <f t="array" ref="R29">_xlfn.REDUCE(Q29, {"-","/","_","\","(",")"}, _xlfn.LAMBDA(_xlpm.txt,_xlpm.itm, SUBSTITUTE(_xlpm.txt, _xlpm.itm, "")))</f>
        <v>1234567890</v>
      </c>
      <c r="S29" s="3">
        <f>IFERROR(_xlfn.XLOOKUP(tbl_HR_Data[[#This Row],[Joining Date]], Mapping[Joining_Discarded], Mapping[Joining_Correction]), VALUE(tbl_HR_Data[[#This Row],[Joining Date]]))</f>
        <v>43195</v>
      </c>
      <c r="T29" t="str">
        <f>TEXT(tbl_HR_Data[[#This Row],[Joining Date]], "mmm")</f>
        <v>Apr</v>
      </c>
      <c r="U29" t="str">
        <f>TEXT(tbl_HR_Data[[#This Row],[Joining Date]], "ddd")</f>
        <v>Thu</v>
      </c>
    </row>
    <row r="30" spans="1:21" x14ac:dyDescent="0.35">
      <c r="A30" t="s">
        <v>105</v>
      </c>
      <c r="B30">
        <v>30</v>
      </c>
      <c r="C30">
        <v>70000</v>
      </c>
      <c r="D30" t="s">
        <v>11</v>
      </c>
      <c r="E30" t="s">
        <v>19</v>
      </c>
      <c r="F30" t="s">
        <v>13</v>
      </c>
      <c r="G30" s="3">
        <v>43195</v>
      </c>
      <c r="H30" t="str">
        <f>TEXT(tbl_HR_Data[[#This Row],[Joining Date]], "mmm")</f>
        <v>Apr</v>
      </c>
      <c r="I30" t="s">
        <v>92</v>
      </c>
      <c r="J30" t="s">
        <v>41</v>
      </c>
      <c r="K30" t="s">
        <v>22</v>
      </c>
      <c r="L30" t="s">
        <v>89</v>
      </c>
      <c r="M30">
        <f>IFERROR( _xlfn.XLOOKUP(TRIM(tbl_HR_Data[[#This Row],[Age]]),#REF!,#REF!), VALUE(TRIM(tbl_HR_Data[[#This Row],[Age]])))</f>
        <v>30</v>
      </c>
      <c r="N30" t="str">
        <f>IFERROR(_xlfn.XLOOKUP(tbl_HR_Data[[#This Row],[Gender]], Mapping[Gender _Discarded], Mapping[Gender_Correction]), PROPER(TRIM(tbl_HR_Data[[#This Row],[Gender]])))</f>
        <v>Male</v>
      </c>
      <c r="O30" t="str">
        <f>TRIM(tbl_HR_Data[[#This Row],[Position]])</f>
        <v>Manager</v>
      </c>
      <c r="P30" t="str">
        <f>IFERROR(_xlfn.XLOOKUP(tbl_HR_Data[[#This Row],[Email]], Mapping[Email_Discarded], Mapping[Email_Correction]), LOWER(TRIM(tbl_HR_Data[[#This Row],[Email]])))</f>
        <v>user@domain.com</v>
      </c>
      <c r="Q3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30" t="str" cm="1">
        <f t="array" ref="R30">_xlfn.REDUCE(Q30, {"-","/","_","\","(",")"}, _xlfn.LAMBDA(_xlpm.txt,_xlpm.itm, SUBSTITUTE(_xlpm.txt, _xlpm.itm, "")))</f>
        <v>5555555555</v>
      </c>
      <c r="S30" s="3">
        <f>IFERROR(_xlfn.XLOOKUP(tbl_HR_Data[[#This Row],[Joining Date]], Mapping[Joining_Discarded], Mapping[Joining_Correction]), VALUE(tbl_HR_Data[[#This Row],[Joining Date]]))</f>
        <v>43195</v>
      </c>
      <c r="T30" t="str">
        <f>TEXT(tbl_HR_Data[[#This Row],[Joining Date]], "mmm")</f>
        <v>Apr</v>
      </c>
      <c r="U30" t="str">
        <f>TEXT(tbl_HR_Data[[#This Row],[Joining Date]], "ddd")</f>
        <v>Thu</v>
      </c>
    </row>
    <row r="31" spans="1:21" x14ac:dyDescent="0.35">
      <c r="A31" t="s">
        <v>103</v>
      </c>
      <c r="B31">
        <v>30</v>
      </c>
      <c r="C31">
        <v>60000</v>
      </c>
      <c r="D31" t="s">
        <v>36</v>
      </c>
      <c r="E31" t="s">
        <v>26</v>
      </c>
      <c r="F31" t="s">
        <v>43</v>
      </c>
      <c r="G31" s="3">
        <v>43195</v>
      </c>
      <c r="H31" t="str">
        <f>TEXT(tbl_HR_Data[[#This Row],[Joining Date]], "mmm")</f>
        <v>Apr</v>
      </c>
      <c r="I31" t="s">
        <v>92</v>
      </c>
      <c r="J31" t="s">
        <v>21</v>
      </c>
      <c r="K31" t="s">
        <v>15</v>
      </c>
      <c r="L31" t="s">
        <v>77</v>
      </c>
      <c r="M31">
        <f>IFERROR( _xlfn.XLOOKUP(TRIM(tbl_HR_Data[[#This Row],[Age]]),#REF!,#REF!), VALUE(TRIM(tbl_HR_Data[[#This Row],[Age]])))</f>
        <v>30</v>
      </c>
      <c r="N31" t="str">
        <f>IFERROR(_xlfn.XLOOKUP(tbl_HR_Data[[#This Row],[Gender]], Mapping[Gender _Discarded], Mapping[Gender_Correction]), PROPER(TRIM(tbl_HR_Data[[#This Row],[Gender]])))</f>
        <v>Other</v>
      </c>
      <c r="O31" t="str">
        <f>TRIM(tbl_HR_Data[[#This Row],[Position]])</f>
        <v>Assistant</v>
      </c>
      <c r="P31" t="str">
        <f>IFERROR(_xlfn.XLOOKUP(tbl_HR_Data[[#This Row],[Email]], Mapping[Email_Discarded], Mapping[Email_Correction]), LOWER(TRIM(tbl_HR_Data[[#This Row],[Email]])))</f>
        <v>email@example.com</v>
      </c>
      <c r="Q3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1" t="str" cm="1">
        <f t="array" ref="R31">_xlfn.REDUCE(Q31, {"-","/","_","\","(",")"}, _xlfn.LAMBDA(_xlpm.txt,_xlpm.itm, SUBSTITUTE(_xlpm.txt, _xlpm.itm, "")))</f>
        <v>Not Provided</v>
      </c>
      <c r="S31" s="3">
        <f>IFERROR(_xlfn.XLOOKUP(tbl_HR_Data[[#This Row],[Joining Date]], Mapping[Joining_Discarded], Mapping[Joining_Correction]), VALUE(tbl_HR_Data[[#This Row],[Joining Date]]))</f>
        <v>43195</v>
      </c>
      <c r="T31" t="str">
        <f>TEXT(tbl_HR_Data[[#This Row],[Joining Date]], "mmm")</f>
        <v>Apr</v>
      </c>
      <c r="U31" t="str">
        <f>TEXT(tbl_HR_Data[[#This Row],[Joining Date]], "ddd")</f>
        <v>Thu</v>
      </c>
    </row>
    <row r="32" spans="1:21" x14ac:dyDescent="0.35">
      <c r="A32" t="s">
        <v>106</v>
      </c>
      <c r="B32">
        <v>35</v>
      </c>
      <c r="C32">
        <v>50000</v>
      </c>
      <c r="D32" t="s">
        <v>18</v>
      </c>
      <c r="E32" t="s">
        <v>19</v>
      </c>
      <c r="F32" t="s">
        <v>44</v>
      </c>
      <c r="G32" s="3">
        <v>43195</v>
      </c>
      <c r="H32" t="str">
        <f>TEXT(tbl_HR_Data[[#This Row],[Joining Date]], "mmm")</f>
        <v>Apr</v>
      </c>
      <c r="I32" t="s">
        <v>92</v>
      </c>
      <c r="J32" t="s">
        <v>31</v>
      </c>
      <c r="K32" t="s">
        <v>32</v>
      </c>
      <c r="L32" t="s">
        <v>77</v>
      </c>
      <c r="M32">
        <f>IFERROR( _xlfn.XLOOKUP(TRIM(tbl_HR_Data[[#This Row],[Age]]),#REF!,#REF!), VALUE(TRIM(tbl_HR_Data[[#This Row],[Age]])))</f>
        <v>35</v>
      </c>
      <c r="N32" t="str">
        <f>IFERROR(_xlfn.XLOOKUP(tbl_HR_Data[[#This Row],[Gender]], Mapping[Gender _Discarded], Mapping[Gender_Correction]), PROPER(TRIM(tbl_HR_Data[[#This Row],[Gender]])))</f>
        <v>Female</v>
      </c>
      <c r="O32" t="str">
        <f>TRIM(tbl_HR_Data[[#This Row],[Position]])</f>
        <v>Analyst</v>
      </c>
      <c r="P32" t="str">
        <f>IFERROR(_xlfn.XLOOKUP(tbl_HR_Data[[#This Row],[Email]], Mapping[Email_Discarded], Mapping[Email_Correction]), LOWER(TRIM(tbl_HR_Data[[#This Row],[Email]])))</f>
        <v>name@company.org</v>
      </c>
      <c r="Q3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2" t="str" cm="1">
        <f t="array" ref="R32">_xlfn.REDUCE(Q32, {"-","/","_","\","(",")"}, _xlfn.LAMBDA(_xlpm.txt,_xlpm.itm, SUBSTITUTE(_xlpm.txt, _xlpm.itm, "")))</f>
        <v>Not Provided</v>
      </c>
      <c r="S32" s="3">
        <f>IFERROR(_xlfn.XLOOKUP(tbl_HR_Data[[#This Row],[Joining Date]], Mapping[Joining_Discarded], Mapping[Joining_Correction]), VALUE(tbl_HR_Data[[#This Row],[Joining Date]]))</f>
        <v>43195</v>
      </c>
      <c r="T32" t="str">
        <f>TEXT(tbl_HR_Data[[#This Row],[Joining Date]], "mmm")</f>
        <v>Apr</v>
      </c>
      <c r="U32" t="str">
        <f>TEXT(tbl_HR_Data[[#This Row],[Joining Date]], "ddd")</f>
        <v>Thu</v>
      </c>
    </row>
    <row r="33" spans="1:21" x14ac:dyDescent="0.35">
      <c r="A33" t="s">
        <v>100</v>
      </c>
      <c r="B33">
        <v>30</v>
      </c>
      <c r="C33">
        <v>70000</v>
      </c>
      <c r="D33" t="s">
        <v>36</v>
      </c>
      <c r="E33" t="s">
        <v>37</v>
      </c>
      <c r="F33" t="s">
        <v>39</v>
      </c>
      <c r="G33" s="3">
        <v>43195</v>
      </c>
      <c r="H33" t="str">
        <f>TEXT(tbl_HR_Data[[#This Row],[Joining Date]], "mmm")</f>
        <v>Apr</v>
      </c>
      <c r="I33" t="s">
        <v>92</v>
      </c>
      <c r="J33" t="s">
        <v>41</v>
      </c>
      <c r="K33" t="s">
        <v>32</v>
      </c>
      <c r="L33" t="s">
        <v>77</v>
      </c>
      <c r="M33">
        <f>IFERROR( _xlfn.XLOOKUP(TRIM(tbl_HR_Data[[#This Row],[Age]]),#REF!,#REF!), VALUE(TRIM(tbl_HR_Data[[#This Row],[Age]])))</f>
        <v>30</v>
      </c>
      <c r="N33" t="str">
        <f>IFERROR(_xlfn.XLOOKUP(tbl_HR_Data[[#This Row],[Gender]], Mapping[Gender _Discarded], Mapping[Gender_Correction]), PROPER(TRIM(tbl_HR_Data[[#This Row],[Gender]])))</f>
        <v>Other</v>
      </c>
      <c r="O33" t="str">
        <f>TRIM(tbl_HR_Data[[#This Row],[Position]])</f>
        <v>Clerk</v>
      </c>
      <c r="P33" t="str">
        <f>IFERROR(_xlfn.XLOOKUP(tbl_HR_Data[[#This Row],[Email]], Mapping[Email_Discarded], Mapping[Email_Correction]), LOWER(TRIM(tbl_HR_Data[[#This Row],[Email]])))</f>
        <v>name@company.org</v>
      </c>
      <c r="Q3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3" t="str" cm="1">
        <f t="array" ref="R33">_xlfn.REDUCE(Q33, {"-","/","_","\","(",")"}, _xlfn.LAMBDA(_xlpm.txt,_xlpm.itm, SUBSTITUTE(_xlpm.txt, _xlpm.itm, "")))</f>
        <v>Not Provided</v>
      </c>
      <c r="S33" s="3">
        <f>IFERROR(_xlfn.XLOOKUP(tbl_HR_Data[[#This Row],[Joining Date]], Mapping[Joining_Discarded], Mapping[Joining_Correction]), VALUE(tbl_HR_Data[[#This Row],[Joining Date]]))</f>
        <v>43195</v>
      </c>
      <c r="T33" t="str">
        <f>TEXT(tbl_HR_Data[[#This Row],[Joining Date]], "mmm")</f>
        <v>Apr</v>
      </c>
      <c r="U33" t="str">
        <f>TEXT(tbl_HR_Data[[#This Row],[Joining Date]], "ddd")</f>
        <v>Thu</v>
      </c>
    </row>
    <row r="34" spans="1:21" x14ac:dyDescent="0.35">
      <c r="A34" t="s">
        <v>102</v>
      </c>
      <c r="B34">
        <v>50</v>
      </c>
      <c r="C34">
        <v>50000</v>
      </c>
      <c r="D34" t="s">
        <v>36</v>
      </c>
      <c r="E34" t="s">
        <v>37</v>
      </c>
      <c r="F34" t="s">
        <v>20</v>
      </c>
      <c r="G34" s="3">
        <v>43195</v>
      </c>
      <c r="H34" t="str">
        <f>TEXT(tbl_HR_Data[[#This Row],[Joining Date]], "mmm")</f>
        <v>Apr</v>
      </c>
      <c r="I34" t="s">
        <v>92</v>
      </c>
      <c r="J34" t="s">
        <v>14</v>
      </c>
      <c r="K34" t="s">
        <v>77</v>
      </c>
      <c r="L34" t="s">
        <v>77</v>
      </c>
      <c r="M34">
        <f>IFERROR( _xlfn.XLOOKUP(TRIM(tbl_HR_Data[[#This Row],[Age]]),#REF!,#REF!), VALUE(TRIM(tbl_HR_Data[[#This Row],[Age]])))</f>
        <v>50</v>
      </c>
      <c r="N34" t="str">
        <f>IFERROR(_xlfn.XLOOKUP(tbl_HR_Data[[#This Row],[Gender]], Mapping[Gender _Discarded], Mapping[Gender_Correction]), PROPER(TRIM(tbl_HR_Data[[#This Row],[Gender]])))</f>
        <v>Other</v>
      </c>
      <c r="O34" t="str">
        <f>TRIM(tbl_HR_Data[[#This Row],[Position]])</f>
        <v>Director</v>
      </c>
      <c r="P34" t="str">
        <f>IFERROR(_xlfn.XLOOKUP(tbl_HR_Data[[#This Row],[Email]], Mapping[Email_Discarded], Mapping[Email_Correction]), LOWER(TRIM(tbl_HR_Data[[#This Row],[Email]])))</f>
        <v>not provided</v>
      </c>
      <c r="Q3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4" t="str" cm="1">
        <f t="array" ref="R34">_xlfn.REDUCE(Q34, {"-","/","_","\","(",")"}, _xlfn.LAMBDA(_xlpm.txt,_xlpm.itm, SUBSTITUTE(_xlpm.txt, _xlpm.itm, "")))</f>
        <v>Not Provided</v>
      </c>
      <c r="S34" s="3">
        <f>IFERROR(_xlfn.XLOOKUP(tbl_HR_Data[[#This Row],[Joining Date]], Mapping[Joining_Discarded], Mapping[Joining_Correction]), VALUE(tbl_HR_Data[[#This Row],[Joining Date]]))</f>
        <v>43195</v>
      </c>
      <c r="T34" t="str">
        <f>TEXT(tbl_HR_Data[[#This Row],[Joining Date]], "mmm")</f>
        <v>Apr</v>
      </c>
      <c r="U34" t="str">
        <f>TEXT(tbl_HR_Data[[#This Row],[Joining Date]], "ddd")</f>
        <v>Thu</v>
      </c>
    </row>
    <row r="35" spans="1:21" x14ac:dyDescent="0.35">
      <c r="A35" t="s">
        <v>108</v>
      </c>
      <c r="B35">
        <v>30</v>
      </c>
      <c r="C35">
        <v>55000</v>
      </c>
      <c r="D35" t="s">
        <v>18</v>
      </c>
      <c r="E35" t="s">
        <v>12</v>
      </c>
      <c r="F35" t="s">
        <v>39</v>
      </c>
      <c r="G35" s="3">
        <v>43195</v>
      </c>
      <c r="H35" t="str">
        <f>TEXT(tbl_HR_Data[[#This Row],[Joining Date]], "mmm")</f>
        <v>Apr</v>
      </c>
      <c r="I35" t="s">
        <v>92</v>
      </c>
      <c r="J35" t="s">
        <v>21</v>
      </c>
      <c r="K35" t="s">
        <v>22</v>
      </c>
      <c r="L35" t="s">
        <v>88</v>
      </c>
      <c r="M35">
        <f>IFERROR( _xlfn.XLOOKUP(TRIM(tbl_HR_Data[[#This Row],[Age]]),#REF!,#REF!), VALUE(TRIM(tbl_HR_Data[[#This Row],[Age]])))</f>
        <v>30</v>
      </c>
      <c r="N35" t="str">
        <f>IFERROR(_xlfn.XLOOKUP(tbl_HR_Data[[#This Row],[Gender]], Mapping[Gender _Discarded], Mapping[Gender_Correction]), PROPER(TRIM(tbl_HR_Data[[#This Row],[Gender]])))</f>
        <v>Female</v>
      </c>
      <c r="O35" t="str">
        <f>TRIM(tbl_HR_Data[[#This Row],[Position]])</f>
        <v>Clerk</v>
      </c>
      <c r="P35" t="str">
        <f>IFERROR(_xlfn.XLOOKUP(tbl_HR_Data[[#This Row],[Email]], Mapping[Email_Discarded], Mapping[Email_Correction]), LOWER(TRIM(tbl_HR_Data[[#This Row],[Email]])))</f>
        <v>user@domain.com</v>
      </c>
      <c r="Q3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35" t="str" cm="1">
        <f t="array" ref="R35">_xlfn.REDUCE(Q35, {"-","/","_","\","(",")"}, _xlfn.LAMBDA(_xlpm.txt,_xlpm.itm, SUBSTITUTE(_xlpm.txt, _xlpm.itm, "")))</f>
        <v>0987654321</v>
      </c>
      <c r="S35" s="3">
        <f>IFERROR(_xlfn.XLOOKUP(tbl_HR_Data[[#This Row],[Joining Date]], Mapping[Joining_Discarded], Mapping[Joining_Correction]), VALUE(tbl_HR_Data[[#This Row],[Joining Date]]))</f>
        <v>43195</v>
      </c>
      <c r="T35" t="str">
        <f>TEXT(tbl_HR_Data[[#This Row],[Joining Date]], "mmm")</f>
        <v>Apr</v>
      </c>
      <c r="U35" t="str">
        <f>TEXT(tbl_HR_Data[[#This Row],[Joining Date]], "ddd")</f>
        <v>Thu</v>
      </c>
    </row>
    <row r="36" spans="1:21" x14ac:dyDescent="0.35">
      <c r="A36" t="s">
        <v>107</v>
      </c>
      <c r="B36">
        <v>30</v>
      </c>
      <c r="C36">
        <v>70000</v>
      </c>
      <c r="D36" t="s">
        <v>18</v>
      </c>
      <c r="E36" t="s">
        <v>26</v>
      </c>
      <c r="F36" t="s">
        <v>20</v>
      </c>
      <c r="G36" s="3">
        <v>43195</v>
      </c>
      <c r="H36" t="str">
        <f>TEXT(tbl_HR_Data[[#This Row],[Joining Date]], "mmm")</f>
        <v>Apr</v>
      </c>
      <c r="I36" t="s">
        <v>92</v>
      </c>
      <c r="J36" t="s">
        <v>14</v>
      </c>
      <c r="K36" t="s">
        <v>77</v>
      </c>
      <c r="L36" t="s">
        <v>89</v>
      </c>
      <c r="M36">
        <f>IFERROR( _xlfn.XLOOKUP(TRIM(tbl_HR_Data[[#This Row],[Age]]),#REF!,#REF!), VALUE(TRIM(tbl_HR_Data[[#This Row],[Age]])))</f>
        <v>30</v>
      </c>
      <c r="N36" t="str">
        <f>IFERROR(_xlfn.XLOOKUP(tbl_HR_Data[[#This Row],[Gender]], Mapping[Gender _Discarded], Mapping[Gender_Correction]), PROPER(TRIM(tbl_HR_Data[[#This Row],[Gender]])))</f>
        <v>Female</v>
      </c>
      <c r="O36" t="str">
        <f>TRIM(tbl_HR_Data[[#This Row],[Position]])</f>
        <v>Director</v>
      </c>
      <c r="P36" t="str">
        <f>IFERROR(_xlfn.XLOOKUP(tbl_HR_Data[[#This Row],[Email]], Mapping[Email_Discarded], Mapping[Email_Correction]), LOWER(TRIM(tbl_HR_Data[[#This Row],[Email]])))</f>
        <v>not provided</v>
      </c>
      <c r="Q3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36" t="str" cm="1">
        <f t="array" ref="R36">_xlfn.REDUCE(Q36, {"-","/","_","\","(",")"}, _xlfn.LAMBDA(_xlpm.txt,_xlpm.itm, SUBSTITUTE(_xlpm.txt, _xlpm.itm, "")))</f>
        <v>5555555555</v>
      </c>
      <c r="S36" s="3">
        <f>IFERROR(_xlfn.XLOOKUP(tbl_HR_Data[[#This Row],[Joining Date]], Mapping[Joining_Discarded], Mapping[Joining_Correction]), VALUE(tbl_HR_Data[[#This Row],[Joining Date]]))</f>
        <v>43195</v>
      </c>
      <c r="T36" t="str">
        <f>TEXT(tbl_HR_Data[[#This Row],[Joining Date]], "mmm")</f>
        <v>Apr</v>
      </c>
      <c r="U36" t="str">
        <f>TEXT(tbl_HR_Data[[#This Row],[Joining Date]], "ddd")</f>
        <v>Thu</v>
      </c>
    </row>
    <row r="37" spans="1:21" x14ac:dyDescent="0.35">
      <c r="A37" t="s">
        <v>106</v>
      </c>
      <c r="B37">
        <v>25</v>
      </c>
      <c r="C37">
        <v>55000</v>
      </c>
      <c r="D37" t="s">
        <v>11</v>
      </c>
      <c r="E37" t="s">
        <v>12</v>
      </c>
      <c r="F37" t="s">
        <v>44</v>
      </c>
      <c r="G37" s="3">
        <v>43195</v>
      </c>
      <c r="H37" t="str">
        <f>TEXT(tbl_HR_Data[[#This Row],[Joining Date]], "mmm")</f>
        <v>Apr</v>
      </c>
      <c r="I37" t="s">
        <v>92</v>
      </c>
      <c r="J37" t="s">
        <v>21</v>
      </c>
      <c r="K37" t="s">
        <v>32</v>
      </c>
      <c r="L37" t="s">
        <v>77</v>
      </c>
      <c r="M37">
        <f>IFERROR( _xlfn.XLOOKUP(TRIM(tbl_HR_Data[[#This Row],[Age]]),#REF!,#REF!), VALUE(TRIM(tbl_HR_Data[[#This Row],[Age]])))</f>
        <v>25</v>
      </c>
      <c r="N37" t="str">
        <f>IFERROR(_xlfn.XLOOKUP(tbl_HR_Data[[#This Row],[Gender]], Mapping[Gender _Discarded], Mapping[Gender_Correction]), PROPER(TRIM(tbl_HR_Data[[#This Row],[Gender]])))</f>
        <v>Male</v>
      </c>
      <c r="O37" t="str">
        <f>TRIM(tbl_HR_Data[[#This Row],[Position]])</f>
        <v>Analyst</v>
      </c>
      <c r="P37" t="str">
        <f>IFERROR(_xlfn.XLOOKUP(tbl_HR_Data[[#This Row],[Email]], Mapping[Email_Discarded], Mapping[Email_Correction]), LOWER(TRIM(tbl_HR_Data[[#This Row],[Email]])))</f>
        <v>name@company.org</v>
      </c>
      <c r="Q3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7" t="str" cm="1">
        <f t="array" ref="R37">_xlfn.REDUCE(Q37, {"-","/","_","\","(",")"}, _xlfn.LAMBDA(_xlpm.txt,_xlpm.itm, SUBSTITUTE(_xlpm.txt, _xlpm.itm, "")))</f>
        <v>Not Provided</v>
      </c>
      <c r="S37" s="3">
        <f>IFERROR(_xlfn.XLOOKUP(tbl_HR_Data[[#This Row],[Joining Date]], Mapping[Joining_Discarded], Mapping[Joining_Correction]), VALUE(tbl_HR_Data[[#This Row],[Joining Date]]))</f>
        <v>43195</v>
      </c>
      <c r="T37" t="str">
        <f>TEXT(tbl_HR_Data[[#This Row],[Joining Date]], "mmm")</f>
        <v>Apr</v>
      </c>
      <c r="U37" t="str">
        <f>TEXT(tbl_HR_Data[[#This Row],[Joining Date]], "ddd")</f>
        <v>Thu</v>
      </c>
    </row>
    <row r="38" spans="1:21" x14ac:dyDescent="0.35">
      <c r="A38" t="s">
        <v>107</v>
      </c>
      <c r="B38">
        <v>25</v>
      </c>
      <c r="C38">
        <v>70000</v>
      </c>
      <c r="D38" t="s">
        <v>36</v>
      </c>
      <c r="E38" t="s">
        <v>26</v>
      </c>
      <c r="F38" t="s">
        <v>43</v>
      </c>
      <c r="G38" s="3">
        <v>43195</v>
      </c>
      <c r="H38" t="str">
        <f>TEXT(tbl_HR_Data[[#This Row],[Joining Date]], "mmm")</f>
        <v>Apr</v>
      </c>
      <c r="I38" t="s">
        <v>92</v>
      </c>
      <c r="J38" t="s">
        <v>21</v>
      </c>
      <c r="K38" t="s">
        <v>32</v>
      </c>
      <c r="L38" t="s">
        <v>77</v>
      </c>
      <c r="M38">
        <f>IFERROR( _xlfn.XLOOKUP(TRIM(tbl_HR_Data[[#This Row],[Age]]),#REF!,#REF!), VALUE(TRIM(tbl_HR_Data[[#This Row],[Age]])))</f>
        <v>25</v>
      </c>
      <c r="N38" t="str">
        <f>IFERROR(_xlfn.XLOOKUP(tbl_HR_Data[[#This Row],[Gender]], Mapping[Gender _Discarded], Mapping[Gender_Correction]), PROPER(TRIM(tbl_HR_Data[[#This Row],[Gender]])))</f>
        <v>Other</v>
      </c>
      <c r="O38" t="str">
        <f>TRIM(tbl_HR_Data[[#This Row],[Position]])</f>
        <v>Assistant</v>
      </c>
      <c r="P38" t="str">
        <f>IFERROR(_xlfn.XLOOKUP(tbl_HR_Data[[#This Row],[Email]], Mapping[Email_Discarded], Mapping[Email_Correction]), LOWER(TRIM(tbl_HR_Data[[#This Row],[Email]])))</f>
        <v>name@company.org</v>
      </c>
      <c r="Q3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8" t="str" cm="1">
        <f t="array" ref="R38">_xlfn.REDUCE(Q38, {"-","/","_","\","(",")"}, _xlfn.LAMBDA(_xlpm.txt,_xlpm.itm, SUBSTITUTE(_xlpm.txt, _xlpm.itm, "")))</f>
        <v>Not Provided</v>
      </c>
      <c r="S38" s="3">
        <f>IFERROR(_xlfn.XLOOKUP(tbl_HR_Data[[#This Row],[Joining Date]], Mapping[Joining_Discarded], Mapping[Joining_Correction]), VALUE(tbl_HR_Data[[#This Row],[Joining Date]]))</f>
        <v>43195</v>
      </c>
      <c r="T38" t="str">
        <f>TEXT(tbl_HR_Data[[#This Row],[Joining Date]], "mmm")</f>
        <v>Apr</v>
      </c>
      <c r="U38" t="str">
        <f>TEXT(tbl_HR_Data[[#This Row],[Joining Date]], "ddd")</f>
        <v>Thu</v>
      </c>
    </row>
    <row r="39" spans="1:21" x14ac:dyDescent="0.35">
      <c r="A39" t="s">
        <v>104</v>
      </c>
      <c r="B39">
        <v>50</v>
      </c>
      <c r="C39">
        <v>55000</v>
      </c>
      <c r="D39" t="s">
        <v>11</v>
      </c>
      <c r="E39" t="s">
        <v>30</v>
      </c>
      <c r="F39" t="s">
        <v>44</v>
      </c>
      <c r="G39" s="3">
        <v>43195</v>
      </c>
      <c r="H39" t="str">
        <f>TEXT(tbl_HR_Data[[#This Row],[Joining Date]], "mmm")</f>
        <v>Apr</v>
      </c>
      <c r="I39" t="s">
        <v>92</v>
      </c>
      <c r="J39" t="s">
        <v>41</v>
      </c>
      <c r="K39" t="s">
        <v>32</v>
      </c>
      <c r="L39" t="s">
        <v>87</v>
      </c>
      <c r="M39">
        <f>IFERROR( _xlfn.XLOOKUP(TRIM(tbl_HR_Data[[#This Row],[Age]]),#REF!,#REF!), VALUE(TRIM(tbl_HR_Data[[#This Row],[Age]])))</f>
        <v>50</v>
      </c>
      <c r="N39" t="str">
        <f>IFERROR(_xlfn.XLOOKUP(tbl_HR_Data[[#This Row],[Gender]], Mapping[Gender _Discarded], Mapping[Gender_Correction]), PROPER(TRIM(tbl_HR_Data[[#This Row],[Gender]])))</f>
        <v>Male</v>
      </c>
      <c r="O39" t="str">
        <f>TRIM(tbl_HR_Data[[#This Row],[Position]])</f>
        <v>Analyst</v>
      </c>
      <c r="P39" t="str">
        <f>IFERROR(_xlfn.XLOOKUP(tbl_HR_Data[[#This Row],[Email]], Mapping[Email_Discarded], Mapping[Email_Correction]), LOWER(TRIM(tbl_HR_Data[[#This Row],[Email]])))</f>
        <v>name@company.org</v>
      </c>
      <c r="Q3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39" t="str" cm="1">
        <f t="array" ref="R39">_xlfn.REDUCE(Q39, {"-","/","_","\","(",")"}, _xlfn.LAMBDA(_xlpm.txt,_xlpm.itm, SUBSTITUTE(_xlpm.txt, _xlpm.itm, "")))</f>
        <v>1234567890</v>
      </c>
      <c r="S39" s="3">
        <f>IFERROR(_xlfn.XLOOKUP(tbl_HR_Data[[#This Row],[Joining Date]], Mapping[Joining_Discarded], Mapping[Joining_Correction]), VALUE(tbl_HR_Data[[#This Row],[Joining Date]]))</f>
        <v>43195</v>
      </c>
      <c r="T39" t="str">
        <f>TEXT(tbl_HR_Data[[#This Row],[Joining Date]], "mmm")</f>
        <v>Apr</v>
      </c>
      <c r="U39" t="str">
        <f>TEXT(tbl_HR_Data[[#This Row],[Joining Date]], "ddd")</f>
        <v>Thu</v>
      </c>
    </row>
    <row r="40" spans="1:21" x14ac:dyDescent="0.35">
      <c r="A40" t="s">
        <v>99</v>
      </c>
      <c r="B40">
        <v>50</v>
      </c>
      <c r="C40">
        <v>55000</v>
      </c>
      <c r="D40" t="s">
        <v>18</v>
      </c>
      <c r="E40" t="s">
        <v>12</v>
      </c>
      <c r="F40" t="s">
        <v>20</v>
      </c>
      <c r="G40" s="3">
        <v>43195</v>
      </c>
      <c r="H40" t="str">
        <f>TEXT(tbl_HR_Data[[#This Row],[Joining Date]], "mmm")</f>
        <v>Apr</v>
      </c>
      <c r="I40" t="s">
        <v>92</v>
      </c>
      <c r="J40" t="s">
        <v>21</v>
      </c>
      <c r="K40" t="s">
        <v>15</v>
      </c>
      <c r="L40" t="s">
        <v>77</v>
      </c>
      <c r="M40">
        <f>IFERROR( _xlfn.XLOOKUP(TRIM(tbl_HR_Data[[#This Row],[Age]]),#REF!,#REF!), VALUE(TRIM(tbl_HR_Data[[#This Row],[Age]])))</f>
        <v>50</v>
      </c>
      <c r="N40" t="str">
        <f>IFERROR(_xlfn.XLOOKUP(tbl_HR_Data[[#This Row],[Gender]], Mapping[Gender _Discarded], Mapping[Gender_Correction]), PROPER(TRIM(tbl_HR_Data[[#This Row],[Gender]])))</f>
        <v>Female</v>
      </c>
      <c r="O40" t="str">
        <f>TRIM(tbl_HR_Data[[#This Row],[Position]])</f>
        <v>Director</v>
      </c>
      <c r="P40" t="str">
        <f>IFERROR(_xlfn.XLOOKUP(tbl_HR_Data[[#This Row],[Email]], Mapping[Email_Discarded], Mapping[Email_Correction]), LOWER(TRIM(tbl_HR_Data[[#This Row],[Email]])))</f>
        <v>email@example.com</v>
      </c>
      <c r="Q4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0" t="str" cm="1">
        <f t="array" ref="R40">_xlfn.REDUCE(Q40, {"-","/","_","\","(",")"}, _xlfn.LAMBDA(_xlpm.txt,_xlpm.itm, SUBSTITUTE(_xlpm.txt, _xlpm.itm, "")))</f>
        <v>Not Provided</v>
      </c>
      <c r="S40" s="3">
        <f>IFERROR(_xlfn.XLOOKUP(tbl_HR_Data[[#This Row],[Joining Date]], Mapping[Joining_Discarded], Mapping[Joining_Correction]), VALUE(tbl_HR_Data[[#This Row],[Joining Date]]))</f>
        <v>43195</v>
      </c>
      <c r="T40" t="str">
        <f>TEXT(tbl_HR_Data[[#This Row],[Joining Date]], "mmm")</f>
        <v>Apr</v>
      </c>
      <c r="U40" t="str">
        <f>TEXT(tbl_HR_Data[[#This Row],[Joining Date]], "ddd")</f>
        <v>Thu</v>
      </c>
    </row>
    <row r="41" spans="1:21" x14ac:dyDescent="0.35">
      <c r="A41" t="s">
        <v>101</v>
      </c>
      <c r="B41">
        <v>25</v>
      </c>
      <c r="C41">
        <v>55000</v>
      </c>
      <c r="D41" t="s">
        <v>18</v>
      </c>
      <c r="E41" t="s">
        <v>12</v>
      </c>
      <c r="F41" t="s">
        <v>44</v>
      </c>
      <c r="G41" s="3">
        <v>43195</v>
      </c>
      <c r="H41" t="str">
        <f>TEXT(tbl_HR_Data[[#This Row],[Joining Date]], "mmm")</f>
        <v>Apr</v>
      </c>
      <c r="I41" t="s">
        <v>92</v>
      </c>
      <c r="J41" t="s">
        <v>27</v>
      </c>
      <c r="K41" t="s">
        <v>22</v>
      </c>
      <c r="L41" t="s">
        <v>77</v>
      </c>
      <c r="M41">
        <f>IFERROR( _xlfn.XLOOKUP(TRIM(tbl_HR_Data[[#This Row],[Age]]),#REF!,#REF!), VALUE(TRIM(tbl_HR_Data[[#This Row],[Age]])))</f>
        <v>25</v>
      </c>
      <c r="N41" t="str">
        <f>IFERROR(_xlfn.XLOOKUP(tbl_HR_Data[[#This Row],[Gender]], Mapping[Gender _Discarded], Mapping[Gender_Correction]), PROPER(TRIM(tbl_HR_Data[[#This Row],[Gender]])))</f>
        <v>Female</v>
      </c>
      <c r="O41" t="str">
        <f>TRIM(tbl_HR_Data[[#This Row],[Position]])</f>
        <v>Analyst</v>
      </c>
      <c r="P41" t="str">
        <f>IFERROR(_xlfn.XLOOKUP(tbl_HR_Data[[#This Row],[Email]], Mapping[Email_Discarded], Mapping[Email_Correction]), LOWER(TRIM(tbl_HR_Data[[#This Row],[Email]])))</f>
        <v>user@domain.com</v>
      </c>
      <c r="Q4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1" t="str" cm="1">
        <f t="array" ref="R41">_xlfn.REDUCE(Q41, {"-","/","_","\","(",")"}, _xlfn.LAMBDA(_xlpm.txt,_xlpm.itm, SUBSTITUTE(_xlpm.txt, _xlpm.itm, "")))</f>
        <v>Not Provided</v>
      </c>
      <c r="S41" s="3">
        <f>IFERROR(_xlfn.XLOOKUP(tbl_HR_Data[[#This Row],[Joining Date]], Mapping[Joining_Discarded], Mapping[Joining_Correction]), VALUE(tbl_HR_Data[[#This Row],[Joining Date]]))</f>
        <v>43195</v>
      </c>
      <c r="T41" t="str">
        <f>TEXT(tbl_HR_Data[[#This Row],[Joining Date]], "mmm")</f>
        <v>Apr</v>
      </c>
      <c r="U41" t="str">
        <f>TEXT(tbl_HR_Data[[#This Row],[Joining Date]], "ddd")</f>
        <v>Thu</v>
      </c>
    </row>
    <row r="42" spans="1:21" x14ac:dyDescent="0.35">
      <c r="A42" t="s">
        <v>104</v>
      </c>
      <c r="B42">
        <v>50</v>
      </c>
      <c r="C42">
        <v>65000</v>
      </c>
      <c r="D42" t="s">
        <v>18</v>
      </c>
      <c r="E42" t="s">
        <v>12</v>
      </c>
      <c r="F42" t="s">
        <v>39</v>
      </c>
      <c r="G42" s="3">
        <v>43195</v>
      </c>
      <c r="H42" t="str">
        <f>TEXT(tbl_HR_Data[[#This Row],[Joining Date]], "mmm")</f>
        <v>Apr</v>
      </c>
      <c r="I42" t="s">
        <v>92</v>
      </c>
      <c r="J42" t="s">
        <v>14</v>
      </c>
      <c r="K42" t="s">
        <v>77</v>
      </c>
      <c r="L42" t="s">
        <v>87</v>
      </c>
      <c r="M42">
        <f>IFERROR( _xlfn.XLOOKUP(TRIM(tbl_HR_Data[[#This Row],[Age]]),#REF!,#REF!), VALUE(TRIM(tbl_HR_Data[[#This Row],[Age]])))</f>
        <v>50</v>
      </c>
      <c r="N42" t="str">
        <f>IFERROR(_xlfn.XLOOKUP(tbl_HR_Data[[#This Row],[Gender]], Mapping[Gender _Discarded], Mapping[Gender_Correction]), PROPER(TRIM(tbl_HR_Data[[#This Row],[Gender]])))</f>
        <v>Female</v>
      </c>
      <c r="O42" t="str">
        <f>TRIM(tbl_HR_Data[[#This Row],[Position]])</f>
        <v>Clerk</v>
      </c>
      <c r="P42" t="str">
        <f>IFERROR(_xlfn.XLOOKUP(tbl_HR_Data[[#This Row],[Email]], Mapping[Email_Discarded], Mapping[Email_Correction]), LOWER(TRIM(tbl_HR_Data[[#This Row],[Email]])))</f>
        <v>not provided</v>
      </c>
      <c r="Q4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42" t="str" cm="1">
        <f t="array" ref="R42">_xlfn.REDUCE(Q42, {"-","/","_","\","(",")"}, _xlfn.LAMBDA(_xlpm.txt,_xlpm.itm, SUBSTITUTE(_xlpm.txt, _xlpm.itm, "")))</f>
        <v>1234567890</v>
      </c>
      <c r="S42" s="3">
        <f>IFERROR(_xlfn.XLOOKUP(tbl_HR_Data[[#This Row],[Joining Date]], Mapping[Joining_Discarded], Mapping[Joining_Correction]), VALUE(tbl_HR_Data[[#This Row],[Joining Date]]))</f>
        <v>43195</v>
      </c>
      <c r="T42" t="str">
        <f>TEXT(tbl_HR_Data[[#This Row],[Joining Date]], "mmm")</f>
        <v>Apr</v>
      </c>
      <c r="U42" t="str">
        <f>TEXT(tbl_HR_Data[[#This Row],[Joining Date]], "ddd")</f>
        <v>Thu</v>
      </c>
    </row>
    <row r="43" spans="1:21" x14ac:dyDescent="0.35">
      <c r="A43" t="s">
        <v>99</v>
      </c>
      <c r="B43">
        <v>0</v>
      </c>
      <c r="C43">
        <v>50000</v>
      </c>
      <c r="D43" t="s">
        <v>11</v>
      </c>
      <c r="E43" t="s">
        <v>30</v>
      </c>
      <c r="F43" t="s">
        <v>43</v>
      </c>
      <c r="G43" s="3">
        <v>43195</v>
      </c>
      <c r="H43" t="str">
        <f>TEXT(tbl_HR_Data[[#This Row],[Joining Date]], "mmm")</f>
        <v>Apr</v>
      </c>
      <c r="I43" t="s">
        <v>92</v>
      </c>
      <c r="J43" t="s">
        <v>31</v>
      </c>
      <c r="K43" t="s">
        <v>77</v>
      </c>
      <c r="L43" t="s">
        <v>87</v>
      </c>
      <c r="M43">
        <f>IFERROR( _xlfn.XLOOKUP(TRIM(tbl_HR_Data[[#This Row],[Age]]),#REF!,#REF!), VALUE(TRIM(tbl_HR_Data[[#This Row],[Age]])))</f>
        <v>0</v>
      </c>
      <c r="N43" t="str">
        <f>IFERROR(_xlfn.XLOOKUP(tbl_HR_Data[[#This Row],[Gender]], Mapping[Gender _Discarded], Mapping[Gender_Correction]), PROPER(TRIM(tbl_HR_Data[[#This Row],[Gender]])))</f>
        <v>Male</v>
      </c>
      <c r="O43" t="str">
        <f>TRIM(tbl_HR_Data[[#This Row],[Position]])</f>
        <v>Assistant</v>
      </c>
      <c r="P43" t="str">
        <f>IFERROR(_xlfn.XLOOKUP(tbl_HR_Data[[#This Row],[Email]], Mapping[Email_Discarded], Mapping[Email_Correction]), LOWER(TRIM(tbl_HR_Data[[#This Row],[Email]])))</f>
        <v>not provided</v>
      </c>
      <c r="Q4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43" t="str" cm="1">
        <f t="array" ref="R43">_xlfn.REDUCE(Q43, {"-","/","_","\","(",")"}, _xlfn.LAMBDA(_xlpm.txt,_xlpm.itm, SUBSTITUTE(_xlpm.txt, _xlpm.itm, "")))</f>
        <v>1234567890</v>
      </c>
      <c r="S43" s="3">
        <f>IFERROR(_xlfn.XLOOKUP(tbl_HR_Data[[#This Row],[Joining Date]], Mapping[Joining_Discarded], Mapping[Joining_Correction]), VALUE(tbl_HR_Data[[#This Row],[Joining Date]]))</f>
        <v>43195</v>
      </c>
      <c r="T43" t="str">
        <f>TEXT(tbl_HR_Data[[#This Row],[Joining Date]], "mmm")</f>
        <v>Apr</v>
      </c>
      <c r="U43" t="str">
        <f>TEXT(tbl_HR_Data[[#This Row],[Joining Date]], "ddd")</f>
        <v>Thu</v>
      </c>
    </row>
    <row r="44" spans="1:21" x14ac:dyDescent="0.35">
      <c r="A44" t="s">
        <v>105</v>
      </c>
      <c r="B44">
        <v>30</v>
      </c>
      <c r="C44">
        <v>60000</v>
      </c>
      <c r="D44" t="s">
        <v>36</v>
      </c>
      <c r="E44" t="s">
        <v>12</v>
      </c>
      <c r="F44" t="s">
        <v>44</v>
      </c>
      <c r="G44" s="3">
        <v>43195</v>
      </c>
      <c r="H44" t="str">
        <f>TEXT(tbl_HR_Data[[#This Row],[Joining Date]], "mmm")</f>
        <v>Apr</v>
      </c>
      <c r="I44" t="s">
        <v>92</v>
      </c>
      <c r="J44" t="s">
        <v>31</v>
      </c>
      <c r="K44" t="s">
        <v>22</v>
      </c>
      <c r="L44" t="s">
        <v>77</v>
      </c>
      <c r="M44">
        <f>IFERROR( _xlfn.XLOOKUP(TRIM(tbl_HR_Data[[#This Row],[Age]]),#REF!,#REF!), VALUE(TRIM(tbl_HR_Data[[#This Row],[Age]])))</f>
        <v>30</v>
      </c>
      <c r="N44" t="str">
        <f>IFERROR(_xlfn.XLOOKUP(tbl_HR_Data[[#This Row],[Gender]], Mapping[Gender _Discarded], Mapping[Gender_Correction]), PROPER(TRIM(tbl_HR_Data[[#This Row],[Gender]])))</f>
        <v>Other</v>
      </c>
      <c r="O44" t="str">
        <f>TRIM(tbl_HR_Data[[#This Row],[Position]])</f>
        <v>Analyst</v>
      </c>
      <c r="P44" t="str">
        <f>IFERROR(_xlfn.XLOOKUP(tbl_HR_Data[[#This Row],[Email]], Mapping[Email_Discarded], Mapping[Email_Correction]), LOWER(TRIM(tbl_HR_Data[[#This Row],[Email]])))</f>
        <v>user@domain.com</v>
      </c>
      <c r="Q4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4" t="str" cm="1">
        <f t="array" ref="R44">_xlfn.REDUCE(Q44, {"-","/","_","\","(",")"}, _xlfn.LAMBDA(_xlpm.txt,_xlpm.itm, SUBSTITUTE(_xlpm.txt, _xlpm.itm, "")))</f>
        <v>Not Provided</v>
      </c>
      <c r="S44" s="3">
        <f>IFERROR(_xlfn.XLOOKUP(tbl_HR_Data[[#This Row],[Joining Date]], Mapping[Joining_Discarded], Mapping[Joining_Correction]), VALUE(tbl_HR_Data[[#This Row],[Joining Date]]))</f>
        <v>43195</v>
      </c>
      <c r="T44" t="str">
        <f>TEXT(tbl_HR_Data[[#This Row],[Joining Date]], "mmm")</f>
        <v>Apr</v>
      </c>
      <c r="U44" t="str">
        <f>TEXT(tbl_HR_Data[[#This Row],[Joining Date]], "ddd")</f>
        <v>Thu</v>
      </c>
    </row>
    <row r="45" spans="1:21" x14ac:dyDescent="0.35">
      <c r="A45" t="s">
        <v>100</v>
      </c>
      <c r="B45">
        <v>0</v>
      </c>
      <c r="C45">
        <v>50000</v>
      </c>
      <c r="D45" t="s">
        <v>36</v>
      </c>
      <c r="E45" t="s">
        <v>26</v>
      </c>
      <c r="F45" t="s">
        <v>43</v>
      </c>
      <c r="G45" s="3">
        <v>43195</v>
      </c>
      <c r="H45" t="str">
        <f>TEXT(tbl_HR_Data[[#This Row],[Joining Date]], "mmm")</f>
        <v>Apr</v>
      </c>
      <c r="I45" t="s">
        <v>92</v>
      </c>
      <c r="J45" t="s">
        <v>27</v>
      </c>
      <c r="K45" t="s">
        <v>32</v>
      </c>
      <c r="L45" t="s">
        <v>77</v>
      </c>
      <c r="M45">
        <f>IFERROR( _xlfn.XLOOKUP(TRIM(tbl_HR_Data[[#This Row],[Age]]),#REF!,#REF!), VALUE(TRIM(tbl_HR_Data[[#This Row],[Age]])))</f>
        <v>0</v>
      </c>
      <c r="N45" t="str">
        <f>IFERROR(_xlfn.XLOOKUP(tbl_HR_Data[[#This Row],[Gender]], Mapping[Gender _Discarded], Mapping[Gender_Correction]), PROPER(TRIM(tbl_HR_Data[[#This Row],[Gender]])))</f>
        <v>Other</v>
      </c>
      <c r="O45" t="str">
        <f>TRIM(tbl_HR_Data[[#This Row],[Position]])</f>
        <v>Assistant</v>
      </c>
      <c r="P45" t="str">
        <f>IFERROR(_xlfn.XLOOKUP(tbl_HR_Data[[#This Row],[Email]], Mapping[Email_Discarded], Mapping[Email_Correction]), LOWER(TRIM(tbl_HR_Data[[#This Row],[Email]])))</f>
        <v>name@company.org</v>
      </c>
      <c r="Q4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5" t="str" cm="1">
        <f t="array" ref="R45">_xlfn.REDUCE(Q45, {"-","/","_","\","(",")"}, _xlfn.LAMBDA(_xlpm.txt,_xlpm.itm, SUBSTITUTE(_xlpm.txt, _xlpm.itm, "")))</f>
        <v>Not Provided</v>
      </c>
      <c r="S45" s="3">
        <f>IFERROR(_xlfn.XLOOKUP(tbl_HR_Data[[#This Row],[Joining Date]], Mapping[Joining_Discarded], Mapping[Joining_Correction]), VALUE(tbl_HR_Data[[#This Row],[Joining Date]]))</f>
        <v>43195</v>
      </c>
      <c r="T45" t="str">
        <f>TEXT(tbl_HR_Data[[#This Row],[Joining Date]], "mmm")</f>
        <v>Apr</v>
      </c>
      <c r="U45" t="str">
        <f>TEXT(tbl_HR_Data[[#This Row],[Joining Date]], "ddd")</f>
        <v>Thu</v>
      </c>
    </row>
    <row r="46" spans="1:21" x14ac:dyDescent="0.35">
      <c r="A46" t="s">
        <v>100</v>
      </c>
      <c r="B46">
        <v>40</v>
      </c>
      <c r="C46">
        <v>65000</v>
      </c>
      <c r="D46" t="s">
        <v>36</v>
      </c>
      <c r="E46" t="s">
        <v>12</v>
      </c>
      <c r="F46" t="s">
        <v>13</v>
      </c>
      <c r="G46" s="3">
        <v>43195</v>
      </c>
      <c r="H46" t="str">
        <f>TEXT(tbl_HR_Data[[#This Row],[Joining Date]], "mmm")</f>
        <v>Apr</v>
      </c>
      <c r="I46" t="s">
        <v>92</v>
      </c>
      <c r="J46" t="s">
        <v>14</v>
      </c>
      <c r="K46" t="s">
        <v>77</v>
      </c>
      <c r="L46" t="s">
        <v>89</v>
      </c>
      <c r="M46">
        <f>IFERROR( _xlfn.XLOOKUP(TRIM(tbl_HR_Data[[#This Row],[Age]]),#REF!,#REF!), VALUE(TRIM(tbl_HR_Data[[#This Row],[Age]])))</f>
        <v>40</v>
      </c>
      <c r="N46" t="str">
        <f>IFERROR(_xlfn.XLOOKUP(tbl_HR_Data[[#This Row],[Gender]], Mapping[Gender _Discarded], Mapping[Gender_Correction]), PROPER(TRIM(tbl_HR_Data[[#This Row],[Gender]])))</f>
        <v>Other</v>
      </c>
      <c r="O46" t="str">
        <f>TRIM(tbl_HR_Data[[#This Row],[Position]])</f>
        <v>Manager</v>
      </c>
      <c r="P46" t="str">
        <f>IFERROR(_xlfn.XLOOKUP(tbl_HR_Data[[#This Row],[Email]], Mapping[Email_Discarded], Mapping[Email_Correction]), LOWER(TRIM(tbl_HR_Data[[#This Row],[Email]])))</f>
        <v>not provided</v>
      </c>
      <c r="Q4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46" t="str" cm="1">
        <f t="array" ref="R46">_xlfn.REDUCE(Q46, {"-","/","_","\","(",")"}, _xlfn.LAMBDA(_xlpm.txt,_xlpm.itm, SUBSTITUTE(_xlpm.txt, _xlpm.itm, "")))</f>
        <v>5555555555</v>
      </c>
      <c r="S46" s="3">
        <f>IFERROR(_xlfn.XLOOKUP(tbl_HR_Data[[#This Row],[Joining Date]], Mapping[Joining_Discarded], Mapping[Joining_Correction]), VALUE(tbl_HR_Data[[#This Row],[Joining Date]]))</f>
        <v>43195</v>
      </c>
      <c r="T46" t="str">
        <f>TEXT(tbl_HR_Data[[#This Row],[Joining Date]], "mmm")</f>
        <v>Apr</v>
      </c>
      <c r="U46" t="str">
        <f>TEXT(tbl_HR_Data[[#This Row],[Joining Date]], "ddd")</f>
        <v>Thu</v>
      </c>
    </row>
    <row r="47" spans="1:21" x14ac:dyDescent="0.35">
      <c r="A47" t="s">
        <v>107</v>
      </c>
      <c r="B47">
        <v>40</v>
      </c>
      <c r="C47">
        <v>0</v>
      </c>
      <c r="D47" t="s">
        <v>11</v>
      </c>
      <c r="E47" t="s">
        <v>12</v>
      </c>
      <c r="F47" t="s">
        <v>20</v>
      </c>
      <c r="G47" s="3">
        <v>43195</v>
      </c>
      <c r="H47" t="str">
        <f>TEXT(tbl_HR_Data[[#This Row],[Joining Date]], "mmm")</f>
        <v>Apr</v>
      </c>
      <c r="I47" t="s">
        <v>92</v>
      </c>
      <c r="J47" t="s">
        <v>41</v>
      </c>
      <c r="K47" t="s">
        <v>15</v>
      </c>
      <c r="L47" t="s">
        <v>77</v>
      </c>
      <c r="M47">
        <f>IFERROR( _xlfn.XLOOKUP(TRIM(tbl_HR_Data[[#This Row],[Age]]),#REF!,#REF!), VALUE(TRIM(tbl_HR_Data[[#This Row],[Age]])))</f>
        <v>40</v>
      </c>
      <c r="N47" t="str">
        <f>IFERROR(_xlfn.XLOOKUP(tbl_HR_Data[[#This Row],[Gender]], Mapping[Gender _Discarded], Mapping[Gender_Correction]), PROPER(TRIM(tbl_HR_Data[[#This Row],[Gender]])))</f>
        <v>Male</v>
      </c>
      <c r="O47" t="str">
        <f>TRIM(tbl_HR_Data[[#This Row],[Position]])</f>
        <v>Director</v>
      </c>
      <c r="P47" t="str">
        <f>IFERROR(_xlfn.XLOOKUP(tbl_HR_Data[[#This Row],[Email]], Mapping[Email_Discarded], Mapping[Email_Correction]), LOWER(TRIM(tbl_HR_Data[[#This Row],[Email]])))</f>
        <v>email@example.com</v>
      </c>
      <c r="Q4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7" t="str" cm="1">
        <f t="array" ref="R47">_xlfn.REDUCE(Q47, {"-","/","_","\","(",")"}, _xlfn.LAMBDA(_xlpm.txt,_xlpm.itm, SUBSTITUTE(_xlpm.txt, _xlpm.itm, "")))</f>
        <v>Not Provided</v>
      </c>
      <c r="S47" s="3">
        <f>IFERROR(_xlfn.XLOOKUP(tbl_HR_Data[[#This Row],[Joining Date]], Mapping[Joining_Discarded], Mapping[Joining_Correction]), VALUE(tbl_HR_Data[[#This Row],[Joining Date]]))</f>
        <v>43195</v>
      </c>
      <c r="T47" t="str">
        <f>TEXT(tbl_HR_Data[[#This Row],[Joining Date]], "mmm")</f>
        <v>Apr</v>
      </c>
      <c r="U47" t="str">
        <f>TEXT(tbl_HR_Data[[#This Row],[Joining Date]], "ddd")</f>
        <v>Thu</v>
      </c>
    </row>
    <row r="48" spans="1:21" x14ac:dyDescent="0.35">
      <c r="A48" t="s">
        <v>102</v>
      </c>
      <c r="B48">
        <v>50</v>
      </c>
      <c r="C48">
        <v>60000</v>
      </c>
      <c r="D48" t="s">
        <v>36</v>
      </c>
      <c r="E48" t="s">
        <v>37</v>
      </c>
      <c r="F48" t="s">
        <v>44</v>
      </c>
      <c r="G48" s="3">
        <v>43195</v>
      </c>
      <c r="H48" t="str">
        <f>TEXT(tbl_HR_Data[[#This Row],[Joining Date]], "mmm")</f>
        <v>Apr</v>
      </c>
      <c r="I48" t="s">
        <v>92</v>
      </c>
      <c r="J48" t="s">
        <v>31</v>
      </c>
      <c r="K48" t="s">
        <v>77</v>
      </c>
      <c r="L48" t="s">
        <v>77</v>
      </c>
      <c r="M48">
        <f>IFERROR( _xlfn.XLOOKUP(TRIM(tbl_HR_Data[[#This Row],[Age]]),#REF!,#REF!), VALUE(TRIM(tbl_HR_Data[[#This Row],[Age]])))</f>
        <v>50</v>
      </c>
      <c r="N48" t="str">
        <f>IFERROR(_xlfn.XLOOKUP(tbl_HR_Data[[#This Row],[Gender]], Mapping[Gender _Discarded], Mapping[Gender_Correction]), PROPER(TRIM(tbl_HR_Data[[#This Row],[Gender]])))</f>
        <v>Other</v>
      </c>
      <c r="O48" t="str">
        <f>TRIM(tbl_HR_Data[[#This Row],[Position]])</f>
        <v>Analyst</v>
      </c>
      <c r="P48" t="str">
        <f>IFERROR(_xlfn.XLOOKUP(tbl_HR_Data[[#This Row],[Email]], Mapping[Email_Discarded], Mapping[Email_Correction]), LOWER(TRIM(tbl_HR_Data[[#This Row],[Email]])))</f>
        <v>not provided</v>
      </c>
      <c r="Q4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8" t="str" cm="1">
        <f t="array" ref="R48">_xlfn.REDUCE(Q48, {"-","/","_","\","(",")"}, _xlfn.LAMBDA(_xlpm.txt,_xlpm.itm, SUBSTITUTE(_xlpm.txt, _xlpm.itm, "")))</f>
        <v>Not Provided</v>
      </c>
      <c r="S48" s="3">
        <f>IFERROR(_xlfn.XLOOKUP(tbl_HR_Data[[#This Row],[Joining Date]], Mapping[Joining_Discarded], Mapping[Joining_Correction]), VALUE(tbl_HR_Data[[#This Row],[Joining Date]]))</f>
        <v>43195</v>
      </c>
      <c r="T48" t="str">
        <f>TEXT(tbl_HR_Data[[#This Row],[Joining Date]], "mmm")</f>
        <v>Apr</v>
      </c>
      <c r="U48" t="str">
        <f>TEXT(tbl_HR_Data[[#This Row],[Joining Date]], "ddd")</f>
        <v>Thu</v>
      </c>
    </row>
    <row r="49" spans="1:21" x14ac:dyDescent="0.35">
      <c r="A49" t="s">
        <v>101</v>
      </c>
      <c r="B49">
        <v>40</v>
      </c>
      <c r="C49">
        <v>65000</v>
      </c>
      <c r="D49" t="s">
        <v>11</v>
      </c>
      <c r="E49" t="s">
        <v>19</v>
      </c>
      <c r="F49" t="s">
        <v>39</v>
      </c>
      <c r="G49" s="3">
        <v>43195</v>
      </c>
      <c r="H49" t="str">
        <f>TEXT(tbl_HR_Data[[#This Row],[Joining Date]], "mmm")</f>
        <v>Apr</v>
      </c>
      <c r="I49" t="s">
        <v>92</v>
      </c>
      <c r="J49" t="s">
        <v>21</v>
      </c>
      <c r="K49" t="s">
        <v>15</v>
      </c>
      <c r="L49" t="s">
        <v>77</v>
      </c>
      <c r="M49">
        <f>IFERROR( _xlfn.XLOOKUP(TRIM(tbl_HR_Data[[#This Row],[Age]]),#REF!,#REF!), VALUE(TRIM(tbl_HR_Data[[#This Row],[Age]])))</f>
        <v>40</v>
      </c>
      <c r="N49" t="str">
        <f>IFERROR(_xlfn.XLOOKUP(tbl_HR_Data[[#This Row],[Gender]], Mapping[Gender _Discarded], Mapping[Gender_Correction]), PROPER(TRIM(tbl_HR_Data[[#This Row],[Gender]])))</f>
        <v>Male</v>
      </c>
      <c r="O49" t="str">
        <f>TRIM(tbl_HR_Data[[#This Row],[Position]])</f>
        <v>Clerk</v>
      </c>
      <c r="P49" t="str">
        <f>IFERROR(_xlfn.XLOOKUP(tbl_HR_Data[[#This Row],[Email]], Mapping[Email_Discarded], Mapping[Email_Correction]), LOWER(TRIM(tbl_HR_Data[[#This Row],[Email]])))</f>
        <v>email@example.com</v>
      </c>
      <c r="Q4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9" t="str" cm="1">
        <f t="array" ref="R49">_xlfn.REDUCE(Q49, {"-","/","_","\","(",")"}, _xlfn.LAMBDA(_xlpm.txt,_xlpm.itm, SUBSTITUTE(_xlpm.txt, _xlpm.itm, "")))</f>
        <v>Not Provided</v>
      </c>
      <c r="S49" s="3">
        <f>IFERROR(_xlfn.XLOOKUP(tbl_HR_Data[[#This Row],[Joining Date]], Mapping[Joining_Discarded], Mapping[Joining_Correction]), VALUE(tbl_HR_Data[[#This Row],[Joining Date]]))</f>
        <v>43195</v>
      </c>
      <c r="T49" t="str">
        <f>TEXT(tbl_HR_Data[[#This Row],[Joining Date]], "mmm")</f>
        <v>Apr</v>
      </c>
      <c r="U49" t="str">
        <f>TEXT(tbl_HR_Data[[#This Row],[Joining Date]], "ddd")</f>
        <v>Thu</v>
      </c>
    </row>
    <row r="50" spans="1:21" x14ac:dyDescent="0.35">
      <c r="A50" t="s">
        <v>104</v>
      </c>
      <c r="B50">
        <v>30</v>
      </c>
      <c r="C50">
        <v>50000</v>
      </c>
      <c r="D50" t="s">
        <v>36</v>
      </c>
      <c r="E50" t="s">
        <v>19</v>
      </c>
      <c r="F50" t="s">
        <v>43</v>
      </c>
      <c r="G50" s="3">
        <v>43195</v>
      </c>
      <c r="H50" t="str">
        <f>TEXT(tbl_HR_Data[[#This Row],[Joining Date]], "mmm")</f>
        <v>Apr</v>
      </c>
      <c r="I50" t="s">
        <v>92</v>
      </c>
      <c r="J50" t="s">
        <v>14</v>
      </c>
      <c r="K50" t="s">
        <v>15</v>
      </c>
      <c r="L50" t="s">
        <v>77</v>
      </c>
      <c r="M50">
        <f>IFERROR( _xlfn.XLOOKUP(TRIM(tbl_HR_Data[[#This Row],[Age]]),#REF!,#REF!), VALUE(TRIM(tbl_HR_Data[[#This Row],[Age]])))</f>
        <v>30</v>
      </c>
      <c r="N50" t="str">
        <f>IFERROR(_xlfn.XLOOKUP(tbl_HR_Data[[#This Row],[Gender]], Mapping[Gender _Discarded], Mapping[Gender_Correction]), PROPER(TRIM(tbl_HR_Data[[#This Row],[Gender]])))</f>
        <v>Other</v>
      </c>
      <c r="O50" t="str">
        <f>TRIM(tbl_HR_Data[[#This Row],[Position]])</f>
        <v>Assistant</v>
      </c>
      <c r="P50" t="str">
        <f>IFERROR(_xlfn.XLOOKUP(tbl_HR_Data[[#This Row],[Email]], Mapping[Email_Discarded], Mapping[Email_Correction]), LOWER(TRIM(tbl_HR_Data[[#This Row],[Email]])))</f>
        <v>email@example.com</v>
      </c>
      <c r="Q5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0" t="str" cm="1">
        <f t="array" ref="R50">_xlfn.REDUCE(Q50, {"-","/","_","\","(",")"}, _xlfn.LAMBDA(_xlpm.txt,_xlpm.itm, SUBSTITUTE(_xlpm.txt, _xlpm.itm, "")))</f>
        <v>Not Provided</v>
      </c>
      <c r="S50" s="3">
        <f>IFERROR(_xlfn.XLOOKUP(tbl_HR_Data[[#This Row],[Joining Date]], Mapping[Joining_Discarded], Mapping[Joining_Correction]), VALUE(tbl_HR_Data[[#This Row],[Joining Date]]))</f>
        <v>43195</v>
      </c>
      <c r="T50" t="str">
        <f>TEXT(tbl_HR_Data[[#This Row],[Joining Date]], "mmm")</f>
        <v>Apr</v>
      </c>
      <c r="U50" t="str">
        <f>TEXT(tbl_HR_Data[[#This Row],[Joining Date]], "ddd")</f>
        <v>Thu</v>
      </c>
    </row>
    <row r="51" spans="1:21" x14ac:dyDescent="0.35">
      <c r="A51" t="s">
        <v>104</v>
      </c>
      <c r="B51">
        <v>40</v>
      </c>
      <c r="C51">
        <v>55000</v>
      </c>
      <c r="D51" t="s">
        <v>36</v>
      </c>
      <c r="E51" t="s">
        <v>12</v>
      </c>
      <c r="F51" t="s">
        <v>20</v>
      </c>
      <c r="G51" s="3">
        <v>43195</v>
      </c>
      <c r="H51" t="str">
        <f>TEXT(tbl_HR_Data[[#This Row],[Joining Date]], "mmm")</f>
        <v>Apr</v>
      </c>
      <c r="I51" t="s">
        <v>92</v>
      </c>
      <c r="J51" t="s">
        <v>14</v>
      </c>
      <c r="K51" t="s">
        <v>32</v>
      </c>
      <c r="L51" t="s">
        <v>87</v>
      </c>
      <c r="M51">
        <f>IFERROR( _xlfn.XLOOKUP(TRIM(tbl_HR_Data[[#This Row],[Age]]),#REF!,#REF!), VALUE(TRIM(tbl_HR_Data[[#This Row],[Age]])))</f>
        <v>40</v>
      </c>
      <c r="N51" t="str">
        <f>IFERROR(_xlfn.XLOOKUP(tbl_HR_Data[[#This Row],[Gender]], Mapping[Gender _Discarded], Mapping[Gender_Correction]), PROPER(TRIM(tbl_HR_Data[[#This Row],[Gender]])))</f>
        <v>Other</v>
      </c>
      <c r="O51" t="str">
        <f>TRIM(tbl_HR_Data[[#This Row],[Position]])</f>
        <v>Director</v>
      </c>
      <c r="P51" t="str">
        <f>IFERROR(_xlfn.XLOOKUP(tbl_HR_Data[[#This Row],[Email]], Mapping[Email_Discarded], Mapping[Email_Correction]), LOWER(TRIM(tbl_HR_Data[[#This Row],[Email]])))</f>
        <v>name@company.org</v>
      </c>
      <c r="Q5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1" t="str" cm="1">
        <f t="array" ref="R51">_xlfn.REDUCE(Q51, {"-","/","_","\","(",")"}, _xlfn.LAMBDA(_xlpm.txt,_xlpm.itm, SUBSTITUTE(_xlpm.txt, _xlpm.itm, "")))</f>
        <v>1234567890</v>
      </c>
      <c r="S51" s="3">
        <f>IFERROR(_xlfn.XLOOKUP(tbl_HR_Data[[#This Row],[Joining Date]], Mapping[Joining_Discarded], Mapping[Joining_Correction]), VALUE(tbl_HR_Data[[#This Row],[Joining Date]]))</f>
        <v>43195</v>
      </c>
      <c r="T51" t="str">
        <f>TEXT(tbl_HR_Data[[#This Row],[Joining Date]], "mmm")</f>
        <v>Apr</v>
      </c>
      <c r="U51" t="str">
        <f>TEXT(tbl_HR_Data[[#This Row],[Joining Date]], "ddd")</f>
        <v>Thu</v>
      </c>
    </row>
    <row r="52" spans="1:21" x14ac:dyDescent="0.35">
      <c r="A52" t="s">
        <v>106</v>
      </c>
      <c r="B52">
        <v>25</v>
      </c>
      <c r="C52">
        <v>65000</v>
      </c>
      <c r="D52" t="s">
        <v>11</v>
      </c>
      <c r="E52" t="s">
        <v>19</v>
      </c>
      <c r="F52" t="s">
        <v>43</v>
      </c>
      <c r="G52" s="3">
        <v>43195</v>
      </c>
      <c r="H52" t="str">
        <f>TEXT(tbl_HR_Data[[#This Row],[Joining Date]], "mmm")</f>
        <v>Apr</v>
      </c>
      <c r="I52" t="s">
        <v>92</v>
      </c>
      <c r="J52" t="s">
        <v>14</v>
      </c>
      <c r="K52" t="s">
        <v>32</v>
      </c>
      <c r="L52" t="s">
        <v>87</v>
      </c>
      <c r="M52">
        <f>IFERROR( _xlfn.XLOOKUP(TRIM(tbl_HR_Data[[#This Row],[Age]]),#REF!,#REF!), VALUE(TRIM(tbl_HR_Data[[#This Row],[Age]])))</f>
        <v>25</v>
      </c>
      <c r="N52" t="str">
        <f>IFERROR(_xlfn.XLOOKUP(tbl_HR_Data[[#This Row],[Gender]], Mapping[Gender _Discarded], Mapping[Gender_Correction]), PROPER(TRIM(tbl_HR_Data[[#This Row],[Gender]])))</f>
        <v>Male</v>
      </c>
      <c r="O52" t="str">
        <f>TRIM(tbl_HR_Data[[#This Row],[Position]])</f>
        <v>Assistant</v>
      </c>
      <c r="P52" t="str">
        <f>IFERROR(_xlfn.XLOOKUP(tbl_HR_Data[[#This Row],[Email]], Mapping[Email_Discarded], Mapping[Email_Correction]), LOWER(TRIM(tbl_HR_Data[[#This Row],[Email]])))</f>
        <v>name@company.org</v>
      </c>
      <c r="Q5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2" t="str" cm="1">
        <f t="array" ref="R52">_xlfn.REDUCE(Q52, {"-","/","_","\","(",")"}, _xlfn.LAMBDA(_xlpm.txt,_xlpm.itm, SUBSTITUTE(_xlpm.txt, _xlpm.itm, "")))</f>
        <v>1234567890</v>
      </c>
      <c r="S52" s="3">
        <f>IFERROR(_xlfn.XLOOKUP(tbl_HR_Data[[#This Row],[Joining Date]], Mapping[Joining_Discarded], Mapping[Joining_Correction]), VALUE(tbl_HR_Data[[#This Row],[Joining Date]]))</f>
        <v>43195</v>
      </c>
      <c r="T52" t="str">
        <f>TEXT(tbl_HR_Data[[#This Row],[Joining Date]], "mmm")</f>
        <v>Apr</v>
      </c>
      <c r="U52" t="str">
        <f>TEXT(tbl_HR_Data[[#This Row],[Joining Date]], "ddd")</f>
        <v>Thu</v>
      </c>
    </row>
    <row r="53" spans="1:21" x14ac:dyDescent="0.35">
      <c r="A53" t="s">
        <v>102</v>
      </c>
      <c r="B53">
        <v>50</v>
      </c>
      <c r="C53">
        <v>50000</v>
      </c>
      <c r="D53" t="s">
        <v>36</v>
      </c>
      <c r="E53" t="s">
        <v>19</v>
      </c>
      <c r="F53" t="s">
        <v>43</v>
      </c>
      <c r="G53" s="3">
        <v>43195</v>
      </c>
      <c r="H53" t="str">
        <f>TEXT(tbl_HR_Data[[#This Row],[Joining Date]], "mmm")</f>
        <v>Apr</v>
      </c>
      <c r="I53" t="s">
        <v>92</v>
      </c>
      <c r="J53" t="s">
        <v>14</v>
      </c>
      <c r="K53" t="s">
        <v>32</v>
      </c>
      <c r="L53" t="s">
        <v>87</v>
      </c>
      <c r="M53">
        <f>IFERROR( _xlfn.XLOOKUP(TRIM(tbl_HR_Data[[#This Row],[Age]]),#REF!,#REF!), VALUE(TRIM(tbl_HR_Data[[#This Row],[Age]])))</f>
        <v>50</v>
      </c>
      <c r="N53" t="str">
        <f>IFERROR(_xlfn.XLOOKUP(tbl_HR_Data[[#This Row],[Gender]], Mapping[Gender _Discarded], Mapping[Gender_Correction]), PROPER(TRIM(tbl_HR_Data[[#This Row],[Gender]])))</f>
        <v>Other</v>
      </c>
      <c r="O53" t="str">
        <f>TRIM(tbl_HR_Data[[#This Row],[Position]])</f>
        <v>Assistant</v>
      </c>
      <c r="P53" t="str">
        <f>IFERROR(_xlfn.XLOOKUP(tbl_HR_Data[[#This Row],[Email]], Mapping[Email_Discarded], Mapping[Email_Correction]), LOWER(TRIM(tbl_HR_Data[[#This Row],[Email]])))</f>
        <v>name@company.org</v>
      </c>
      <c r="Q5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3" t="str" cm="1">
        <f t="array" ref="R53">_xlfn.REDUCE(Q53, {"-","/","_","\","(",")"}, _xlfn.LAMBDA(_xlpm.txt,_xlpm.itm, SUBSTITUTE(_xlpm.txt, _xlpm.itm, "")))</f>
        <v>1234567890</v>
      </c>
      <c r="S53" s="3">
        <f>IFERROR(_xlfn.XLOOKUP(tbl_HR_Data[[#This Row],[Joining Date]], Mapping[Joining_Discarded], Mapping[Joining_Correction]), VALUE(tbl_HR_Data[[#This Row],[Joining Date]]))</f>
        <v>43195</v>
      </c>
      <c r="T53" t="str">
        <f>TEXT(tbl_HR_Data[[#This Row],[Joining Date]], "mmm")</f>
        <v>Apr</v>
      </c>
      <c r="U53" t="str">
        <f>TEXT(tbl_HR_Data[[#This Row],[Joining Date]], "ddd")</f>
        <v>Thu</v>
      </c>
    </row>
    <row r="54" spans="1:21" x14ac:dyDescent="0.35">
      <c r="A54" t="s">
        <v>100</v>
      </c>
      <c r="B54">
        <v>40</v>
      </c>
      <c r="C54">
        <v>55000</v>
      </c>
      <c r="D54" t="s">
        <v>11</v>
      </c>
      <c r="E54" t="s">
        <v>26</v>
      </c>
      <c r="F54" t="s">
        <v>13</v>
      </c>
      <c r="G54" s="3">
        <v>43195</v>
      </c>
      <c r="H54" t="str">
        <f>TEXT(tbl_HR_Data[[#This Row],[Joining Date]], "mmm")</f>
        <v>Apr</v>
      </c>
      <c r="I54" t="s">
        <v>92</v>
      </c>
      <c r="J54" t="s">
        <v>41</v>
      </c>
      <c r="K54" t="s">
        <v>77</v>
      </c>
      <c r="L54" t="s">
        <v>77</v>
      </c>
      <c r="M54">
        <f>IFERROR( _xlfn.XLOOKUP(TRIM(tbl_HR_Data[[#This Row],[Age]]),#REF!,#REF!), VALUE(TRIM(tbl_HR_Data[[#This Row],[Age]])))</f>
        <v>40</v>
      </c>
      <c r="N54" t="str">
        <f>IFERROR(_xlfn.XLOOKUP(tbl_HR_Data[[#This Row],[Gender]], Mapping[Gender _Discarded], Mapping[Gender_Correction]), PROPER(TRIM(tbl_HR_Data[[#This Row],[Gender]])))</f>
        <v>Male</v>
      </c>
      <c r="O54" t="str">
        <f>TRIM(tbl_HR_Data[[#This Row],[Position]])</f>
        <v>Manager</v>
      </c>
      <c r="P54" t="str">
        <f>IFERROR(_xlfn.XLOOKUP(tbl_HR_Data[[#This Row],[Email]], Mapping[Email_Discarded], Mapping[Email_Correction]), LOWER(TRIM(tbl_HR_Data[[#This Row],[Email]])))</f>
        <v>not provided</v>
      </c>
      <c r="Q5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4" t="str" cm="1">
        <f t="array" ref="R54">_xlfn.REDUCE(Q54, {"-","/","_","\","(",")"}, _xlfn.LAMBDA(_xlpm.txt,_xlpm.itm, SUBSTITUTE(_xlpm.txt, _xlpm.itm, "")))</f>
        <v>Not Provided</v>
      </c>
      <c r="S54" s="3">
        <f>IFERROR(_xlfn.XLOOKUP(tbl_HR_Data[[#This Row],[Joining Date]], Mapping[Joining_Discarded], Mapping[Joining_Correction]), VALUE(tbl_HR_Data[[#This Row],[Joining Date]]))</f>
        <v>43195</v>
      </c>
      <c r="T54" t="str">
        <f>TEXT(tbl_HR_Data[[#This Row],[Joining Date]], "mmm")</f>
        <v>Apr</v>
      </c>
      <c r="U54" t="str">
        <f>TEXT(tbl_HR_Data[[#This Row],[Joining Date]], "ddd")</f>
        <v>Thu</v>
      </c>
    </row>
    <row r="55" spans="1:21" x14ac:dyDescent="0.35">
      <c r="A55" t="s">
        <v>106</v>
      </c>
      <c r="B55">
        <v>25</v>
      </c>
      <c r="C55">
        <v>0</v>
      </c>
      <c r="D55" t="s">
        <v>18</v>
      </c>
      <c r="E55" t="s">
        <v>19</v>
      </c>
      <c r="F55" t="s">
        <v>20</v>
      </c>
      <c r="G55" s="3">
        <v>43195</v>
      </c>
      <c r="H55" t="str">
        <f>TEXT(tbl_HR_Data[[#This Row],[Joining Date]], "mmm")</f>
        <v>Apr</v>
      </c>
      <c r="I55" t="s">
        <v>92</v>
      </c>
      <c r="J55" t="s">
        <v>41</v>
      </c>
      <c r="K55" t="s">
        <v>22</v>
      </c>
      <c r="L55" t="s">
        <v>89</v>
      </c>
      <c r="M55">
        <f>IFERROR( _xlfn.XLOOKUP(TRIM(tbl_HR_Data[[#This Row],[Age]]),#REF!,#REF!), VALUE(TRIM(tbl_HR_Data[[#This Row],[Age]])))</f>
        <v>25</v>
      </c>
      <c r="N55" t="str">
        <f>IFERROR(_xlfn.XLOOKUP(tbl_HR_Data[[#This Row],[Gender]], Mapping[Gender _Discarded], Mapping[Gender_Correction]), PROPER(TRIM(tbl_HR_Data[[#This Row],[Gender]])))</f>
        <v>Female</v>
      </c>
      <c r="O55" t="str">
        <f>TRIM(tbl_HR_Data[[#This Row],[Position]])</f>
        <v>Director</v>
      </c>
      <c r="P55" t="str">
        <f>IFERROR(_xlfn.XLOOKUP(tbl_HR_Data[[#This Row],[Email]], Mapping[Email_Discarded], Mapping[Email_Correction]), LOWER(TRIM(tbl_HR_Data[[#This Row],[Email]])))</f>
        <v>user@domain.com</v>
      </c>
      <c r="Q5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55" t="str" cm="1">
        <f t="array" ref="R55">_xlfn.REDUCE(Q55, {"-","/","_","\","(",")"}, _xlfn.LAMBDA(_xlpm.txt,_xlpm.itm, SUBSTITUTE(_xlpm.txt, _xlpm.itm, "")))</f>
        <v>5555555555</v>
      </c>
      <c r="S55" s="3">
        <f>IFERROR(_xlfn.XLOOKUP(tbl_HR_Data[[#This Row],[Joining Date]], Mapping[Joining_Discarded], Mapping[Joining_Correction]), VALUE(tbl_HR_Data[[#This Row],[Joining Date]]))</f>
        <v>43195</v>
      </c>
      <c r="T55" t="str">
        <f>TEXT(tbl_HR_Data[[#This Row],[Joining Date]], "mmm")</f>
        <v>Apr</v>
      </c>
      <c r="U55" t="str">
        <f>TEXT(tbl_HR_Data[[#This Row],[Joining Date]], "ddd")</f>
        <v>Thu</v>
      </c>
    </row>
    <row r="56" spans="1:21" x14ac:dyDescent="0.35">
      <c r="A56" t="s">
        <v>102</v>
      </c>
      <c r="B56">
        <v>25</v>
      </c>
      <c r="C56">
        <v>0</v>
      </c>
      <c r="D56" t="s">
        <v>36</v>
      </c>
      <c r="E56" t="s">
        <v>19</v>
      </c>
      <c r="F56" t="s">
        <v>20</v>
      </c>
      <c r="G56" s="3">
        <v>43195</v>
      </c>
      <c r="H56" t="str">
        <f>TEXT(tbl_HR_Data[[#This Row],[Joining Date]], "mmm")</f>
        <v>Apr</v>
      </c>
      <c r="I56" t="s">
        <v>92</v>
      </c>
      <c r="J56" t="s">
        <v>41</v>
      </c>
      <c r="K56" t="s">
        <v>32</v>
      </c>
      <c r="L56" t="s">
        <v>77</v>
      </c>
      <c r="M56">
        <f>IFERROR( _xlfn.XLOOKUP(TRIM(tbl_HR_Data[[#This Row],[Age]]),#REF!,#REF!), VALUE(TRIM(tbl_HR_Data[[#This Row],[Age]])))</f>
        <v>25</v>
      </c>
      <c r="N56" t="str">
        <f>IFERROR(_xlfn.XLOOKUP(tbl_HR_Data[[#This Row],[Gender]], Mapping[Gender _Discarded], Mapping[Gender_Correction]), PROPER(TRIM(tbl_HR_Data[[#This Row],[Gender]])))</f>
        <v>Other</v>
      </c>
      <c r="O56" t="str">
        <f>TRIM(tbl_HR_Data[[#This Row],[Position]])</f>
        <v>Director</v>
      </c>
      <c r="P56" t="str">
        <f>IFERROR(_xlfn.XLOOKUP(tbl_HR_Data[[#This Row],[Email]], Mapping[Email_Discarded], Mapping[Email_Correction]), LOWER(TRIM(tbl_HR_Data[[#This Row],[Email]])))</f>
        <v>name@company.org</v>
      </c>
      <c r="Q5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6" t="str" cm="1">
        <f t="array" ref="R56">_xlfn.REDUCE(Q56, {"-","/","_","\","(",")"}, _xlfn.LAMBDA(_xlpm.txt,_xlpm.itm, SUBSTITUTE(_xlpm.txt, _xlpm.itm, "")))</f>
        <v>Not Provided</v>
      </c>
      <c r="S56" s="3">
        <f>IFERROR(_xlfn.XLOOKUP(tbl_HR_Data[[#This Row],[Joining Date]], Mapping[Joining_Discarded], Mapping[Joining_Correction]), VALUE(tbl_HR_Data[[#This Row],[Joining Date]]))</f>
        <v>43195</v>
      </c>
      <c r="T56" t="str">
        <f>TEXT(tbl_HR_Data[[#This Row],[Joining Date]], "mmm")</f>
        <v>Apr</v>
      </c>
      <c r="U56" t="str">
        <f>TEXT(tbl_HR_Data[[#This Row],[Joining Date]], "ddd")</f>
        <v>Thu</v>
      </c>
    </row>
    <row r="57" spans="1:21" x14ac:dyDescent="0.35">
      <c r="A57" t="s">
        <v>106</v>
      </c>
      <c r="B57">
        <v>35</v>
      </c>
      <c r="C57">
        <v>0</v>
      </c>
      <c r="D57" t="s">
        <v>36</v>
      </c>
      <c r="E57" t="s">
        <v>37</v>
      </c>
      <c r="F57" t="s">
        <v>43</v>
      </c>
      <c r="G57" s="3">
        <v>43195</v>
      </c>
      <c r="H57" t="str">
        <f>TEXT(tbl_HR_Data[[#This Row],[Joining Date]], "mmm")</f>
        <v>Apr</v>
      </c>
      <c r="I57" t="s">
        <v>92</v>
      </c>
      <c r="J57" t="s">
        <v>27</v>
      </c>
      <c r="K57" t="s">
        <v>22</v>
      </c>
      <c r="L57" t="s">
        <v>87</v>
      </c>
      <c r="M57">
        <f>IFERROR( _xlfn.XLOOKUP(TRIM(tbl_HR_Data[[#This Row],[Age]]),#REF!,#REF!), VALUE(TRIM(tbl_HR_Data[[#This Row],[Age]])))</f>
        <v>35</v>
      </c>
      <c r="N57" t="str">
        <f>IFERROR(_xlfn.XLOOKUP(tbl_HR_Data[[#This Row],[Gender]], Mapping[Gender _Discarded], Mapping[Gender_Correction]), PROPER(TRIM(tbl_HR_Data[[#This Row],[Gender]])))</f>
        <v>Other</v>
      </c>
      <c r="O57" t="str">
        <f>TRIM(tbl_HR_Data[[#This Row],[Position]])</f>
        <v>Assistant</v>
      </c>
      <c r="P57" t="str">
        <f>IFERROR(_xlfn.XLOOKUP(tbl_HR_Data[[#This Row],[Email]], Mapping[Email_Discarded], Mapping[Email_Correction]), LOWER(TRIM(tbl_HR_Data[[#This Row],[Email]])))</f>
        <v>user@domain.com</v>
      </c>
      <c r="Q5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7" t="str" cm="1">
        <f t="array" ref="R57">_xlfn.REDUCE(Q57, {"-","/","_","\","(",")"}, _xlfn.LAMBDA(_xlpm.txt,_xlpm.itm, SUBSTITUTE(_xlpm.txt, _xlpm.itm, "")))</f>
        <v>1234567890</v>
      </c>
      <c r="S57" s="3">
        <f>IFERROR(_xlfn.XLOOKUP(tbl_HR_Data[[#This Row],[Joining Date]], Mapping[Joining_Discarded], Mapping[Joining_Correction]), VALUE(tbl_HR_Data[[#This Row],[Joining Date]]))</f>
        <v>43195</v>
      </c>
      <c r="T57" t="str">
        <f>TEXT(tbl_HR_Data[[#This Row],[Joining Date]], "mmm")</f>
        <v>Apr</v>
      </c>
      <c r="U57" t="str">
        <f>TEXT(tbl_HR_Data[[#This Row],[Joining Date]], "ddd")</f>
        <v>Thu</v>
      </c>
    </row>
    <row r="58" spans="1:21" x14ac:dyDescent="0.35">
      <c r="A58" t="s">
        <v>100</v>
      </c>
      <c r="B58">
        <v>35</v>
      </c>
      <c r="C58">
        <v>50000</v>
      </c>
      <c r="D58" t="s">
        <v>36</v>
      </c>
      <c r="E58" t="s">
        <v>12</v>
      </c>
      <c r="F58" t="s">
        <v>44</v>
      </c>
      <c r="G58" s="3">
        <v>43195</v>
      </c>
      <c r="H58" t="str">
        <f>TEXT(tbl_HR_Data[[#This Row],[Joining Date]], "mmm")</f>
        <v>Apr</v>
      </c>
      <c r="I58" t="s">
        <v>92</v>
      </c>
      <c r="J58" t="s">
        <v>14</v>
      </c>
      <c r="K58" t="s">
        <v>22</v>
      </c>
      <c r="L58" t="s">
        <v>87</v>
      </c>
      <c r="M58">
        <f>IFERROR( _xlfn.XLOOKUP(TRIM(tbl_HR_Data[[#This Row],[Age]]),#REF!,#REF!), VALUE(TRIM(tbl_HR_Data[[#This Row],[Age]])))</f>
        <v>35</v>
      </c>
      <c r="N58" t="str">
        <f>IFERROR(_xlfn.XLOOKUP(tbl_HR_Data[[#This Row],[Gender]], Mapping[Gender _Discarded], Mapping[Gender_Correction]), PROPER(TRIM(tbl_HR_Data[[#This Row],[Gender]])))</f>
        <v>Other</v>
      </c>
      <c r="O58" t="str">
        <f>TRIM(tbl_HR_Data[[#This Row],[Position]])</f>
        <v>Analyst</v>
      </c>
      <c r="P58" t="str">
        <f>IFERROR(_xlfn.XLOOKUP(tbl_HR_Data[[#This Row],[Email]], Mapping[Email_Discarded], Mapping[Email_Correction]), LOWER(TRIM(tbl_HR_Data[[#This Row],[Email]])))</f>
        <v>user@domain.com</v>
      </c>
      <c r="Q5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8" t="str" cm="1">
        <f t="array" ref="R58">_xlfn.REDUCE(Q58, {"-","/","_","\","(",")"}, _xlfn.LAMBDA(_xlpm.txt,_xlpm.itm, SUBSTITUTE(_xlpm.txt, _xlpm.itm, "")))</f>
        <v>1234567890</v>
      </c>
      <c r="S58" s="3">
        <f>IFERROR(_xlfn.XLOOKUP(tbl_HR_Data[[#This Row],[Joining Date]], Mapping[Joining_Discarded], Mapping[Joining_Correction]), VALUE(tbl_HR_Data[[#This Row],[Joining Date]]))</f>
        <v>43195</v>
      </c>
      <c r="T58" t="str">
        <f>TEXT(tbl_HR_Data[[#This Row],[Joining Date]], "mmm")</f>
        <v>Apr</v>
      </c>
      <c r="U58" t="str">
        <f>TEXT(tbl_HR_Data[[#This Row],[Joining Date]], "ddd")</f>
        <v>Thu</v>
      </c>
    </row>
    <row r="59" spans="1:21" x14ac:dyDescent="0.35">
      <c r="A59" t="s">
        <v>108</v>
      </c>
      <c r="B59">
        <v>35</v>
      </c>
      <c r="C59">
        <v>50000</v>
      </c>
      <c r="D59" t="s">
        <v>36</v>
      </c>
      <c r="E59" t="s">
        <v>30</v>
      </c>
      <c r="F59" t="s">
        <v>13</v>
      </c>
      <c r="G59" s="3">
        <v>43195</v>
      </c>
      <c r="H59" t="str">
        <f>TEXT(tbl_HR_Data[[#This Row],[Joining Date]], "mmm")</f>
        <v>Apr</v>
      </c>
      <c r="I59" t="s">
        <v>92</v>
      </c>
      <c r="J59" t="s">
        <v>14</v>
      </c>
      <c r="K59" t="s">
        <v>22</v>
      </c>
      <c r="L59" t="s">
        <v>77</v>
      </c>
      <c r="M59">
        <f>IFERROR( _xlfn.XLOOKUP(TRIM(tbl_HR_Data[[#This Row],[Age]]),#REF!,#REF!), VALUE(TRIM(tbl_HR_Data[[#This Row],[Age]])))</f>
        <v>35</v>
      </c>
      <c r="N59" t="str">
        <f>IFERROR(_xlfn.XLOOKUP(tbl_HR_Data[[#This Row],[Gender]], Mapping[Gender _Discarded], Mapping[Gender_Correction]), PROPER(TRIM(tbl_HR_Data[[#This Row],[Gender]])))</f>
        <v>Other</v>
      </c>
      <c r="O59" t="str">
        <f>TRIM(tbl_HR_Data[[#This Row],[Position]])</f>
        <v>Manager</v>
      </c>
      <c r="P59" t="str">
        <f>IFERROR(_xlfn.XLOOKUP(tbl_HR_Data[[#This Row],[Email]], Mapping[Email_Discarded], Mapping[Email_Correction]), LOWER(TRIM(tbl_HR_Data[[#This Row],[Email]])))</f>
        <v>user@domain.com</v>
      </c>
      <c r="Q5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9" t="str" cm="1">
        <f t="array" ref="R59">_xlfn.REDUCE(Q59, {"-","/","_","\","(",")"}, _xlfn.LAMBDA(_xlpm.txt,_xlpm.itm, SUBSTITUTE(_xlpm.txt, _xlpm.itm, "")))</f>
        <v>Not Provided</v>
      </c>
      <c r="S59" s="3">
        <f>IFERROR(_xlfn.XLOOKUP(tbl_HR_Data[[#This Row],[Joining Date]], Mapping[Joining_Discarded], Mapping[Joining_Correction]), VALUE(tbl_HR_Data[[#This Row],[Joining Date]]))</f>
        <v>43195</v>
      </c>
      <c r="T59" t="str">
        <f>TEXT(tbl_HR_Data[[#This Row],[Joining Date]], "mmm")</f>
        <v>Apr</v>
      </c>
      <c r="U59" t="str">
        <f>TEXT(tbl_HR_Data[[#This Row],[Joining Date]], "ddd")</f>
        <v>Thu</v>
      </c>
    </row>
    <row r="60" spans="1:21" x14ac:dyDescent="0.35">
      <c r="A60" t="s">
        <v>108</v>
      </c>
      <c r="B60">
        <v>0</v>
      </c>
      <c r="C60">
        <v>65000</v>
      </c>
      <c r="D60" t="s">
        <v>11</v>
      </c>
      <c r="E60" t="s">
        <v>26</v>
      </c>
      <c r="F60" t="s">
        <v>13</v>
      </c>
      <c r="G60" s="3">
        <v>43195</v>
      </c>
      <c r="H60" t="str">
        <f>TEXT(tbl_HR_Data[[#This Row],[Joining Date]], "mmm")</f>
        <v>Apr</v>
      </c>
      <c r="I60" t="s">
        <v>92</v>
      </c>
      <c r="J60" t="s">
        <v>21</v>
      </c>
      <c r="K60" t="s">
        <v>22</v>
      </c>
      <c r="L60" t="s">
        <v>87</v>
      </c>
      <c r="M60">
        <f>IFERROR( _xlfn.XLOOKUP(TRIM(tbl_HR_Data[[#This Row],[Age]]),#REF!,#REF!), VALUE(TRIM(tbl_HR_Data[[#This Row],[Age]])))</f>
        <v>0</v>
      </c>
      <c r="N60" t="str">
        <f>IFERROR(_xlfn.XLOOKUP(tbl_HR_Data[[#This Row],[Gender]], Mapping[Gender _Discarded], Mapping[Gender_Correction]), PROPER(TRIM(tbl_HR_Data[[#This Row],[Gender]])))</f>
        <v>Male</v>
      </c>
      <c r="O60" t="str">
        <f>TRIM(tbl_HR_Data[[#This Row],[Position]])</f>
        <v>Manager</v>
      </c>
      <c r="P60" t="str">
        <f>IFERROR(_xlfn.XLOOKUP(tbl_HR_Data[[#This Row],[Email]], Mapping[Email_Discarded], Mapping[Email_Correction]), LOWER(TRIM(tbl_HR_Data[[#This Row],[Email]])))</f>
        <v>user@domain.com</v>
      </c>
      <c r="Q6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60" t="str" cm="1">
        <f t="array" ref="R60">_xlfn.REDUCE(Q60, {"-","/","_","\","(",")"}, _xlfn.LAMBDA(_xlpm.txt,_xlpm.itm, SUBSTITUTE(_xlpm.txt, _xlpm.itm, "")))</f>
        <v>1234567890</v>
      </c>
      <c r="S60" s="3">
        <f>IFERROR(_xlfn.XLOOKUP(tbl_HR_Data[[#This Row],[Joining Date]], Mapping[Joining_Discarded], Mapping[Joining_Correction]), VALUE(tbl_HR_Data[[#This Row],[Joining Date]]))</f>
        <v>43195</v>
      </c>
      <c r="T60" t="str">
        <f>TEXT(tbl_HR_Data[[#This Row],[Joining Date]], "mmm")</f>
        <v>Apr</v>
      </c>
      <c r="U60" t="str">
        <f>TEXT(tbl_HR_Data[[#This Row],[Joining Date]], "ddd")</f>
        <v>Thu</v>
      </c>
    </row>
    <row r="61" spans="1:21" x14ac:dyDescent="0.35">
      <c r="A61" t="s">
        <v>101</v>
      </c>
      <c r="B61">
        <v>25</v>
      </c>
      <c r="C61">
        <v>70000</v>
      </c>
      <c r="D61" t="s">
        <v>18</v>
      </c>
      <c r="E61" t="s">
        <v>12</v>
      </c>
      <c r="F61" t="s">
        <v>20</v>
      </c>
      <c r="G61" s="3">
        <v>43195</v>
      </c>
      <c r="H61" t="str">
        <f>TEXT(tbl_HR_Data[[#This Row],[Joining Date]], "mmm")</f>
        <v>Apr</v>
      </c>
      <c r="I61" t="s">
        <v>92</v>
      </c>
      <c r="J61" t="s">
        <v>27</v>
      </c>
      <c r="K61" t="s">
        <v>77</v>
      </c>
      <c r="L61" t="s">
        <v>89</v>
      </c>
      <c r="M61">
        <f>IFERROR( _xlfn.XLOOKUP(TRIM(tbl_HR_Data[[#This Row],[Age]]),#REF!,#REF!), VALUE(TRIM(tbl_HR_Data[[#This Row],[Age]])))</f>
        <v>25</v>
      </c>
      <c r="N61" t="str">
        <f>IFERROR(_xlfn.XLOOKUP(tbl_HR_Data[[#This Row],[Gender]], Mapping[Gender _Discarded], Mapping[Gender_Correction]), PROPER(TRIM(tbl_HR_Data[[#This Row],[Gender]])))</f>
        <v>Female</v>
      </c>
      <c r="O61" t="str">
        <f>TRIM(tbl_HR_Data[[#This Row],[Position]])</f>
        <v>Director</v>
      </c>
      <c r="P61" t="str">
        <f>IFERROR(_xlfn.XLOOKUP(tbl_HR_Data[[#This Row],[Email]], Mapping[Email_Discarded], Mapping[Email_Correction]), LOWER(TRIM(tbl_HR_Data[[#This Row],[Email]])))</f>
        <v>not provided</v>
      </c>
      <c r="Q6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61" t="str" cm="1">
        <f t="array" ref="R61">_xlfn.REDUCE(Q61, {"-","/","_","\","(",")"}, _xlfn.LAMBDA(_xlpm.txt,_xlpm.itm, SUBSTITUTE(_xlpm.txt, _xlpm.itm, "")))</f>
        <v>5555555555</v>
      </c>
      <c r="S61" s="3">
        <f>IFERROR(_xlfn.XLOOKUP(tbl_HR_Data[[#This Row],[Joining Date]], Mapping[Joining_Discarded], Mapping[Joining_Correction]), VALUE(tbl_HR_Data[[#This Row],[Joining Date]]))</f>
        <v>43195</v>
      </c>
      <c r="T61" t="str">
        <f>TEXT(tbl_HR_Data[[#This Row],[Joining Date]], "mmm")</f>
        <v>Apr</v>
      </c>
      <c r="U61" t="str">
        <f>TEXT(tbl_HR_Data[[#This Row],[Joining Date]], "ddd")</f>
        <v>Thu</v>
      </c>
    </row>
    <row r="62" spans="1:21" x14ac:dyDescent="0.35">
      <c r="A62" t="s">
        <v>104</v>
      </c>
      <c r="B62">
        <v>25</v>
      </c>
      <c r="C62">
        <v>55000</v>
      </c>
      <c r="D62" t="s">
        <v>36</v>
      </c>
      <c r="E62" t="s">
        <v>30</v>
      </c>
      <c r="F62" t="s">
        <v>13</v>
      </c>
      <c r="G62" s="3">
        <v>43195</v>
      </c>
      <c r="H62" t="str">
        <f>TEXT(tbl_HR_Data[[#This Row],[Joining Date]], "mmm")</f>
        <v>Apr</v>
      </c>
      <c r="I62" t="s">
        <v>92</v>
      </c>
      <c r="J62" t="s">
        <v>31</v>
      </c>
      <c r="K62" t="s">
        <v>15</v>
      </c>
      <c r="L62" t="s">
        <v>87</v>
      </c>
      <c r="M62">
        <f>IFERROR( _xlfn.XLOOKUP(TRIM(tbl_HR_Data[[#This Row],[Age]]),#REF!,#REF!), VALUE(TRIM(tbl_HR_Data[[#This Row],[Age]])))</f>
        <v>25</v>
      </c>
      <c r="N62" t="str">
        <f>IFERROR(_xlfn.XLOOKUP(tbl_HR_Data[[#This Row],[Gender]], Mapping[Gender _Discarded], Mapping[Gender_Correction]), PROPER(TRIM(tbl_HR_Data[[#This Row],[Gender]])))</f>
        <v>Other</v>
      </c>
      <c r="O62" t="str">
        <f>TRIM(tbl_HR_Data[[#This Row],[Position]])</f>
        <v>Manager</v>
      </c>
      <c r="P62" t="str">
        <f>IFERROR(_xlfn.XLOOKUP(tbl_HR_Data[[#This Row],[Email]], Mapping[Email_Discarded], Mapping[Email_Correction]), LOWER(TRIM(tbl_HR_Data[[#This Row],[Email]])))</f>
        <v>email@example.com</v>
      </c>
      <c r="Q6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62" t="str" cm="1">
        <f t="array" ref="R62">_xlfn.REDUCE(Q62, {"-","/","_","\","(",")"}, _xlfn.LAMBDA(_xlpm.txt,_xlpm.itm, SUBSTITUTE(_xlpm.txt, _xlpm.itm, "")))</f>
        <v>1234567890</v>
      </c>
      <c r="S62" s="3">
        <f>IFERROR(_xlfn.XLOOKUP(tbl_HR_Data[[#This Row],[Joining Date]], Mapping[Joining_Discarded], Mapping[Joining_Correction]), VALUE(tbl_HR_Data[[#This Row],[Joining Date]]))</f>
        <v>43195</v>
      </c>
      <c r="T62" t="str">
        <f>TEXT(tbl_HR_Data[[#This Row],[Joining Date]], "mmm")</f>
        <v>Apr</v>
      </c>
      <c r="U62" t="str">
        <f>TEXT(tbl_HR_Data[[#This Row],[Joining Date]], "ddd")</f>
        <v>Thu</v>
      </c>
    </row>
    <row r="63" spans="1:21" x14ac:dyDescent="0.35">
      <c r="A63" t="s">
        <v>99</v>
      </c>
      <c r="B63">
        <v>25</v>
      </c>
      <c r="C63">
        <v>0</v>
      </c>
      <c r="D63" t="s">
        <v>36</v>
      </c>
      <c r="E63" t="s">
        <v>30</v>
      </c>
      <c r="F63" t="s">
        <v>39</v>
      </c>
      <c r="G63" s="3">
        <v>43195</v>
      </c>
      <c r="H63" t="str">
        <f>TEXT(tbl_HR_Data[[#This Row],[Joining Date]], "mmm")</f>
        <v>Apr</v>
      </c>
      <c r="I63" t="s">
        <v>92</v>
      </c>
      <c r="J63" t="s">
        <v>27</v>
      </c>
      <c r="K63" t="s">
        <v>32</v>
      </c>
      <c r="L63" t="s">
        <v>89</v>
      </c>
      <c r="M63">
        <f>IFERROR( _xlfn.XLOOKUP(TRIM(tbl_HR_Data[[#This Row],[Age]]),#REF!,#REF!), VALUE(TRIM(tbl_HR_Data[[#This Row],[Age]])))</f>
        <v>25</v>
      </c>
      <c r="N63" t="str">
        <f>IFERROR(_xlfn.XLOOKUP(tbl_HR_Data[[#This Row],[Gender]], Mapping[Gender _Discarded], Mapping[Gender_Correction]), PROPER(TRIM(tbl_HR_Data[[#This Row],[Gender]])))</f>
        <v>Other</v>
      </c>
      <c r="O63" t="str">
        <f>TRIM(tbl_HR_Data[[#This Row],[Position]])</f>
        <v>Clerk</v>
      </c>
      <c r="P63" t="str">
        <f>IFERROR(_xlfn.XLOOKUP(tbl_HR_Data[[#This Row],[Email]], Mapping[Email_Discarded], Mapping[Email_Correction]), LOWER(TRIM(tbl_HR_Data[[#This Row],[Email]])))</f>
        <v>name@company.org</v>
      </c>
      <c r="Q6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63" t="str" cm="1">
        <f t="array" ref="R63">_xlfn.REDUCE(Q63, {"-","/","_","\","(",")"}, _xlfn.LAMBDA(_xlpm.txt,_xlpm.itm, SUBSTITUTE(_xlpm.txt, _xlpm.itm, "")))</f>
        <v>5555555555</v>
      </c>
      <c r="S63" s="3">
        <f>IFERROR(_xlfn.XLOOKUP(tbl_HR_Data[[#This Row],[Joining Date]], Mapping[Joining_Discarded], Mapping[Joining_Correction]), VALUE(tbl_HR_Data[[#This Row],[Joining Date]]))</f>
        <v>43195</v>
      </c>
      <c r="T63" t="str">
        <f>TEXT(tbl_HR_Data[[#This Row],[Joining Date]], "mmm")</f>
        <v>Apr</v>
      </c>
      <c r="U63" t="str">
        <f>TEXT(tbl_HR_Data[[#This Row],[Joining Date]], "ddd")</f>
        <v>Thu</v>
      </c>
    </row>
    <row r="64" spans="1:21" x14ac:dyDescent="0.35">
      <c r="A64" t="s">
        <v>103</v>
      </c>
      <c r="B64">
        <v>40</v>
      </c>
      <c r="C64">
        <v>55000</v>
      </c>
      <c r="D64" t="s">
        <v>11</v>
      </c>
      <c r="E64" t="s">
        <v>30</v>
      </c>
      <c r="F64" t="s">
        <v>43</v>
      </c>
      <c r="G64" s="3">
        <v>43195</v>
      </c>
      <c r="H64" t="str">
        <f>TEXT(tbl_HR_Data[[#This Row],[Joining Date]], "mmm")</f>
        <v>Apr</v>
      </c>
      <c r="I64" t="s">
        <v>92</v>
      </c>
      <c r="J64" t="s">
        <v>31</v>
      </c>
      <c r="K64" t="s">
        <v>32</v>
      </c>
      <c r="L64" t="s">
        <v>77</v>
      </c>
      <c r="M64">
        <f>IFERROR( _xlfn.XLOOKUP(TRIM(tbl_HR_Data[[#This Row],[Age]]),#REF!,#REF!), VALUE(TRIM(tbl_HR_Data[[#This Row],[Age]])))</f>
        <v>40</v>
      </c>
      <c r="N64" t="str">
        <f>IFERROR(_xlfn.XLOOKUP(tbl_HR_Data[[#This Row],[Gender]], Mapping[Gender _Discarded], Mapping[Gender_Correction]), PROPER(TRIM(tbl_HR_Data[[#This Row],[Gender]])))</f>
        <v>Male</v>
      </c>
      <c r="O64" t="str">
        <f>TRIM(tbl_HR_Data[[#This Row],[Position]])</f>
        <v>Assistant</v>
      </c>
      <c r="P64" t="str">
        <f>IFERROR(_xlfn.XLOOKUP(tbl_HR_Data[[#This Row],[Email]], Mapping[Email_Discarded], Mapping[Email_Correction]), LOWER(TRIM(tbl_HR_Data[[#This Row],[Email]])))</f>
        <v>name@company.org</v>
      </c>
      <c r="Q6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4" t="str" cm="1">
        <f t="array" ref="R64">_xlfn.REDUCE(Q64, {"-","/","_","\","(",")"}, _xlfn.LAMBDA(_xlpm.txt,_xlpm.itm, SUBSTITUTE(_xlpm.txt, _xlpm.itm, "")))</f>
        <v>Not Provided</v>
      </c>
      <c r="S64" s="3">
        <f>IFERROR(_xlfn.XLOOKUP(tbl_HR_Data[[#This Row],[Joining Date]], Mapping[Joining_Discarded], Mapping[Joining_Correction]), VALUE(tbl_HR_Data[[#This Row],[Joining Date]]))</f>
        <v>43195</v>
      </c>
      <c r="T64" t="str">
        <f>TEXT(tbl_HR_Data[[#This Row],[Joining Date]], "mmm")</f>
        <v>Apr</v>
      </c>
      <c r="U64" t="str">
        <f>TEXT(tbl_HR_Data[[#This Row],[Joining Date]], "ddd")</f>
        <v>Thu</v>
      </c>
    </row>
    <row r="65" spans="1:21" x14ac:dyDescent="0.35">
      <c r="A65" t="s">
        <v>99</v>
      </c>
      <c r="B65">
        <v>50</v>
      </c>
      <c r="C65">
        <v>0</v>
      </c>
      <c r="D65" t="s">
        <v>36</v>
      </c>
      <c r="E65" t="s">
        <v>30</v>
      </c>
      <c r="F65" t="s">
        <v>43</v>
      </c>
      <c r="G65" s="3">
        <v>43195</v>
      </c>
      <c r="H65" t="str">
        <f>TEXT(tbl_HR_Data[[#This Row],[Joining Date]], "mmm")</f>
        <v>Apr</v>
      </c>
      <c r="I65" t="s">
        <v>92</v>
      </c>
      <c r="J65" t="s">
        <v>41</v>
      </c>
      <c r="K65" t="s">
        <v>77</v>
      </c>
      <c r="L65" t="s">
        <v>88</v>
      </c>
      <c r="M65">
        <f>IFERROR( _xlfn.XLOOKUP(TRIM(tbl_HR_Data[[#This Row],[Age]]),#REF!,#REF!), VALUE(TRIM(tbl_HR_Data[[#This Row],[Age]])))</f>
        <v>50</v>
      </c>
      <c r="N65" t="str">
        <f>IFERROR(_xlfn.XLOOKUP(tbl_HR_Data[[#This Row],[Gender]], Mapping[Gender _Discarded], Mapping[Gender_Correction]), PROPER(TRIM(tbl_HR_Data[[#This Row],[Gender]])))</f>
        <v>Other</v>
      </c>
      <c r="O65" t="str">
        <f>TRIM(tbl_HR_Data[[#This Row],[Position]])</f>
        <v>Assistant</v>
      </c>
      <c r="P65" t="str">
        <f>IFERROR(_xlfn.XLOOKUP(tbl_HR_Data[[#This Row],[Email]], Mapping[Email_Discarded], Mapping[Email_Correction]), LOWER(TRIM(tbl_HR_Data[[#This Row],[Email]])))</f>
        <v>not provided</v>
      </c>
      <c r="Q6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65" t="str" cm="1">
        <f t="array" ref="R65">_xlfn.REDUCE(Q65, {"-","/","_","\","(",")"}, _xlfn.LAMBDA(_xlpm.txt,_xlpm.itm, SUBSTITUTE(_xlpm.txt, _xlpm.itm, "")))</f>
        <v>0987654321</v>
      </c>
      <c r="S65" s="3">
        <f>IFERROR(_xlfn.XLOOKUP(tbl_HR_Data[[#This Row],[Joining Date]], Mapping[Joining_Discarded], Mapping[Joining_Correction]), VALUE(tbl_HR_Data[[#This Row],[Joining Date]]))</f>
        <v>43195</v>
      </c>
      <c r="T65" t="str">
        <f>TEXT(tbl_HR_Data[[#This Row],[Joining Date]], "mmm")</f>
        <v>Apr</v>
      </c>
      <c r="U65" t="str">
        <f>TEXT(tbl_HR_Data[[#This Row],[Joining Date]], "ddd")</f>
        <v>Thu</v>
      </c>
    </row>
    <row r="66" spans="1:21" x14ac:dyDescent="0.35">
      <c r="A66" t="s">
        <v>105</v>
      </c>
      <c r="B66">
        <v>30</v>
      </c>
      <c r="C66">
        <v>70000</v>
      </c>
      <c r="D66" t="s">
        <v>18</v>
      </c>
      <c r="E66" t="s">
        <v>37</v>
      </c>
      <c r="F66" t="s">
        <v>44</v>
      </c>
      <c r="G66" s="3">
        <v>43195</v>
      </c>
      <c r="H66" t="str">
        <f>TEXT(tbl_HR_Data[[#This Row],[Joining Date]], "mmm")</f>
        <v>Apr</v>
      </c>
      <c r="I66" t="s">
        <v>92</v>
      </c>
      <c r="J66" t="s">
        <v>14</v>
      </c>
      <c r="K66" t="s">
        <v>77</v>
      </c>
      <c r="L66" t="s">
        <v>87</v>
      </c>
      <c r="M66">
        <f>IFERROR( _xlfn.XLOOKUP(TRIM(tbl_HR_Data[[#This Row],[Age]]),#REF!,#REF!), VALUE(TRIM(tbl_HR_Data[[#This Row],[Age]])))</f>
        <v>30</v>
      </c>
      <c r="N66" t="str">
        <f>IFERROR(_xlfn.XLOOKUP(tbl_HR_Data[[#This Row],[Gender]], Mapping[Gender _Discarded], Mapping[Gender_Correction]), PROPER(TRIM(tbl_HR_Data[[#This Row],[Gender]])))</f>
        <v>Female</v>
      </c>
      <c r="O66" t="str">
        <f>TRIM(tbl_HR_Data[[#This Row],[Position]])</f>
        <v>Analyst</v>
      </c>
      <c r="P66" t="str">
        <f>IFERROR(_xlfn.XLOOKUP(tbl_HR_Data[[#This Row],[Email]], Mapping[Email_Discarded], Mapping[Email_Correction]), LOWER(TRIM(tbl_HR_Data[[#This Row],[Email]])))</f>
        <v>not provided</v>
      </c>
      <c r="Q6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66" t="str" cm="1">
        <f t="array" ref="R66">_xlfn.REDUCE(Q66, {"-","/","_","\","(",")"}, _xlfn.LAMBDA(_xlpm.txt,_xlpm.itm, SUBSTITUTE(_xlpm.txt, _xlpm.itm, "")))</f>
        <v>1234567890</v>
      </c>
      <c r="S66" s="3">
        <f>IFERROR(_xlfn.XLOOKUP(tbl_HR_Data[[#This Row],[Joining Date]], Mapping[Joining_Discarded], Mapping[Joining_Correction]), VALUE(tbl_HR_Data[[#This Row],[Joining Date]]))</f>
        <v>43195</v>
      </c>
      <c r="T66" t="str">
        <f>TEXT(tbl_HR_Data[[#This Row],[Joining Date]], "mmm")</f>
        <v>Apr</v>
      </c>
      <c r="U66" t="str">
        <f>TEXT(tbl_HR_Data[[#This Row],[Joining Date]], "ddd")</f>
        <v>Thu</v>
      </c>
    </row>
    <row r="67" spans="1:21" x14ac:dyDescent="0.35">
      <c r="A67" t="s">
        <v>106</v>
      </c>
      <c r="B67">
        <v>0</v>
      </c>
      <c r="C67">
        <v>60000</v>
      </c>
      <c r="D67" t="s">
        <v>18</v>
      </c>
      <c r="E67" t="s">
        <v>12</v>
      </c>
      <c r="F67" t="s">
        <v>44</v>
      </c>
      <c r="G67" s="3">
        <v>43195</v>
      </c>
      <c r="H67" t="str">
        <f>TEXT(tbl_HR_Data[[#This Row],[Joining Date]], "mmm")</f>
        <v>Apr</v>
      </c>
      <c r="I67" t="s">
        <v>92</v>
      </c>
      <c r="J67" t="s">
        <v>27</v>
      </c>
      <c r="K67" t="s">
        <v>77</v>
      </c>
      <c r="L67" t="s">
        <v>88</v>
      </c>
      <c r="M67">
        <f>IFERROR( _xlfn.XLOOKUP(TRIM(tbl_HR_Data[[#This Row],[Age]]),#REF!,#REF!), VALUE(TRIM(tbl_HR_Data[[#This Row],[Age]])))</f>
        <v>0</v>
      </c>
      <c r="N67" t="str">
        <f>IFERROR(_xlfn.XLOOKUP(tbl_HR_Data[[#This Row],[Gender]], Mapping[Gender _Discarded], Mapping[Gender_Correction]), PROPER(TRIM(tbl_HR_Data[[#This Row],[Gender]])))</f>
        <v>Female</v>
      </c>
      <c r="O67" t="str">
        <f>TRIM(tbl_HR_Data[[#This Row],[Position]])</f>
        <v>Analyst</v>
      </c>
      <c r="P67" t="str">
        <f>IFERROR(_xlfn.XLOOKUP(tbl_HR_Data[[#This Row],[Email]], Mapping[Email_Discarded], Mapping[Email_Correction]), LOWER(TRIM(tbl_HR_Data[[#This Row],[Email]])))</f>
        <v>not provided</v>
      </c>
      <c r="Q6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67" t="str" cm="1">
        <f t="array" ref="R67">_xlfn.REDUCE(Q67, {"-","/","_","\","(",")"}, _xlfn.LAMBDA(_xlpm.txt,_xlpm.itm, SUBSTITUTE(_xlpm.txt, _xlpm.itm, "")))</f>
        <v>0987654321</v>
      </c>
      <c r="S67" s="3">
        <f>IFERROR(_xlfn.XLOOKUP(tbl_HR_Data[[#This Row],[Joining Date]], Mapping[Joining_Discarded], Mapping[Joining_Correction]), VALUE(tbl_HR_Data[[#This Row],[Joining Date]]))</f>
        <v>43195</v>
      </c>
      <c r="T67" t="str">
        <f>TEXT(tbl_HR_Data[[#This Row],[Joining Date]], "mmm")</f>
        <v>Apr</v>
      </c>
      <c r="U67" t="str">
        <f>TEXT(tbl_HR_Data[[#This Row],[Joining Date]], "ddd")</f>
        <v>Thu</v>
      </c>
    </row>
    <row r="68" spans="1:21" x14ac:dyDescent="0.35">
      <c r="A68" t="s">
        <v>102</v>
      </c>
      <c r="B68">
        <v>35</v>
      </c>
      <c r="C68">
        <v>50000</v>
      </c>
      <c r="D68" t="s">
        <v>36</v>
      </c>
      <c r="E68" t="s">
        <v>19</v>
      </c>
      <c r="F68" t="s">
        <v>44</v>
      </c>
      <c r="G68" s="3">
        <v>43195</v>
      </c>
      <c r="H68" t="str">
        <f>TEXT(tbl_HR_Data[[#This Row],[Joining Date]], "mmm")</f>
        <v>Apr</v>
      </c>
      <c r="I68" t="s">
        <v>92</v>
      </c>
      <c r="J68" t="s">
        <v>41</v>
      </c>
      <c r="K68" t="s">
        <v>77</v>
      </c>
      <c r="L68" t="s">
        <v>87</v>
      </c>
      <c r="M68">
        <f>IFERROR( _xlfn.XLOOKUP(TRIM(tbl_HR_Data[[#This Row],[Age]]),#REF!,#REF!), VALUE(TRIM(tbl_HR_Data[[#This Row],[Age]])))</f>
        <v>35</v>
      </c>
      <c r="N68" t="str">
        <f>IFERROR(_xlfn.XLOOKUP(tbl_HR_Data[[#This Row],[Gender]], Mapping[Gender _Discarded], Mapping[Gender_Correction]), PROPER(TRIM(tbl_HR_Data[[#This Row],[Gender]])))</f>
        <v>Other</v>
      </c>
      <c r="O68" t="str">
        <f>TRIM(tbl_HR_Data[[#This Row],[Position]])</f>
        <v>Analyst</v>
      </c>
      <c r="P68" t="str">
        <f>IFERROR(_xlfn.XLOOKUP(tbl_HR_Data[[#This Row],[Email]], Mapping[Email_Discarded], Mapping[Email_Correction]), LOWER(TRIM(tbl_HR_Data[[#This Row],[Email]])))</f>
        <v>not provided</v>
      </c>
      <c r="Q6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68" t="str" cm="1">
        <f t="array" ref="R68">_xlfn.REDUCE(Q68, {"-","/","_","\","(",")"}, _xlfn.LAMBDA(_xlpm.txt,_xlpm.itm, SUBSTITUTE(_xlpm.txt, _xlpm.itm, "")))</f>
        <v>1234567890</v>
      </c>
      <c r="S68" s="3">
        <f>IFERROR(_xlfn.XLOOKUP(tbl_HR_Data[[#This Row],[Joining Date]], Mapping[Joining_Discarded], Mapping[Joining_Correction]), VALUE(tbl_HR_Data[[#This Row],[Joining Date]]))</f>
        <v>43195</v>
      </c>
      <c r="T68" t="str">
        <f>TEXT(tbl_HR_Data[[#This Row],[Joining Date]], "mmm")</f>
        <v>Apr</v>
      </c>
      <c r="U68" t="str">
        <f>TEXT(tbl_HR_Data[[#This Row],[Joining Date]], "ddd")</f>
        <v>Thu</v>
      </c>
    </row>
    <row r="69" spans="1:21" x14ac:dyDescent="0.35">
      <c r="A69" t="s">
        <v>103</v>
      </c>
      <c r="B69">
        <v>0</v>
      </c>
      <c r="C69">
        <v>55000</v>
      </c>
      <c r="D69" t="s">
        <v>11</v>
      </c>
      <c r="E69" t="s">
        <v>37</v>
      </c>
      <c r="F69" t="s">
        <v>20</v>
      </c>
      <c r="G69" s="3">
        <v>43195</v>
      </c>
      <c r="H69" t="str">
        <f>TEXT(tbl_HR_Data[[#This Row],[Joining Date]], "mmm")</f>
        <v>Apr</v>
      </c>
      <c r="I69" t="s">
        <v>92</v>
      </c>
      <c r="J69" t="s">
        <v>41</v>
      </c>
      <c r="K69" t="s">
        <v>15</v>
      </c>
      <c r="L69" t="s">
        <v>87</v>
      </c>
      <c r="M69">
        <f>IFERROR( _xlfn.XLOOKUP(TRIM(tbl_HR_Data[[#This Row],[Age]]),#REF!,#REF!), VALUE(TRIM(tbl_HR_Data[[#This Row],[Age]])))</f>
        <v>0</v>
      </c>
      <c r="N69" t="str">
        <f>IFERROR(_xlfn.XLOOKUP(tbl_HR_Data[[#This Row],[Gender]], Mapping[Gender _Discarded], Mapping[Gender_Correction]), PROPER(TRIM(tbl_HR_Data[[#This Row],[Gender]])))</f>
        <v>Male</v>
      </c>
      <c r="O69" t="str">
        <f>TRIM(tbl_HR_Data[[#This Row],[Position]])</f>
        <v>Director</v>
      </c>
      <c r="P69" t="str">
        <f>IFERROR(_xlfn.XLOOKUP(tbl_HR_Data[[#This Row],[Email]], Mapping[Email_Discarded], Mapping[Email_Correction]), LOWER(TRIM(tbl_HR_Data[[#This Row],[Email]])))</f>
        <v>email@example.com</v>
      </c>
      <c r="Q6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69" t="str" cm="1">
        <f t="array" ref="R69">_xlfn.REDUCE(Q69, {"-","/","_","\","(",")"}, _xlfn.LAMBDA(_xlpm.txt,_xlpm.itm, SUBSTITUTE(_xlpm.txt, _xlpm.itm, "")))</f>
        <v>1234567890</v>
      </c>
      <c r="S69" s="3">
        <f>IFERROR(_xlfn.XLOOKUP(tbl_HR_Data[[#This Row],[Joining Date]], Mapping[Joining_Discarded], Mapping[Joining_Correction]), VALUE(tbl_HR_Data[[#This Row],[Joining Date]]))</f>
        <v>43195</v>
      </c>
      <c r="T69" t="str">
        <f>TEXT(tbl_HR_Data[[#This Row],[Joining Date]], "mmm")</f>
        <v>Apr</v>
      </c>
      <c r="U69" t="str">
        <f>TEXT(tbl_HR_Data[[#This Row],[Joining Date]], "ddd")</f>
        <v>Thu</v>
      </c>
    </row>
    <row r="70" spans="1:21" x14ac:dyDescent="0.35">
      <c r="A70" t="s">
        <v>103</v>
      </c>
      <c r="B70">
        <v>35</v>
      </c>
      <c r="C70">
        <v>65000</v>
      </c>
      <c r="D70" t="s">
        <v>36</v>
      </c>
      <c r="E70" t="s">
        <v>19</v>
      </c>
      <c r="F70" t="s">
        <v>39</v>
      </c>
      <c r="G70" s="3">
        <v>43195</v>
      </c>
      <c r="H70" t="str">
        <f>TEXT(tbl_HR_Data[[#This Row],[Joining Date]], "mmm")</f>
        <v>Apr</v>
      </c>
      <c r="I70" t="s">
        <v>92</v>
      </c>
      <c r="J70" t="s">
        <v>14</v>
      </c>
      <c r="K70" t="s">
        <v>77</v>
      </c>
      <c r="L70" t="s">
        <v>87</v>
      </c>
      <c r="M70">
        <f>IFERROR( _xlfn.XLOOKUP(TRIM(tbl_HR_Data[[#This Row],[Age]]),#REF!,#REF!), VALUE(TRIM(tbl_HR_Data[[#This Row],[Age]])))</f>
        <v>35</v>
      </c>
      <c r="N70" t="str">
        <f>IFERROR(_xlfn.XLOOKUP(tbl_HR_Data[[#This Row],[Gender]], Mapping[Gender _Discarded], Mapping[Gender_Correction]), PROPER(TRIM(tbl_HR_Data[[#This Row],[Gender]])))</f>
        <v>Other</v>
      </c>
      <c r="O70" t="str">
        <f>TRIM(tbl_HR_Data[[#This Row],[Position]])</f>
        <v>Clerk</v>
      </c>
      <c r="P70" t="str">
        <f>IFERROR(_xlfn.XLOOKUP(tbl_HR_Data[[#This Row],[Email]], Mapping[Email_Discarded], Mapping[Email_Correction]), LOWER(TRIM(tbl_HR_Data[[#This Row],[Email]])))</f>
        <v>not provided</v>
      </c>
      <c r="Q7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70" t="str" cm="1">
        <f t="array" ref="R70">_xlfn.REDUCE(Q70, {"-","/","_","\","(",")"}, _xlfn.LAMBDA(_xlpm.txt,_xlpm.itm, SUBSTITUTE(_xlpm.txt, _xlpm.itm, "")))</f>
        <v>1234567890</v>
      </c>
      <c r="S70" s="3">
        <f>IFERROR(_xlfn.XLOOKUP(tbl_HR_Data[[#This Row],[Joining Date]], Mapping[Joining_Discarded], Mapping[Joining_Correction]), VALUE(tbl_HR_Data[[#This Row],[Joining Date]]))</f>
        <v>43195</v>
      </c>
      <c r="T70" t="str">
        <f>TEXT(tbl_HR_Data[[#This Row],[Joining Date]], "mmm")</f>
        <v>Apr</v>
      </c>
      <c r="U70" t="str">
        <f>TEXT(tbl_HR_Data[[#This Row],[Joining Date]], "ddd")</f>
        <v>Thu</v>
      </c>
    </row>
    <row r="71" spans="1:21" x14ac:dyDescent="0.35">
      <c r="A71" t="s">
        <v>108</v>
      </c>
      <c r="B71">
        <v>40</v>
      </c>
      <c r="C71">
        <v>60000</v>
      </c>
      <c r="D71" t="s">
        <v>11</v>
      </c>
      <c r="E71" t="s">
        <v>12</v>
      </c>
      <c r="F71" t="s">
        <v>39</v>
      </c>
      <c r="G71" s="3">
        <v>43195</v>
      </c>
      <c r="H71" t="str">
        <f>TEXT(tbl_HR_Data[[#This Row],[Joining Date]], "mmm")</f>
        <v>Apr</v>
      </c>
      <c r="I71" t="s">
        <v>92</v>
      </c>
      <c r="J71" t="s">
        <v>41</v>
      </c>
      <c r="K71" t="s">
        <v>32</v>
      </c>
      <c r="L71" t="s">
        <v>77</v>
      </c>
      <c r="M71">
        <f>IFERROR( _xlfn.XLOOKUP(TRIM(tbl_HR_Data[[#This Row],[Age]]),#REF!,#REF!), VALUE(TRIM(tbl_HR_Data[[#This Row],[Age]])))</f>
        <v>40</v>
      </c>
      <c r="N71" t="str">
        <f>IFERROR(_xlfn.XLOOKUP(tbl_HR_Data[[#This Row],[Gender]], Mapping[Gender _Discarded], Mapping[Gender_Correction]), PROPER(TRIM(tbl_HR_Data[[#This Row],[Gender]])))</f>
        <v>Male</v>
      </c>
      <c r="O71" t="str">
        <f>TRIM(tbl_HR_Data[[#This Row],[Position]])</f>
        <v>Clerk</v>
      </c>
      <c r="P71" t="str">
        <f>IFERROR(_xlfn.XLOOKUP(tbl_HR_Data[[#This Row],[Email]], Mapping[Email_Discarded], Mapping[Email_Correction]), LOWER(TRIM(tbl_HR_Data[[#This Row],[Email]])))</f>
        <v>name@company.org</v>
      </c>
      <c r="Q7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1" t="str" cm="1">
        <f t="array" ref="R71">_xlfn.REDUCE(Q71, {"-","/","_","\","(",")"}, _xlfn.LAMBDA(_xlpm.txt,_xlpm.itm, SUBSTITUTE(_xlpm.txt, _xlpm.itm, "")))</f>
        <v>Not Provided</v>
      </c>
      <c r="S71" s="3">
        <f>IFERROR(_xlfn.XLOOKUP(tbl_HR_Data[[#This Row],[Joining Date]], Mapping[Joining_Discarded], Mapping[Joining_Correction]), VALUE(tbl_HR_Data[[#This Row],[Joining Date]]))</f>
        <v>43195</v>
      </c>
      <c r="T71" t="str">
        <f>TEXT(tbl_HR_Data[[#This Row],[Joining Date]], "mmm")</f>
        <v>Apr</v>
      </c>
      <c r="U71" t="str">
        <f>TEXT(tbl_HR_Data[[#This Row],[Joining Date]], "ddd")</f>
        <v>Thu</v>
      </c>
    </row>
    <row r="72" spans="1:21" x14ac:dyDescent="0.35">
      <c r="A72" t="s">
        <v>99</v>
      </c>
      <c r="B72">
        <v>25</v>
      </c>
      <c r="C72">
        <v>55000</v>
      </c>
      <c r="D72" t="s">
        <v>36</v>
      </c>
      <c r="E72" t="s">
        <v>37</v>
      </c>
      <c r="F72" t="s">
        <v>44</v>
      </c>
      <c r="G72" s="3">
        <v>43195</v>
      </c>
      <c r="H72" t="str">
        <f>TEXT(tbl_HR_Data[[#This Row],[Joining Date]], "mmm")</f>
        <v>Apr</v>
      </c>
      <c r="I72" t="s">
        <v>92</v>
      </c>
      <c r="J72" t="s">
        <v>31</v>
      </c>
      <c r="K72" t="s">
        <v>15</v>
      </c>
      <c r="L72" t="s">
        <v>88</v>
      </c>
      <c r="M72">
        <f>IFERROR( _xlfn.XLOOKUP(TRIM(tbl_HR_Data[[#This Row],[Age]]),#REF!,#REF!), VALUE(TRIM(tbl_HR_Data[[#This Row],[Age]])))</f>
        <v>25</v>
      </c>
      <c r="N72" t="str">
        <f>IFERROR(_xlfn.XLOOKUP(tbl_HR_Data[[#This Row],[Gender]], Mapping[Gender _Discarded], Mapping[Gender_Correction]), PROPER(TRIM(tbl_HR_Data[[#This Row],[Gender]])))</f>
        <v>Other</v>
      </c>
      <c r="O72" t="str">
        <f>TRIM(tbl_HR_Data[[#This Row],[Position]])</f>
        <v>Analyst</v>
      </c>
      <c r="P72" t="str">
        <f>IFERROR(_xlfn.XLOOKUP(tbl_HR_Data[[#This Row],[Email]], Mapping[Email_Discarded], Mapping[Email_Correction]), LOWER(TRIM(tbl_HR_Data[[#This Row],[Email]])))</f>
        <v>email@example.com</v>
      </c>
      <c r="Q7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72" t="str" cm="1">
        <f t="array" ref="R72">_xlfn.REDUCE(Q72, {"-","/","_","\","(",")"}, _xlfn.LAMBDA(_xlpm.txt,_xlpm.itm, SUBSTITUTE(_xlpm.txt, _xlpm.itm, "")))</f>
        <v>0987654321</v>
      </c>
      <c r="S72" s="3">
        <f>IFERROR(_xlfn.XLOOKUP(tbl_HR_Data[[#This Row],[Joining Date]], Mapping[Joining_Discarded], Mapping[Joining_Correction]), VALUE(tbl_HR_Data[[#This Row],[Joining Date]]))</f>
        <v>43195</v>
      </c>
      <c r="T72" t="str">
        <f>TEXT(tbl_HR_Data[[#This Row],[Joining Date]], "mmm")</f>
        <v>Apr</v>
      </c>
      <c r="U72" t="str">
        <f>TEXT(tbl_HR_Data[[#This Row],[Joining Date]], "ddd")</f>
        <v>Thu</v>
      </c>
    </row>
    <row r="73" spans="1:21" x14ac:dyDescent="0.35">
      <c r="A73" t="s">
        <v>105</v>
      </c>
      <c r="B73">
        <v>0</v>
      </c>
      <c r="C73">
        <v>50000</v>
      </c>
      <c r="D73" t="s">
        <v>36</v>
      </c>
      <c r="E73" t="s">
        <v>19</v>
      </c>
      <c r="F73" t="s">
        <v>13</v>
      </c>
      <c r="G73" s="3">
        <v>43195</v>
      </c>
      <c r="H73" t="str">
        <f>TEXT(tbl_HR_Data[[#This Row],[Joining Date]], "mmm")</f>
        <v>Apr</v>
      </c>
      <c r="I73" t="s">
        <v>92</v>
      </c>
      <c r="J73" t="s">
        <v>41</v>
      </c>
      <c r="K73" t="s">
        <v>77</v>
      </c>
      <c r="L73" t="s">
        <v>89</v>
      </c>
      <c r="M73">
        <f>IFERROR( _xlfn.XLOOKUP(TRIM(tbl_HR_Data[[#This Row],[Age]]),#REF!,#REF!), VALUE(TRIM(tbl_HR_Data[[#This Row],[Age]])))</f>
        <v>0</v>
      </c>
      <c r="N73" t="str">
        <f>IFERROR(_xlfn.XLOOKUP(tbl_HR_Data[[#This Row],[Gender]], Mapping[Gender _Discarded], Mapping[Gender_Correction]), PROPER(TRIM(tbl_HR_Data[[#This Row],[Gender]])))</f>
        <v>Other</v>
      </c>
      <c r="O73" t="str">
        <f>TRIM(tbl_HR_Data[[#This Row],[Position]])</f>
        <v>Manager</v>
      </c>
      <c r="P73" t="str">
        <f>IFERROR(_xlfn.XLOOKUP(tbl_HR_Data[[#This Row],[Email]], Mapping[Email_Discarded], Mapping[Email_Correction]), LOWER(TRIM(tbl_HR_Data[[#This Row],[Email]])))</f>
        <v>not provided</v>
      </c>
      <c r="Q7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73" t="str" cm="1">
        <f t="array" ref="R73">_xlfn.REDUCE(Q73, {"-","/","_","\","(",")"}, _xlfn.LAMBDA(_xlpm.txt,_xlpm.itm, SUBSTITUTE(_xlpm.txt, _xlpm.itm, "")))</f>
        <v>5555555555</v>
      </c>
      <c r="S73" s="3">
        <f>IFERROR(_xlfn.XLOOKUP(tbl_HR_Data[[#This Row],[Joining Date]], Mapping[Joining_Discarded], Mapping[Joining_Correction]), VALUE(tbl_HR_Data[[#This Row],[Joining Date]]))</f>
        <v>43195</v>
      </c>
      <c r="T73" t="str">
        <f>TEXT(tbl_HR_Data[[#This Row],[Joining Date]], "mmm")</f>
        <v>Apr</v>
      </c>
      <c r="U73" t="str">
        <f>TEXT(tbl_HR_Data[[#This Row],[Joining Date]], "ddd")</f>
        <v>Thu</v>
      </c>
    </row>
    <row r="74" spans="1:21" x14ac:dyDescent="0.35">
      <c r="A74" t="s">
        <v>102</v>
      </c>
      <c r="B74">
        <v>50</v>
      </c>
      <c r="C74">
        <v>60000</v>
      </c>
      <c r="D74" t="s">
        <v>36</v>
      </c>
      <c r="E74" t="s">
        <v>12</v>
      </c>
      <c r="F74" t="s">
        <v>20</v>
      </c>
      <c r="G74" s="3">
        <v>43195</v>
      </c>
      <c r="H74" t="str">
        <f>TEXT(tbl_HR_Data[[#This Row],[Joining Date]], "mmm")</f>
        <v>Apr</v>
      </c>
      <c r="I74" t="s">
        <v>92</v>
      </c>
      <c r="J74" t="s">
        <v>41</v>
      </c>
      <c r="K74" t="s">
        <v>77</v>
      </c>
      <c r="L74" t="s">
        <v>88</v>
      </c>
      <c r="M74">
        <f>IFERROR( _xlfn.XLOOKUP(TRIM(tbl_HR_Data[[#This Row],[Age]]),#REF!,#REF!), VALUE(TRIM(tbl_HR_Data[[#This Row],[Age]])))</f>
        <v>50</v>
      </c>
      <c r="N74" t="str">
        <f>IFERROR(_xlfn.XLOOKUP(tbl_HR_Data[[#This Row],[Gender]], Mapping[Gender _Discarded], Mapping[Gender_Correction]), PROPER(TRIM(tbl_HR_Data[[#This Row],[Gender]])))</f>
        <v>Other</v>
      </c>
      <c r="O74" t="str">
        <f>TRIM(tbl_HR_Data[[#This Row],[Position]])</f>
        <v>Director</v>
      </c>
      <c r="P74" t="str">
        <f>IFERROR(_xlfn.XLOOKUP(tbl_HR_Data[[#This Row],[Email]], Mapping[Email_Discarded], Mapping[Email_Correction]), LOWER(TRIM(tbl_HR_Data[[#This Row],[Email]])))</f>
        <v>not provided</v>
      </c>
      <c r="Q7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74" t="str" cm="1">
        <f t="array" ref="R74">_xlfn.REDUCE(Q74, {"-","/","_","\","(",")"}, _xlfn.LAMBDA(_xlpm.txt,_xlpm.itm, SUBSTITUTE(_xlpm.txt, _xlpm.itm, "")))</f>
        <v>0987654321</v>
      </c>
      <c r="S74" s="3">
        <f>IFERROR(_xlfn.XLOOKUP(tbl_HR_Data[[#This Row],[Joining Date]], Mapping[Joining_Discarded], Mapping[Joining_Correction]), VALUE(tbl_HR_Data[[#This Row],[Joining Date]]))</f>
        <v>43195</v>
      </c>
      <c r="T74" t="str">
        <f>TEXT(tbl_HR_Data[[#This Row],[Joining Date]], "mmm")</f>
        <v>Apr</v>
      </c>
      <c r="U74" t="str">
        <f>TEXT(tbl_HR_Data[[#This Row],[Joining Date]], "ddd")</f>
        <v>Thu</v>
      </c>
    </row>
    <row r="75" spans="1:21" x14ac:dyDescent="0.35">
      <c r="A75" t="s">
        <v>103</v>
      </c>
      <c r="B75">
        <v>0</v>
      </c>
      <c r="C75">
        <v>70000</v>
      </c>
      <c r="D75" t="s">
        <v>36</v>
      </c>
      <c r="E75" t="s">
        <v>19</v>
      </c>
      <c r="F75" t="s">
        <v>43</v>
      </c>
      <c r="G75" s="3">
        <v>43195</v>
      </c>
      <c r="H75" t="str">
        <f>TEXT(tbl_HR_Data[[#This Row],[Joining Date]], "mmm")</f>
        <v>Apr</v>
      </c>
      <c r="I75" t="s">
        <v>92</v>
      </c>
      <c r="J75" t="s">
        <v>41</v>
      </c>
      <c r="K75" t="s">
        <v>15</v>
      </c>
      <c r="L75" t="s">
        <v>77</v>
      </c>
      <c r="M75">
        <f>IFERROR( _xlfn.XLOOKUP(TRIM(tbl_HR_Data[[#This Row],[Age]]),#REF!,#REF!), VALUE(TRIM(tbl_HR_Data[[#This Row],[Age]])))</f>
        <v>0</v>
      </c>
      <c r="N75" t="str">
        <f>IFERROR(_xlfn.XLOOKUP(tbl_HR_Data[[#This Row],[Gender]], Mapping[Gender _Discarded], Mapping[Gender_Correction]), PROPER(TRIM(tbl_HR_Data[[#This Row],[Gender]])))</f>
        <v>Other</v>
      </c>
      <c r="O75" t="str">
        <f>TRIM(tbl_HR_Data[[#This Row],[Position]])</f>
        <v>Assistant</v>
      </c>
      <c r="P75" t="str">
        <f>IFERROR(_xlfn.XLOOKUP(tbl_HR_Data[[#This Row],[Email]], Mapping[Email_Discarded], Mapping[Email_Correction]), LOWER(TRIM(tbl_HR_Data[[#This Row],[Email]])))</f>
        <v>email@example.com</v>
      </c>
      <c r="Q7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5" t="str" cm="1">
        <f t="array" ref="R75">_xlfn.REDUCE(Q75, {"-","/","_","\","(",")"}, _xlfn.LAMBDA(_xlpm.txt,_xlpm.itm, SUBSTITUTE(_xlpm.txt, _xlpm.itm, "")))</f>
        <v>Not Provided</v>
      </c>
      <c r="S75" s="3">
        <f>IFERROR(_xlfn.XLOOKUP(tbl_HR_Data[[#This Row],[Joining Date]], Mapping[Joining_Discarded], Mapping[Joining_Correction]), VALUE(tbl_HR_Data[[#This Row],[Joining Date]]))</f>
        <v>43195</v>
      </c>
      <c r="T75" t="str">
        <f>TEXT(tbl_HR_Data[[#This Row],[Joining Date]], "mmm")</f>
        <v>Apr</v>
      </c>
      <c r="U75" t="str">
        <f>TEXT(tbl_HR_Data[[#This Row],[Joining Date]], "ddd")</f>
        <v>Thu</v>
      </c>
    </row>
    <row r="76" spans="1:21" x14ac:dyDescent="0.35">
      <c r="A76" t="s">
        <v>103</v>
      </c>
      <c r="B76">
        <v>30</v>
      </c>
      <c r="C76">
        <v>50000</v>
      </c>
      <c r="D76" t="s">
        <v>11</v>
      </c>
      <c r="E76" t="s">
        <v>30</v>
      </c>
      <c r="F76" t="s">
        <v>44</v>
      </c>
      <c r="G76" s="3">
        <v>43195</v>
      </c>
      <c r="H76" t="str">
        <f>TEXT(tbl_HR_Data[[#This Row],[Joining Date]], "mmm")</f>
        <v>Apr</v>
      </c>
      <c r="I76" t="s">
        <v>92</v>
      </c>
      <c r="J76" t="s">
        <v>31</v>
      </c>
      <c r="K76" t="s">
        <v>77</v>
      </c>
      <c r="L76" t="s">
        <v>77</v>
      </c>
      <c r="M76">
        <f>IFERROR( _xlfn.XLOOKUP(TRIM(tbl_HR_Data[[#This Row],[Age]]),#REF!,#REF!), VALUE(TRIM(tbl_HR_Data[[#This Row],[Age]])))</f>
        <v>30</v>
      </c>
      <c r="N76" t="str">
        <f>IFERROR(_xlfn.XLOOKUP(tbl_HR_Data[[#This Row],[Gender]], Mapping[Gender _Discarded], Mapping[Gender_Correction]), PROPER(TRIM(tbl_HR_Data[[#This Row],[Gender]])))</f>
        <v>Male</v>
      </c>
      <c r="O76" t="str">
        <f>TRIM(tbl_HR_Data[[#This Row],[Position]])</f>
        <v>Analyst</v>
      </c>
      <c r="P76" t="str">
        <f>IFERROR(_xlfn.XLOOKUP(tbl_HR_Data[[#This Row],[Email]], Mapping[Email_Discarded], Mapping[Email_Correction]), LOWER(TRIM(tbl_HR_Data[[#This Row],[Email]])))</f>
        <v>not provided</v>
      </c>
      <c r="Q7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6" t="str" cm="1">
        <f t="array" ref="R76">_xlfn.REDUCE(Q76, {"-","/","_","\","(",")"}, _xlfn.LAMBDA(_xlpm.txt,_xlpm.itm, SUBSTITUTE(_xlpm.txt, _xlpm.itm, "")))</f>
        <v>Not Provided</v>
      </c>
      <c r="S76" s="3">
        <f>IFERROR(_xlfn.XLOOKUP(tbl_HR_Data[[#This Row],[Joining Date]], Mapping[Joining_Discarded], Mapping[Joining_Correction]), VALUE(tbl_HR_Data[[#This Row],[Joining Date]]))</f>
        <v>43195</v>
      </c>
      <c r="T76" t="str">
        <f>TEXT(tbl_HR_Data[[#This Row],[Joining Date]], "mmm")</f>
        <v>Apr</v>
      </c>
      <c r="U76" t="str">
        <f>TEXT(tbl_HR_Data[[#This Row],[Joining Date]], "ddd")</f>
        <v>Thu</v>
      </c>
    </row>
    <row r="77" spans="1:21" x14ac:dyDescent="0.35">
      <c r="A77" t="s">
        <v>101</v>
      </c>
      <c r="B77">
        <v>50</v>
      </c>
      <c r="C77">
        <v>70000</v>
      </c>
      <c r="D77" t="s">
        <v>18</v>
      </c>
      <c r="E77" t="s">
        <v>30</v>
      </c>
      <c r="F77" t="s">
        <v>13</v>
      </c>
      <c r="G77" s="3">
        <v>43195</v>
      </c>
      <c r="H77" t="str">
        <f>TEXT(tbl_HR_Data[[#This Row],[Joining Date]], "mmm")</f>
        <v>Apr</v>
      </c>
      <c r="I77" t="s">
        <v>92</v>
      </c>
      <c r="J77" t="s">
        <v>41</v>
      </c>
      <c r="K77" t="s">
        <v>22</v>
      </c>
      <c r="L77" t="s">
        <v>77</v>
      </c>
      <c r="M77">
        <f>IFERROR( _xlfn.XLOOKUP(TRIM(tbl_HR_Data[[#This Row],[Age]]),#REF!,#REF!), VALUE(TRIM(tbl_HR_Data[[#This Row],[Age]])))</f>
        <v>50</v>
      </c>
      <c r="N77" t="str">
        <f>IFERROR(_xlfn.XLOOKUP(tbl_HR_Data[[#This Row],[Gender]], Mapping[Gender _Discarded], Mapping[Gender_Correction]), PROPER(TRIM(tbl_HR_Data[[#This Row],[Gender]])))</f>
        <v>Female</v>
      </c>
      <c r="O77" t="str">
        <f>TRIM(tbl_HR_Data[[#This Row],[Position]])</f>
        <v>Manager</v>
      </c>
      <c r="P77" t="str">
        <f>IFERROR(_xlfn.XLOOKUP(tbl_HR_Data[[#This Row],[Email]], Mapping[Email_Discarded], Mapping[Email_Correction]), LOWER(TRIM(tbl_HR_Data[[#This Row],[Email]])))</f>
        <v>user@domain.com</v>
      </c>
      <c r="Q7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7" t="str" cm="1">
        <f t="array" ref="R77">_xlfn.REDUCE(Q77, {"-","/","_","\","(",")"}, _xlfn.LAMBDA(_xlpm.txt,_xlpm.itm, SUBSTITUTE(_xlpm.txt, _xlpm.itm, "")))</f>
        <v>Not Provided</v>
      </c>
      <c r="S77" s="3">
        <f>IFERROR(_xlfn.XLOOKUP(tbl_HR_Data[[#This Row],[Joining Date]], Mapping[Joining_Discarded], Mapping[Joining_Correction]), VALUE(tbl_HR_Data[[#This Row],[Joining Date]]))</f>
        <v>43195</v>
      </c>
      <c r="T77" t="str">
        <f>TEXT(tbl_HR_Data[[#This Row],[Joining Date]], "mmm")</f>
        <v>Apr</v>
      </c>
      <c r="U77" t="str">
        <f>TEXT(tbl_HR_Data[[#This Row],[Joining Date]], "ddd")</f>
        <v>Thu</v>
      </c>
    </row>
    <row r="78" spans="1:21" x14ac:dyDescent="0.35">
      <c r="A78" t="s">
        <v>102</v>
      </c>
      <c r="B78">
        <v>25</v>
      </c>
      <c r="C78">
        <v>65000</v>
      </c>
      <c r="D78" t="s">
        <v>18</v>
      </c>
      <c r="E78" t="s">
        <v>37</v>
      </c>
      <c r="F78" t="s">
        <v>39</v>
      </c>
      <c r="G78" s="3">
        <v>43195</v>
      </c>
      <c r="H78" t="str">
        <f>TEXT(tbl_HR_Data[[#This Row],[Joining Date]], "mmm")</f>
        <v>Apr</v>
      </c>
      <c r="I78" t="s">
        <v>92</v>
      </c>
      <c r="J78" t="s">
        <v>21</v>
      </c>
      <c r="K78" t="s">
        <v>77</v>
      </c>
      <c r="L78" t="s">
        <v>77</v>
      </c>
      <c r="M78">
        <f>IFERROR( _xlfn.XLOOKUP(TRIM(tbl_HR_Data[[#This Row],[Age]]),#REF!,#REF!), VALUE(TRIM(tbl_HR_Data[[#This Row],[Age]])))</f>
        <v>25</v>
      </c>
      <c r="N78" t="str">
        <f>IFERROR(_xlfn.XLOOKUP(tbl_HR_Data[[#This Row],[Gender]], Mapping[Gender _Discarded], Mapping[Gender_Correction]), PROPER(TRIM(tbl_HR_Data[[#This Row],[Gender]])))</f>
        <v>Female</v>
      </c>
      <c r="O78" t="str">
        <f>TRIM(tbl_HR_Data[[#This Row],[Position]])</f>
        <v>Clerk</v>
      </c>
      <c r="P78" t="str">
        <f>IFERROR(_xlfn.XLOOKUP(tbl_HR_Data[[#This Row],[Email]], Mapping[Email_Discarded], Mapping[Email_Correction]), LOWER(TRIM(tbl_HR_Data[[#This Row],[Email]])))</f>
        <v>not provided</v>
      </c>
      <c r="Q7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8" t="str" cm="1">
        <f t="array" ref="R78">_xlfn.REDUCE(Q78, {"-","/","_","\","(",")"}, _xlfn.LAMBDA(_xlpm.txt,_xlpm.itm, SUBSTITUTE(_xlpm.txt, _xlpm.itm, "")))</f>
        <v>Not Provided</v>
      </c>
      <c r="S78" s="3">
        <f>IFERROR(_xlfn.XLOOKUP(tbl_HR_Data[[#This Row],[Joining Date]], Mapping[Joining_Discarded], Mapping[Joining_Correction]), VALUE(tbl_HR_Data[[#This Row],[Joining Date]]))</f>
        <v>43195</v>
      </c>
      <c r="T78" t="str">
        <f>TEXT(tbl_HR_Data[[#This Row],[Joining Date]], "mmm")</f>
        <v>Apr</v>
      </c>
      <c r="U78" t="str">
        <f>TEXT(tbl_HR_Data[[#This Row],[Joining Date]], "ddd")</f>
        <v>Thu</v>
      </c>
    </row>
    <row r="79" spans="1:21" x14ac:dyDescent="0.35">
      <c r="A79" t="s">
        <v>101</v>
      </c>
      <c r="B79">
        <v>0</v>
      </c>
      <c r="C79">
        <v>0</v>
      </c>
      <c r="D79" t="s">
        <v>18</v>
      </c>
      <c r="E79" t="s">
        <v>12</v>
      </c>
      <c r="F79" t="s">
        <v>13</v>
      </c>
      <c r="G79" s="3">
        <v>43195</v>
      </c>
      <c r="H79" t="str">
        <f>TEXT(tbl_HR_Data[[#This Row],[Joining Date]], "mmm")</f>
        <v>Apr</v>
      </c>
      <c r="I79" t="s">
        <v>92</v>
      </c>
      <c r="J79" t="s">
        <v>27</v>
      </c>
      <c r="K79" t="s">
        <v>32</v>
      </c>
      <c r="L79" t="s">
        <v>87</v>
      </c>
      <c r="M79">
        <f>IFERROR( _xlfn.XLOOKUP(TRIM(tbl_HR_Data[[#This Row],[Age]]),#REF!,#REF!), VALUE(TRIM(tbl_HR_Data[[#This Row],[Age]])))</f>
        <v>0</v>
      </c>
      <c r="N79" t="str">
        <f>IFERROR(_xlfn.XLOOKUP(tbl_HR_Data[[#This Row],[Gender]], Mapping[Gender _Discarded], Mapping[Gender_Correction]), PROPER(TRIM(tbl_HR_Data[[#This Row],[Gender]])))</f>
        <v>Female</v>
      </c>
      <c r="O79" t="str">
        <f>TRIM(tbl_HR_Data[[#This Row],[Position]])</f>
        <v>Manager</v>
      </c>
      <c r="P79" t="str">
        <f>IFERROR(_xlfn.XLOOKUP(tbl_HR_Data[[#This Row],[Email]], Mapping[Email_Discarded], Mapping[Email_Correction]), LOWER(TRIM(tbl_HR_Data[[#This Row],[Email]])))</f>
        <v>name@company.org</v>
      </c>
      <c r="Q7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79" t="str" cm="1">
        <f t="array" ref="R79">_xlfn.REDUCE(Q79, {"-","/","_","\","(",")"}, _xlfn.LAMBDA(_xlpm.txt,_xlpm.itm, SUBSTITUTE(_xlpm.txt, _xlpm.itm, "")))</f>
        <v>1234567890</v>
      </c>
      <c r="S79" s="3">
        <f>IFERROR(_xlfn.XLOOKUP(tbl_HR_Data[[#This Row],[Joining Date]], Mapping[Joining_Discarded], Mapping[Joining_Correction]), VALUE(tbl_HR_Data[[#This Row],[Joining Date]]))</f>
        <v>43195</v>
      </c>
      <c r="T79" t="str">
        <f>TEXT(tbl_HR_Data[[#This Row],[Joining Date]], "mmm")</f>
        <v>Apr</v>
      </c>
      <c r="U79" t="str">
        <f>TEXT(tbl_HR_Data[[#This Row],[Joining Date]], "ddd")</f>
        <v>Thu</v>
      </c>
    </row>
    <row r="80" spans="1:21" x14ac:dyDescent="0.35">
      <c r="A80" t="s">
        <v>102</v>
      </c>
      <c r="B80">
        <v>50</v>
      </c>
      <c r="C80">
        <v>60000</v>
      </c>
      <c r="D80" t="s">
        <v>18</v>
      </c>
      <c r="E80" t="s">
        <v>30</v>
      </c>
      <c r="F80" t="s">
        <v>43</v>
      </c>
      <c r="G80" s="3">
        <v>43195</v>
      </c>
      <c r="H80" t="str">
        <f>TEXT(tbl_HR_Data[[#This Row],[Joining Date]], "mmm")</f>
        <v>Apr</v>
      </c>
      <c r="I80" t="s">
        <v>92</v>
      </c>
      <c r="J80" t="s">
        <v>21</v>
      </c>
      <c r="K80" t="s">
        <v>32</v>
      </c>
      <c r="L80" t="s">
        <v>77</v>
      </c>
      <c r="M80">
        <f>IFERROR( _xlfn.XLOOKUP(TRIM(tbl_HR_Data[[#This Row],[Age]]),#REF!,#REF!), VALUE(TRIM(tbl_HR_Data[[#This Row],[Age]])))</f>
        <v>50</v>
      </c>
      <c r="N80" t="str">
        <f>IFERROR(_xlfn.XLOOKUP(tbl_HR_Data[[#This Row],[Gender]], Mapping[Gender _Discarded], Mapping[Gender_Correction]), PROPER(TRIM(tbl_HR_Data[[#This Row],[Gender]])))</f>
        <v>Female</v>
      </c>
      <c r="O80" t="str">
        <f>TRIM(tbl_HR_Data[[#This Row],[Position]])</f>
        <v>Assistant</v>
      </c>
      <c r="P80" t="str">
        <f>IFERROR(_xlfn.XLOOKUP(tbl_HR_Data[[#This Row],[Email]], Mapping[Email_Discarded], Mapping[Email_Correction]), LOWER(TRIM(tbl_HR_Data[[#This Row],[Email]])))</f>
        <v>name@company.org</v>
      </c>
      <c r="Q8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0" t="str" cm="1">
        <f t="array" ref="R80">_xlfn.REDUCE(Q80, {"-","/","_","\","(",")"}, _xlfn.LAMBDA(_xlpm.txt,_xlpm.itm, SUBSTITUTE(_xlpm.txt, _xlpm.itm, "")))</f>
        <v>Not Provided</v>
      </c>
      <c r="S80" s="3">
        <f>IFERROR(_xlfn.XLOOKUP(tbl_HR_Data[[#This Row],[Joining Date]], Mapping[Joining_Discarded], Mapping[Joining_Correction]), VALUE(tbl_HR_Data[[#This Row],[Joining Date]]))</f>
        <v>43195</v>
      </c>
      <c r="T80" t="str">
        <f>TEXT(tbl_HR_Data[[#This Row],[Joining Date]], "mmm")</f>
        <v>Apr</v>
      </c>
      <c r="U80" t="str">
        <f>TEXT(tbl_HR_Data[[#This Row],[Joining Date]], "ddd")</f>
        <v>Thu</v>
      </c>
    </row>
    <row r="81" spans="1:21" x14ac:dyDescent="0.35">
      <c r="A81" t="s">
        <v>108</v>
      </c>
      <c r="B81">
        <v>25</v>
      </c>
      <c r="C81">
        <v>70000</v>
      </c>
      <c r="D81" t="s">
        <v>36</v>
      </c>
      <c r="E81" t="s">
        <v>30</v>
      </c>
      <c r="F81" t="s">
        <v>43</v>
      </c>
      <c r="G81" s="3">
        <v>43195</v>
      </c>
      <c r="H81" t="str">
        <f>TEXT(tbl_HR_Data[[#This Row],[Joining Date]], "mmm")</f>
        <v>Apr</v>
      </c>
      <c r="I81" t="s">
        <v>92</v>
      </c>
      <c r="J81" t="s">
        <v>41</v>
      </c>
      <c r="K81" t="s">
        <v>22</v>
      </c>
      <c r="L81" t="s">
        <v>89</v>
      </c>
      <c r="M81">
        <f>IFERROR( _xlfn.XLOOKUP(TRIM(tbl_HR_Data[[#This Row],[Age]]),#REF!,#REF!), VALUE(TRIM(tbl_HR_Data[[#This Row],[Age]])))</f>
        <v>25</v>
      </c>
      <c r="N81" t="str">
        <f>IFERROR(_xlfn.XLOOKUP(tbl_HR_Data[[#This Row],[Gender]], Mapping[Gender _Discarded], Mapping[Gender_Correction]), PROPER(TRIM(tbl_HR_Data[[#This Row],[Gender]])))</f>
        <v>Other</v>
      </c>
      <c r="O81" t="str">
        <f>TRIM(tbl_HR_Data[[#This Row],[Position]])</f>
        <v>Assistant</v>
      </c>
      <c r="P81" t="str">
        <f>IFERROR(_xlfn.XLOOKUP(tbl_HR_Data[[#This Row],[Email]], Mapping[Email_Discarded], Mapping[Email_Correction]), LOWER(TRIM(tbl_HR_Data[[#This Row],[Email]])))</f>
        <v>user@domain.com</v>
      </c>
      <c r="Q8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81" t="str" cm="1">
        <f t="array" ref="R81">_xlfn.REDUCE(Q81, {"-","/","_","\","(",")"}, _xlfn.LAMBDA(_xlpm.txt,_xlpm.itm, SUBSTITUTE(_xlpm.txt, _xlpm.itm, "")))</f>
        <v>5555555555</v>
      </c>
      <c r="S81" s="3">
        <f>IFERROR(_xlfn.XLOOKUP(tbl_HR_Data[[#This Row],[Joining Date]], Mapping[Joining_Discarded], Mapping[Joining_Correction]), VALUE(tbl_HR_Data[[#This Row],[Joining Date]]))</f>
        <v>43195</v>
      </c>
      <c r="T81" t="str">
        <f>TEXT(tbl_HR_Data[[#This Row],[Joining Date]], "mmm")</f>
        <v>Apr</v>
      </c>
      <c r="U81" t="str">
        <f>TEXT(tbl_HR_Data[[#This Row],[Joining Date]], "ddd")</f>
        <v>Thu</v>
      </c>
    </row>
    <row r="82" spans="1:21" x14ac:dyDescent="0.35">
      <c r="A82" t="s">
        <v>101</v>
      </c>
      <c r="B82">
        <v>40</v>
      </c>
      <c r="C82">
        <v>55000</v>
      </c>
      <c r="D82" t="s">
        <v>18</v>
      </c>
      <c r="E82" t="s">
        <v>30</v>
      </c>
      <c r="F82" t="s">
        <v>39</v>
      </c>
      <c r="G82" s="3">
        <v>43195</v>
      </c>
      <c r="H82" t="str">
        <f>TEXT(tbl_HR_Data[[#This Row],[Joining Date]], "mmm")</f>
        <v>Apr</v>
      </c>
      <c r="I82" t="s">
        <v>92</v>
      </c>
      <c r="J82" t="s">
        <v>14</v>
      </c>
      <c r="K82" t="s">
        <v>15</v>
      </c>
      <c r="L82" t="s">
        <v>88</v>
      </c>
      <c r="M82">
        <f>IFERROR( _xlfn.XLOOKUP(TRIM(tbl_HR_Data[[#This Row],[Age]]),#REF!,#REF!), VALUE(TRIM(tbl_HR_Data[[#This Row],[Age]])))</f>
        <v>40</v>
      </c>
      <c r="N82" t="str">
        <f>IFERROR(_xlfn.XLOOKUP(tbl_HR_Data[[#This Row],[Gender]], Mapping[Gender _Discarded], Mapping[Gender_Correction]), PROPER(TRIM(tbl_HR_Data[[#This Row],[Gender]])))</f>
        <v>Female</v>
      </c>
      <c r="O82" t="str">
        <f>TRIM(tbl_HR_Data[[#This Row],[Position]])</f>
        <v>Clerk</v>
      </c>
      <c r="P82" t="str">
        <f>IFERROR(_xlfn.XLOOKUP(tbl_HR_Data[[#This Row],[Email]], Mapping[Email_Discarded], Mapping[Email_Correction]), LOWER(TRIM(tbl_HR_Data[[#This Row],[Email]])))</f>
        <v>email@example.com</v>
      </c>
      <c r="Q8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82" t="str" cm="1">
        <f t="array" ref="R82">_xlfn.REDUCE(Q82, {"-","/","_","\","(",")"}, _xlfn.LAMBDA(_xlpm.txt,_xlpm.itm, SUBSTITUTE(_xlpm.txt, _xlpm.itm, "")))</f>
        <v>0987654321</v>
      </c>
      <c r="S82" s="3">
        <f>IFERROR(_xlfn.XLOOKUP(tbl_HR_Data[[#This Row],[Joining Date]], Mapping[Joining_Discarded], Mapping[Joining_Correction]), VALUE(tbl_HR_Data[[#This Row],[Joining Date]]))</f>
        <v>43195</v>
      </c>
      <c r="T82" t="str">
        <f>TEXT(tbl_HR_Data[[#This Row],[Joining Date]], "mmm")</f>
        <v>Apr</v>
      </c>
      <c r="U82" t="str">
        <f>TEXT(tbl_HR_Data[[#This Row],[Joining Date]], "ddd")</f>
        <v>Thu</v>
      </c>
    </row>
    <row r="83" spans="1:21" x14ac:dyDescent="0.35">
      <c r="A83" t="s">
        <v>108</v>
      </c>
      <c r="B83">
        <v>25</v>
      </c>
      <c r="C83">
        <v>70000</v>
      </c>
      <c r="D83" t="s">
        <v>11</v>
      </c>
      <c r="E83" t="s">
        <v>30</v>
      </c>
      <c r="F83" t="s">
        <v>39</v>
      </c>
      <c r="G83" s="3">
        <v>43195</v>
      </c>
      <c r="H83" t="str">
        <f>TEXT(tbl_HR_Data[[#This Row],[Joining Date]], "mmm")</f>
        <v>Apr</v>
      </c>
      <c r="I83" t="s">
        <v>92</v>
      </c>
      <c r="J83" t="s">
        <v>31</v>
      </c>
      <c r="K83" t="s">
        <v>77</v>
      </c>
      <c r="L83" t="s">
        <v>87</v>
      </c>
      <c r="M83">
        <f>IFERROR( _xlfn.XLOOKUP(TRIM(tbl_HR_Data[[#This Row],[Age]]),#REF!,#REF!), VALUE(TRIM(tbl_HR_Data[[#This Row],[Age]])))</f>
        <v>25</v>
      </c>
      <c r="N83" t="str">
        <f>IFERROR(_xlfn.XLOOKUP(tbl_HR_Data[[#This Row],[Gender]], Mapping[Gender _Discarded], Mapping[Gender_Correction]), PROPER(TRIM(tbl_HR_Data[[#This Row],[Gender]])))</f>
        <v>Male</v>
      </c>
      <c r="O83" t="str">
        <f>TRIM(tbl_HR_Data[[#This Row],[Position]])</f>
        <v>Clerk</v>
      </c>
      <c r="P83" t="str">
        <f>IFERROR(_xlfn.XLOOKUP(tbl_HR_Data[[#This Row],[Email]], Mapping[Email_Discarded], Mapping[Email_Correction]), LOWER(TRIM(tbl_HR_Data[[#This Row],[Email]])))</f>
        <v>not provided</v>
      </c>
      <c r="Q8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83" t="str" cm="1">
        <f t="array" ref="R83">_xlfn.REDUCE(Q83, {"-","/","_","\","(",")"}, _xlfn.LAMBDA(_xlpm.txt,_xlpm.itm, SUBSTITUTE(_xlpm.txt, _xlpm.itm, "")))</f>
        <v>1234567890</v>
      </c>
      <c r="S83" s="3">
        <f>IFERROR(_xlfn.XLOOKUP(tbl_HR_Data[[#This Row],[Joining Date]], Mapping[Joining_Discarded], Mapping[Joining_Correction]), VALUE(tbl_HR_Data[[#This Row],[Joining Date]]))</f>
        <v>43195</v>
      </c>
      <c r="T83" t="str">
        <f>TEXT(tbl_HR_Data[[#This Row],[Joining Date]], "mmm")</f>
        <v>Apr</v>
      </c>
      <c r="U83" t="str">
        <f>TEXT(tbl_HR_Data[[#This Row],[Joining Date]], "ddd")</f>
        <v>Thu</v>
      </c>
    </row>
    <row r="84" spans="1:21" x14ac:dyDescent="0.35">
      <c r="A84" t="s">
        <v>103</v>
      </c>
      <c r="B84">
        <v>35</v>
      </c>
      <c r="C84">
        <v>0</v>
      </c>
      <c r="D84" t="s">
        <v>18</v>
      </c>
      <c r="E84" t="s">
        <v>26</v>
      </c>
      <c r="F84" t="s">
        <v>20</v>
      </c>
      <c r="G84" s="3">
        <v>43195</v>
      </c>
      <c r="H84" t="str">
        <f>TEXT(tbl_HR_Data[[#This Row],[Joining Date]], "mmm")</f>
        <v>Apr</v>
      </c>
      <c r="I84" t="s">
        <v>92</v>
      </c>
      <c r="J84" t="s">
        <v>41</v>
      </c>
      <c r="K84" t="s">
        <v>77</v>
      </c>
      <c r="L84" t="s">
        <v>88</v>
      </c>
      <c r="M84">
        <f>IFERROR( _xlfn.XLOOKUP(TRIM(tbl_HR_Data[[#This Row],[Age]]),#REF!,#REF!), VALUE(TRIM(tbl_HR_Data[[#This Row],[Age]])))</f>
        <v>35</v>
      </c>
      <c r="N84" t="str">
        <f>IFERROR(_xlfn.XLOOKUP(tbl_HR_Data[[#This Row],[Gender]], Mapping[Gender _Discarded], Mapping[Gender_Correction]), PROPER(TRIM(tbl_HR_Data[[#This Row],[Gender]])))</f>
        <v>Female</v>
      </c>
      <c r="O84" t="str">
        <f>TRIM(tbl_HR_Data[[#This Row],[Position]])</f>
        <v>Director</v>
      </c>
      <c r="P84" t="str">
        <f>IFERROR(_xlfn.XLOOKUP(tbl_HR_Data[[#This Row],[Email]], Mapping[Email_Discarded], Mapping[Email_Correction]), LOWER(TRIM(tbl_HR_Data[[#This Row],[Email]])))</f>
        <v>not provided</v>
      </c>
      <c r="Q8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84" t="str" cm="1">
        <f t="array" ref="R84">_xlfn.REDUCE(Q84, {"-","/","_","\","(",")"}, _xlfn.LAMBDA(_xlpm.txt,_xlpm.itm, SUBSTITUTE(_xlpm.txt, _xlpm.itm, "")))</f>
        <v>0987654321</v>
      </c>
      <c r="S84" s="3">
        <f>IFERROR(_xlfn.XLOOKUP(tbl_HR_Data[[#This Row],[Joining Date]], Mapping[Joining_Discarded], Mapping[Joining_Correction]), VALUE(tbl_HR_Data[[#This Row],[Joining Date]]))</f>
        <v>43195</v>
      </c>
      <c r="T84" t="str">
        <f>TEXT(tbl_HR_Data[[#This Row],[Joining Date]], "mmm")</f>
        <v>Apr</v>
      </c>
      <c r="U84" t="str">
        <f>TEXT(tbl_HR_Data[[#This Row],[Joining Date]], "ddd")</f>
        <v>Thu</v>
      </c>
    </row>
    <row r="85" spans="1:21" x14ac:dyDescent="0.35">
      <c r="A85" t="s">
        <v>105</v>
      </c>
      <c r="B85">
        <v>0</v>
      </c>
      <c r="C85">
        <v>60000</v>
      </c>
      <c r="D85" t="s">
        <v>11</v>
      </c>
      <c r="E85" t="s">
        <v>37</v>
      </c>
      <c r="F85" t="s">
        <v>39</v>
      </c>
      <c r="G85" s="3">
        <v>43195</v>
      </c>
      <c r="H85" t="str">
        <f>TEXT(tbl_HR_Data[[#This Row],[Joining Date]], "mmm")</f>
        <v>Apr</v>
      </c>
      <c r="I85" t="s">
        <v>92</v>
      </c>
      <c r="J85" t="s">
        <v>21</v>
      </c>
      <c r="K85" t="s">
        <v>77</v>
      </c>
      <c r="L85" t="s">
        <v>77</v>
      </c>
      <c r="M85">
        <f>IFERROR( _xlfn.XLOOKUP(TRIM(tbl_HR_Data[[#This Row],[Age]]),#REF!,#REF!), VALUE(TRIM(tbl_HR_Data[[#This Row],[Age]])))</f>
        <v>0</v>
      </c>
      <c r="N85" t="str">
        <f>IFERROR(_xlfn.XLOOKUP(tbl_HR_Data[[#This Row],[Gender]], Mapping[Gender _Discarded], Mapping[Gender_Correction]), PROPER(TRIM(tbl_HR_Data[[#This Row],[Gender]])))</f>
        <v>Male</v>
      </c>
      <c r="O85" t="str">
        <f>TRIM(tbl_HR_Data[[#This Row],[Position]])</f>
        <v>Clerk</v>
      </c>
      <c r="P85" t="str">
        <f>IFERROR(_xlfn.XLOOKUP(tbl_HR_Data[[#This Row],[Email]], Mapping[Email_Discarded], Mapping[Email_Correction]), LOWER(TRIM(tbl_HR_Data[[#This Row],[Email]])))</f>
        <v>not provided</v>
      </c>
      <c r="Q8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5" t="str" cm="1">
        <f t="array" ref="R85">_xlfn.REDUCE(Q85, {"-","/","_","\","(",")"}, _xlfn.LAMBDA(_xlpm.txt,_xlpm.itm, SUBSTITUTE(_xlpm.txt, _xlpm.itm, "")))</f>
        <v>Not Provided</v>
      </c>
      <c r="S85" s="3">
        <f>IFERROR(_xlfn.XLOOKUP(tbl_HR_Data[[#This Row],[Joining Date]], Mapping[Joining_Discarded], Mapping[Joining_Correction]), VALUE(tbl_HR_Data[[#This Row],[Joining Date]]))</f>
        <v>43195</v>
      </c>
      <c r="T85" t="str">
        <f>TEXT(tbl_HR_Data[[#This Row],[Joining Date]], "mmm")</f>
        <v>Apr</v>
      </c>
      <c r="U85" t="str">
        <f>TEXT(tbl_HR_Data[[#This Row],[Joining Date]], "ddd")</f>
        <v>Thu</v>
      </c>
    </row>
    <row r="86" spans="1:21" x14ac:dyDescent="0.35">
      <c r="A86" t="s">
        <v>99</v>
      </c>
      <c r="B86">
        <v>25</v>
      </c>
      <c r="C86">
        <v>50000</v>
      </c>
      <c r="D86" t="s">
        <v>36</v>
      </c>
      <c r="E86" t="s">
        <v>19</v>
      </c>
      <c r="F86" t="s">
        <v>20</v>
      </c>
      <c r="G86" s="3">
        <v>43195</v>
      </c>
      <c r="H86" t="str">
        <f>TEXT(tbl_HR_Data[[#This Row],[Joining Date]], "mmm")</f>
        <v>Apr</v>
      </c>
      <c r="I86" t="s">
        <v>92</v>
      </c>
      <c r="J86" t="s">
        <v>21</v>
      </c>
      <c r="K86" t="s">
        <v>22</v>
      </c>
      <c r="L86" t="s">
        <v>77</v>
      </c>
      <c r="M86">
        <f>IFERROR( _xlfn.XLOOKUP(TRIM(tbl_HR_Data[[#This Row],[Age]]),#REF!,#REF!), VALUE(TRIM(tbl_HR_Data[[#This Row],[Age]])))</f>
        <v>25</v>
      </c>
      <c r="N86" t="str">
        <f>IFERROR(_xlfn.XLOOKUP(tbl_HR_Data[[#This Row],[Gender]], Mapping[Gender _Discarded], Mapping[Gender_Correction]), PROPER(TRIM(tbl_HR_Data[[#This Row],[Gender]])))</f>
        <v>Other</v>
      </c>
      <c r="O86" t="str">
        <f>TRIM(tbl_HR_Data[[#This Row],[Position]])</f>
        <v>Director</v>
      </c>
      <c r="P86" t="str">
        <f>IFERROR(_xlfn.XLOOKUP(tbl_HR_Data[[#This Row],[Email]], Mapping[Email_Discarded], Mapping[Email_Correction]), LOWER(TRIM(tbl_HR_Data[[#This Row],[Email]])))</f>
        <v>user@domain.com</v>
      </c>
      <c r="Q8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6" t="str" cm="1">
        <f t="array" ref="R86">_xlfn.REDUCE(Q86, {"-","/","_","\","(",")"}, _xlfn.LAMBDA(_xlpm.txt,_xlpm.itm, SUBSTITUTE(_xlpm.txt, _xlpm.itm, "")))</f>
        <v>Not Provided</v>
      </c>
      <c r="S86" s="3">
        <f>IFERROR(_xlfn.XLOOKUP(tbl_HR_Data[[#This Row],[Joining Date]], Mapping[Joining_Discarded], Mapping[Joining_Correction]), VALUE(tbl_HR_Data[[#This Row],[Joining Date]]))</f>
        <v>43195</v>
      </c>
      <c r="T86" t="str">
        <f>TEXT(tbl_HR_Data[[#This Row],[Joining Date]], "mmm")</f>
        <v>Apr</v>
      </c>
      <c r="U86" t="str">
        <f>TEXT(tbl_HR_Data[[#This Row],[Joining Date]], "ddd")</f>
        <v>Thu</v>
      </c>
    </row>
    <row r="87" spans="1:21" x14ac:dyDescent="0.35">
      <c r="A87" t="s">
        <v>102</v>
      </c>
      <c r="B87">
        <v>0</v>
      </c>
      <c r="C87">
        <v>50000</v>
      </c>
      <c r="D87" t="s">
        <v>36</v>
      </c>
      <c r="E87" t="s">
        <v>37</v>
      </c>
      <c r="F87" t="s">
        <v>44</v>
      </c>
      <c r="G87" s="3">
        <v>43195</v>
      </c>
      <c r="H87" t="str">
        <f>TEXT(tbl_HR_Data[[#This Row],[Joining Date]], "mmm")</f>
        <v>Apr</v>
      </c>
      <c r="I87" t="s">
        <v>92</v>
      </c>
      <c r="J87" t="s">
        <v>21</v>
      </c>
      <c r="K87" t="s">
        <v>15</v>
      </c>
      <c r="L87" t="s">
        <v>89</v>
      </c>
      <c r="M87">
        <f>IFERROR( _xlfn.XLOOKUP(TRIM(tbl_HR_Data[[#This Row],[Age]]),#REF!,#REF!), VALUE(TRIM(tbl_HR_Data[[#This Row],[Age]])))</f>
        <v>0</v>
      </c>
      <c r="N87" t="str">
        <f>IFERROR(_xlfn.XLOOKUP(tbl_HR_Data[[#This Row],[Gender]], Mapping[Gender _Discarded], Mapping[Gender_Correction]), PROPER(TRIM(tbl_HR_Data[[#This Row],[Gender]])))</f>
        <v>Other</v>
      </c>
      <c r="O87" t="str">
        <f>TRIM(tbl_HR_Data[[#This Row],[Position]])</f>
        <v>Analyst</v>
      </c>
      <c r="P87" t="str">
        <f>IFERROR(_xlfn.XLOOKUP(tbl_HR_Data[[#This Row],[Email]], Mapping[Email_Discarded], Mapping[Email_Correction]), LOWER(TRIM(tbl_HR_Data[[#This Row],[Email]])))</f>
        <v>email@example.com</v>
      </c>
      <c r="Q8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87" t="str" cm="1">
        <f t="array" ref="R87">_xlfn.REDUCE(Q87, {"-","/","_","\","(",")"}, _xlfn.LAMBDA(_xlpm.txt,_xlpm.itm, SUBSTITUTE(_xlpm.txt, _xlpm.itm, "")))</f>
        <v>5555555555</v>
      </c>
      <c r="S87" s="3">
        <f>IFERROR(_xlfn.XLOOKUP(tbl_HR_Data[[#This Row],[Joining Date]], Mapping[Joining_Discarded], Mapping[Joining_Correction]), VALUE(tbl_HR_Data[[#This Row],[Joining Date]]))</f>
        <v>43195</v>
      </c>
      <c r="T87" t="str">
        <f>TEXT(tbl_HR_Data[[#This Row],[Joining Date]], "mmm")</f>
        <v>Apr</v>
      </c>
      <c r="U87" t="str">
        <f>TEXT(tbl_HR_Data[[#This Row],[Joining Date]], "ddd")</f>
        <v>Thu</v>
      </c>
    </row>
    <row r="88" spans="1:21" x14ac:dyDescent="0.35">
      <c r="A88" t="s">
        <v>107</v>
      </c>
      <c r="B88">
        <v>25</v>
      </c>
      <c r="C88">
        <v>55000</v>
      </c>
      <c r="D88" t="s">
        <v>11</v>
      </c>
      <c r="E88" t="s">
        <v>19</v>
      </c>
      <c r="F88" t="s">
        <v>20</v>
      </c>
      <c r="G88" s="3">
        <v>43195</v>
      </c>
      <c r="H88" t="str">
        <f>TEXT(tbl_HR_Data[[#This Row],[Joining Date]], "mmm")</f>
        <v>Apr</v>
      </c>
      <c r="I88" t="s">
        <v>92</v>
      </c>
      <c r="J88" t="s">
        <v>14</v>
      </c>
      <c r="K88" t="s">
        <v>22</v>
      </c>
      <c r="L88" t="s">
        <v>87</v>
      </c>
      <c r="M88">
        <f>IFERROR( _xlfn.XLOOKUP(TRIM(tbl_HR_Data[[#This Row],[Age]]),#REF!,#REF!), VALUE(TRIM(tbl_HR_Data[[#This Row],[Age]])))</f>
        <v>25</v>
      </c>
      <c r="N88" t="str">
        <f>IFERROR(_xlfn.XLOOKUP(tbl_HR_Data[[#This Row],[Gender]], Mapping[Gender _Discarded], Mapping[Gender_Correction]), PROPER(TRIM(tbl_HR_Data[[#This Row],[Gender]])))</f>
        <v>Male</v>
      </c>
      <c r="O88" t="str">
        <f>TRIM(tbl_HR_Data[[#This Row],[Position]])</f>
        <v>Director</v>
      </c>
      <c r="P88" t="str">
        <f>IFERROR(_xlfn.XLOOKUP(tbl_HR_Data[[#This Row],[Email]], Mapping[Email_Discarded], Mapping[Email_Correction]), LOWER(TRIM(tbl_HR_Data[[#This Row],[Email]])))</f>
        <v>user@domain.com</v>
      </c>
      <c r="Q8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88" t="str" cm="1">
        <f t="array" ref="R88">_xlfn.REDUCE(Q88, {"-","/","_","\","(",")"}, _xlfn.LAMBDA(_xlpm.txt,_xlpm.itm, SUBSTITUTE(_xlpm.txt, _xlpm.itm, "")))</f>
        <v>1234567890</v>
      </c>
      <c r="S88" s="3">
        <f>IFERROR(_xlfn.XLOOKUP(tbl_HR_Data[[#This Row],[Joining Date]], Mapping[Joining_Discarded], Mapping[Joining_Correction]), VALUE(tbl_HR_Data[[#This Row],[Joining Date]]))</f>
        <v>43195</v>
      </c>
      <c r="T88" t="str">
        <f>TEXT(tbl_HR_Data[[#This Row],[Joining Date]], "mmm")</f>
        <v>Apr</v>
      </c>
      <c r="U88" t="str">
        <f>TEXT(tbl_HR_Data[[#This Row],[Joining Date]], "ddd")</f>
        <v>Thu</v>
      </c>
    </row>
    <row r="89" spans="1:21" x14ac:dyDescent="0.35">
      <c r="A89" t="s">
        <v>104</v>
      </c>
      <c r="B89">
        <v>0</v>
      </c>
      <c r="C89">
        <v>55000</v>
      </c>
      <c r="D89" t="s">
        <v>36</v>
      </c>
      <c r="E89" t="s">
        <v>12</v>
      </c>
      <c r="F89" t="s">
        <v>39</v>
      </c>
      <c r="G89" s="3">
        <v>43195</v>
      </c>
      <c r="H89" t="str">
        <f>TEXT(tbl_HR_Data[[#This Row],[Joining Date]], "mmm")</f>
        <v>Apr</v>
      </c>
      <c r="I89" t="s">
        <v>92</v>
      </c>
      <c r="J89" t="s">
        <v>27</v>
      </c>
      <c r="K89" t="s">
        <v>15</v>
      </c>
      <c r="L89" t="s">
        <v>87</v>
      </c>
      <c r="M89">
        <f>IFERROR( _xlfn.XLOOKUP(TRIM(tbl_HR_Data[[#This Row],[Age]]),#REF!,#REF!), VALUE(TRIM(tbl_HR_Data[[#This Row],[Age]])))</f>
        <v>0</v>
      </c>
      <c r="N89" t="str">
        <f>IFERROR(_xlfn.XLOOKUP(tbl_HR_Data[[#This Row],[Gender]], Mapping[Gender _Discarded], Mapping[Gender_Correction]), PROPER(TRIM(tbl_HR_Data[[#This Row],[Gender]])))</f>
        <v>Other</v>
      </c>
      <c r="O89" t="str">
        <f>TRIM(tbl_HR_Data[[#This Row],[Position]])</f>
        <v>Clerk</v>
      </c>
      <c r="P89" t="str">
        <f>IFERROR(_xlfn.XLOOKUP(tbl_HR_Data[[#This Row],[Email]], Mapping[Email_Discarded], Mapping[Email_Correction]), LOWER(TRIM(tbl_HR_Data[[#This Row],[Email]])))</f>
        <v>email@example.com</v>
      </c>
      <c r="Q8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89" t="str" cm="1">
        <f t="array" ref="R89">_xlfn.REDUCE(Q89, {"-","/","_","\","(",")"}, _xlfn.LAMBDA(_xlpm.txt,_xlpm.itm, SUBSTITUTE(_xlpm.txt, _xlpm.itm, "")))</f>
        <v>1234567890</v>
      </c>
      <c r="S89" s="3">
        <f>IFERROR(_xlfn.XLOOKUP(tbl_HR_Data[[#This Row],[Joining Date]], Mapping[Joining_Discarded], Mapping[Joining_Correction]), VALUE(tbl_HR_Data[[#This Row],[Joining Date]]))</f>
        <v>43195</v>
      </c>
      <c r="T89" t="str">
        <f>TEXT(tbl_HR_Data[[#This Row],[Joining Date]], "mmm")</f>
        <v>Apr</v>
      </c>
      <c r="U89" t="str">
        <f>TEXT(tbl_HR_Data[[#This Row],[Joining Date]], "ddd")</f>
        <v>Thu</v>
      </c>
    </row>
    <row r="90" spans="1:21" x14ac:dyDescent="0.35">
      <c r="A90" t="s">
        <v>104</v>
      </c>
      <c r="B90">
        <v>35</v>
      </c>
      <c r="C90">
        <v>70000</v>
      </c>
      <c r="D90" t="s">
        <v>11</v>
      </c>
      <c r="E90" t="s">
        <v>26</v>
      </c>
      <c r="F90" t="s">
        <v>43</v>
      </c>
      <c r="G90" s="3">
        <v>43195</v>
      </c>
      <c r="H90" t="str">
        <f>TEXT(tbl_HR_Data[[#This Row],[Joining Date]], "mmm")</f>
        <v>Apr</v>
      </c>
      <c r="I90" t="s">
        <v>92</v>
      </c>
      <c r="J90" t="s">
        <v>21</v>
      </c>
      <c r="K90" t="s">
        <v>77</v>
      </c>
      <c r="L90" t="s">
        <v>87</v>
      </c>
      <c r="M90">
        <f>IFERROR( _xlfn.XLOOKUP(TRIM(tbl_HR_Data[[#This Row],[Age]]),#REF!,#REF!), VALUE(TRIM(tbl_HR_Data[[#This Row],[Age]])))</f>
        <v>35</v>
      </c>
      <c r="N90" t="str">
        <f>IFERROR(_xlfn.XLOOKUP(tbl_HR_Data[[#This Row],[Gender]], Mapping[Gender _Discarded], Mapping[Gender_Correction]), PROPER(TRIM(tbl_HR_Data[[#This Row],[Gender]])))</f>
        <v>Male</v>
      </c>
      <c r="O90" t="str">
        <f>TRIM(tbl_HR_Data[[#This Row],[Position]])</f>
        <v>Assistant</v>
      </c>
      <c r="P90" t="str">
        <f>IFERROR(_xlfn.XLOOKUP(tbl_HR_Data[[#This Row],[Email]], Mapping[Email_Discarded], Mapping[Email_Correction]), LOWER(TRIM(tbl_HR_Data[[#This Row],[Email]])))</f>
        <v>not provided</v>
      </c>
      <c r="Q9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0" t="str" cm="1">
        <f t="array" ref="R90">_xlfn.REDUCE(Q90, {"-","/","_","\","(",")"}, _xlfn.LAMBDA(_xlpm.txt,_xlpm.itm, SUBSTITUTE(_xlpm.txt, _xlpm.itm, "")))</f>
        <v>1234567890</v>
      </c>
      <c r="S90" s="3">
        <f>IFERROR(_xlfn.XLOOKUP(tbl_HR_Data[[#This Row],[Joining Date]], Mapping[Joining_Discarded], Mapping[Joining_Correction]), VALUE(tbl_HR_Data[[#This Row],[Joining Date]]))</f>
        <v>43195</v>
      </c>
      <c r="T90" t="str">
        <f>TEXT(tbl_HR_Data[[#This Row],[Joining Date]], "mmm")</f>
        <v>Apr</v>
      </c>
      <c r="U90" t="str">
        <f>TEXT(tbl_HR_Data[[#This Row],[Joining Date]], "ddd")</f>
        <v>Thu</v>
      </c>
    </row>
    <row r="91" spans="1:21" x14ac:dyDescent="0.35">
      <c r="A91" t="s">
        <v>105</v>
      </c>
      <c r="B91">
        <v>30</v>
      </c>
      <c r="C91">
        <v>55000</v>
      </c>
      <c r="D91" t="s">
        <v>36</v>
      </c>
      <c r="E91" t="s">
        <v>12</v>
      </c>
      <c r="F91" t="s">
        <v>43</v>
      </c>
      <c r="G91" s="3">
        <v>43195</v>
      </c>
      <c r="H91" t="str">
        <f>TEXT(tbl_HR_Data[[#This Row],[Joining Date]], "mmm")</f>
        <v>Apr</v>
      </c>
      <c r="I91" t="s">
        <v>92</v>
      </c>
      <c r="J91" t="s">
        <v>41</v>
      </c>
      <c r="K91" t="s">
        <v>15</v>
      </c>
      <c r="L91" t="s">
        <v>77</v>
      </c>
      <c r="M91">
        <f>IFERROR( _xlfn.XLOOKUP(TRIM(tbl_HR_Data[[#This Row],[Age]]),#REF!,#REF!), VALUE(TRIM(tbl_HR_Data[[#This Row],[Age]])))</f>
        <v>30</v>
      </c>
      <c r="N91" t="str">
        <f>IFERROR(_xlfn.XLOOKUP(tbl_HR_Data[[#This Row],[Gender]], Mapping[Gender _Discarded], Mapping[Gender_Correction]), PROPER(TRIM(tbl_HR_Data[[#This Row],[Gender]])))</f>
        <v>Other</v>
      </c>
      <c r="O91" t="str">
        <f>TRIM(tbl_HR_Data[[#This Row],[Position]])</f>
        <v>Assistant</v>
      </c>
      <c r="P91" t="str">
        <f>IFERROR(_xlfn.XLOOKUP(tbl_HR_Data[[#This Row],[Email]], Mapping[Email_Discarded], Mapping[Email_Correction]), LOWER(TRIM(tbl_HR_Data[[#This Row],[Email]])))</f>
        <v>email@example.com</v>
      </c>
      <c r="Q9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1" t="str" cm="1">
        <f t="array" ref="R91">_xlfn.REDUCE(Q91, {"-","/","_","\","(",")"}, _xlfn.LAMBDA(_xlpm.txt,_xlpm.itm, SUBSTITUTE(_xlpm.txt, _xlpm.itm, "")))</f>
        <v>Not Provided</v>
      </c>
      <c r="S91" s="3">
        <f>IFERROR(_xlfn.XLOOKUP(tbl_HR_Data[[#This Row],[Joining Date]], Mapping[Joining_Discarded], Mapping[Joining_Correction]), VALUE(tbl_HR_Data[[#This Row],[Joining Date]]))</f>
        <v>43195</v>
      </c>
      <c r="T91" t="str">
        <f>TEXT(tbl_HR_Data[[#This Row],[Joining Date]], "mmm")</f>
        <v>Apr</v>
      </c>
      <c r="U91" t="str">
        <f>TEXT(tbl_HR_Data[[#This Row],[Joining Date]], "ddd")</f>
        <v>Thu</v>
      </c>
    </row>
    <row r="92" spans="1:21" x14ac:dyDescent="0.35">
      <c r="A92" t="s">
        <v>107</v>
      </c>
      <c r="B92">
        <v>25</v>
      </c>
      <c r="C92">
        <v>70000</v>
      </c>
      <c r="D92" t="s">
        <v>36</v>
      </c>
      <c r="E92" t="s">
        <v>19</v>
      </c>
      <c r="F92" t="s">
        <v>43</v>
      </c>
      <c r="G92" s="3">
        <v>43195</v>
      </c>
      <c r="H92" t="str">
        <f>TEXT(tbl_HR_Data[[#This Row],[Joining Date]], "mmm")</f>
        <v>Apr</v>
      </c>
      <c r="I92" t="s">
        <v>92</v>
      </c>
      <c r="J92" t="s">
        <v>21</v>
      </c>
      <c r="K92" t="s">
        <v>77</v>
      </c>
      <c r="L92" t="s">
        <v>87</v>
      </c>
      <c r="M92">
        <f>IFERROR( _xlfn.XLOOKUP(TRIM(tbl_HR_Data[[#This Row],[Age]]),#REF!,#REF!), VALUE(TRIM(tbl_HR_Data[[#This Row],[Age]])))</f>
        <v>25</v>
      </c>
      <c r="N92" t="str">
        <f>IFERROR(_xlfn.XLOOKUP(tbl_HR_Data[[#This Row],[Gender]], Mapping[Gender _Discarded], Mapping[Gender_Correction]), PROPER(TRIM(tbl_HR_Data[[#This Row],[Gender]])))</f>
        <v>Other</v>
      </c>
      <c r="O92" t="str">
        <f>TRIM(tbl_HR_Data[[#This Row],[Position]])</f>
        <v>Assistant</v>
      </c>
      <c r="P92" t="str">
        <f>IFERROR(_xlfn.XLOOKUP(tbl_HR_Data[[#This Row],[Email]], Mapping[Email_Discarded], Mapping[Email_Correction]), LOWER(TRIM(tbl_HR_Data[[#This Row],[Email]])))</f>
        <v>not provided</v>
      </c>
      <c r="Q9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2" t="str" cm="1">
        <f t="array" ref="R92">_xlfn.REDUCE(Q92, {"-","/","_","\","(",")"}, _xlfn.LAMBDA(_xlpm.txt,_xlpm.itm, SUBSTITUTE(_xlpm.txt, _xlpm.itm, "")))</f>
        <v>1234567890</v>
      </c>
      <c r="S92" s="3">
        <f>IFERROR(_xlfn.XLOOKUP(tbl_HR_Data[[#This Row],[Joining Date]], Mapping[Joining_Discarded], Mapping[Joining_Correction]), VALUE(tbl_HR_Data[[#This Row],[Joining Date]]))</f>
        <v>43195</v>
      </c>
      <c r="T92" t="str">
        <f>TEXT(tbl_HR_Data[[#This Row],[Joining Date]], "mmm")</f>
        <v>Apr</v>
      </c>
      <c r="U92" t="str">
        <f>TEXT(tbl_HR_Data[[#This Row],[Joining Date]], "ddd")</f>
        <v>Thu</v>
      </c>
    </row>
    <row r="93" spans="1:21" x14ac:dyDescent="0.35">
      <c r="A93" t="s">
        <v>99</v>
      </c>
      <c r="B93">
        <v>40</v>
      </c>
      <c r="C93">
        <v>50000</v>
      </c>
      <c r="D93" t="s">
        <v>18</v>
      </c>
      <c r="E93" t="s">
        <v>37</v>
      </c>
      <c r="F93" t="s">
        <v>44</v>
      </c>
      <c r="G93" s="3">
        <v>43195</v>
      </c>
      <c r="H93" t="str">
        <f>TEXT(tbl_HR_Data[[#This Row],[Joining Date]], "mmm")</f>
        <v>Apr</v>
      </c>
      <c r="I93" t="s">
        <v>92</v>
      </c>
      <c r="J93" t="s">
        <v>27</v>
      </c>
      <c r="K93" t="s">
        <v>15</v>
      </c>
      <c r="L93" t="s">
        <v>89</v>
      </c>
      <c r="M93">
        <f>IFERROR( _xlfn.XLOOKUP(TRIM(tbl_HR_Data[[#This Row],[Age]]),#REF!,#REF!), VALUE(TRIM(tbl_HR_Data[[#This Row],[Age]])))</f>
        <v>40</v>
      </c>
      <c r="N93" t="str">
        <f>IFERROR(_xlfn.XLOOKUP(tbl_HR_Data[[#This Row],[Gender]], Mapping[Gender _Discarded], Mapping[Gender_Correction]), PROPER(TRIM(tbl_HR_Data[[#This Row],[Gender]])))</f>
        <v>Female</v>
      </c>
      <c r="O93" t="str">
        <f>TRIM(tbl_HR_Data[[#This Row],[Position]])</f>
        <v>Analyst</v>
      </c>
      <c r="P93" t="str">
        <f>IFERROR(_xlfn.XLOOKUP(tbl_HR_Data[[#This Row],[Email]], Mapping[Email_Discarded], Mapping[Email_Correction]), LOWER(TRIM(tbl_HR_Data[[#This Row],[Email]])))</f>
        <v>email@example.com</v>
      </c>
      <c r="Q9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93" t="str" cm="1">
        <f t="array" ref="R93">_xlfn.REDUCE(Q93, {"-","/","_","\","(",")"}, _xlfn.LAMBDA(_xlpm.txt,_xlpm.itm, SUBSTITUTE(_xlpm.txt, _xlpm.itm, "")))</f>
        <v>5555555555</v>
      </c>
      <c r="S93" s="3">
        <f>IFERROR(_xlfn.XLOOKUP(tbl_HR_Data[[#This Row],[Joining Date]], Mapping[Joining_Discarded], Mapping[Joining_Correction]), VALUE(tbl_HR_Data[[#This Row],[Joining Date]]))</f>
        <v>43195</v>
      </c>
      <c r="T93" t="str">
        <f>TEXT(tbl_HR_Data[[#This Row],[Joining Date]], "mmm")</f>
        <v>Apr</v>
      </c>
      <c r="U93" t="str">
        <f>TEXT(tbl_HR_Data[[#This Row],[Joining Date]], "ddd")</f>
        <v>Thu</v>
      </c>
    </row>
    <row r="94" spans="1:21" x14ac:dyDescent="0.35">
      <c r="A94" t="s">
        <v>99</v>
      </c>
      <c r="B94">
        <v>25</v>
      </c>
      <c r="C94">
        <v>70000</v>
      </c>
      <c r="D94" t="s">
        <v>18</v>
      </c>
      <c r="E94" t="s">
        <v>26</v>
      </c>
      <c r="F94" t="s">
        <v>20</v>
      </c>
      <c r="G94" s="3">
        <v>43195</v>
      </c>
      <c r="H94" t="str">
        <f>TEXT(tbl_HR_Data[[#This Row],[Joining Date]], "mmm")</f>
        <v>Apr</v>
      </c>
      <c r="I94" t="s">
        <v>92</v>
      </c>
      <c r="J94" t="s">
        <v>21</v>
      </c>
      <c r="K94" t="s">
        <v>32</v>
      </c>
      <c r="L94" t="s">
        <v>89</v>
      </c>
      <c r="M94">
        <f>IFERROR( _xlfn.XLOOKUP(TRIM(tbl_HR_Data[[#This Row],[Age]]),#REF!,#REF!), VALUE(TRIM(tbl_HR_Data[[#This Row],[Age]])))</f>
        <v>25</v>
      </c>
      <c r="N94" t="str">
        <f>IFERROR(_xlfn.XLOOKUP(tbl_HR_Data[[#This Row],[Gender]], Mapping[Gender _Discarded], Mapping[Gender_Correction]), PROPER(TRIM(tbl_HR_Data[[#This Row],[Gender]])))</f>
        <v>Female</v>
      </c>
      <c r="O94" t="str">
        <f>TRIM(tbl_HR_Data[[#This Row],[Position]])</f>
        <v>Director</v>
      </c>
      <c r="P94" t="str">
        <f>IFERROR(_xlfn.XLOOKUP(tbl_HR_Data[[#This Row],[Email]], Mapping[Email_Discarded], Mapping[Email_Correction]), LOWER(TRIM(tbl_HR_Data[[#This Row],[Email]])))</f>
        <v>name@company.org</v>
      </c>
      <c r="Q9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94" t="str" cm="1">
        <f t="array" ref="R94">_xlfn.REDUCE(Q94, {"-","/","_","\","(",")"}, _xlfn.LAMBDA(_xlpm.txt,_xlpm.itm, SUBSTITUTE(_xlpm.txt, _xlpm.itm, "")))</f>
        <v>5555555555</v>
      </c>
      <c r="S94" s="3">
        <f>IFERROR(_xlfn.XLOOKUP(tbl_HR_Data[[#This Row],[Joining Date]], Mapping[Joining_Discarded], Mapping[Joining_Correction]), VALUE(tbl_HR_Data[[#This Row],[Joining Date]]))</f>
        <v>43195</v>
      </c>
      <c r="T94" t="str">
        <f>TEXT(tbl_HR_Data[[#This Row],[Joining Date]], "mmm")</f>
        <v>Apr</v>
      </c>
      <c r="U94" t="str">
        <f>TEXT(tbl_HR_Data[[#This Row],[Joining Date]], "ddd")</f>
        <v>Thu</v>
      </c>
    </row>
    <row r="95" spans="1:21" x14ac:dyDescent="0.35">
      <c r="A95" t="s">
        <v>103</v>
      </c>
      <c r="B95">
        <v>25</v>
      </c>
      <c r="C95">
        <v>0</v>
      </c>
      <c r="D95" t="s">
        <v>11</v>
      </c>
      <c r="E95" t="s">
        <v>26</v>
      </c>
      <c r="F95" t="s">
        <v>43</v>
      </c>
      <c r="G95" s="3">
        <v>43195</v>
      </c>
      <c r="H95" t="str">
        <f>TEXT(tbl_HR_Data[[#This Row],[Joining Date]], "mmm")</f>
        <v>Apr</v>
      </c>
      <c r="I95" t="s">
        <v>92</v>
      </c>
      <c r="J95" t="s">
        <v>21</v>
      </c>
      <c r="K95" t="s">
        <v>22</v>
      </c>
      <c r="L95" t="s">
        <v>87</v>
      </c>
      <c r="M95">
        <f>IFERROR( _xlfn.XLOOKUP(TRIM(tbl_HR_Data[[#This Row],[Age]]),#REF!,#REF!), VALUE(TRIM(tbl_HR_Data[[#This Row],[Age]])))</f>
        <v>25</v>
      </c>
      <c r="N95" t="str">
        <f>IFERROR(_xlfn.XLOOKUP(tbl_HR_Data[[#This Row],[Gender]], Mapping[Gender _Discarded], Mapping[Gender_Correction]), PROPER(TRIM(tbl_HR_Data[[#This Row],[Gender]])))</f>
        <v>Male</v>
      </c>
      <c r="O95" t="str">
        <f>TRIM(tbl_HR_Data[[#This Row],[Position]])</f>
        <v>Assistant</v>
      </c>
      <c r="P95" t="str">
        <f>IFERROR(_xlfn.XLOOKUP(tbl_HR_Data[[#This Row],[Email]], Mapping[Email_Discarded], Mapping[Email_Correction]), LOWER(TRIM(tbl_HR_Data[[#This Row],[Email]])))</f>
        <v>user@domain.com</v>
      </c>
      <c r="Q9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5" t="str" cm="1">
        <f t="array" ref="R95">_xlfn.REDUCE(Q95, {"-","/","_","\","(",")"}, _xlfn.LAMBDA(_xlpm.txt,_xlpm.itm, SUBSTITUTE(_xlpm.txt, _xlpm.itm, "")))</f>
        <v>1234567890</v>
      </c>
      <c r="S95" s="3">
        <f>IFERROR(_xlfn.XLOOKUP(tbl_HR_Data[[#This Row],[Joining Date]], Mapping[Joining_Discarded], Mapping[Joining_Correction]), VALUE(tbl_HR_Data[[#This Row],[Joining Date]]))</f>
        <v>43195</v>
      </c>
      <c r="T95" t="str">
        <f>TEXT(tbl_HR_Data[[#This Row],[Joining Date]], "mmm")</f>
        <v>Apr</v>
      </c>
      <c r="U95" t="str">
        <f>TEXT(tbl_HR_Data[[#This Row],[Joining Date]], "ddd")</f>
        <v>Thu</v>
      </c>
    </row>
    <row r="96" spans="1:21" x14ac:dyDescent="0.35">
      <c r="A96" t="s">
        <v>106</v>
      </c>
      <c r="B96">
        <v>30</v>
      </c>
      <c r="C96">
        <v>0</v>
      </c>
      <c r="D96" t="s">
        <v>18</v>
      </c>
      <c r="E96" t="s">
        <v>26</v>
      </c>
      <c r="F96" t="s">
        <v>43</v>
      </c>
      <c r="G96" s="3">
        <v>43195</v>
      </c>
      <c r="H96" t="str">
        <f>TEXT(tbl_HR_Data[[#This Row],[Joining Date]], "mmm")</f>
        <v>Apr</v>
      </c>
      <c r="I96" t="s">
        <v>92</v>
      </c>
      <c r="J96" t="s">
        <v>41</v>
      </c>
      <c r="K96" t="s">
        <v>32</v>
      </c>
      <c r="L96" t="s">
        <v>87</v>
      </c>
      <c r="M96">
        <f>IFERROR( _xlfn.XLOOKUP(TRIM(tbl_HR_Data[[#This Row],[Age]]),#REF!,#REF!), VALUE(TRIM(tbl_HR_Data[[#This Row],[Age]])))</f>
        <v>30</v>
      </c>
      <c r="N96" t="str">
        <f>IFERROR(_xlfn.XLOOKUP(tbl_HR_Data[[#This Row],[Gender]], Mapping[Gender _Discarded], Mapping[Gender_Correction]), PROPER(TRIM(tbl_HR_Data[[#This Row],[Gender]])))</f>
        <v>Female</v>
      </c>
      <c r="O96" t="str">
        <f>TRIM(tbl_HR_Data[[#This Row],[Position]])</f>
        <v>Assistant</v>
      </c>
      <c r="P96" t="str">
        <f>IFERROR(_xlfn.XLOOKUP(tbl_HR_Data[[#This Row],[Email]], Mapping[Email_Discarded], Mapping[Email_Correction]), LOWER(TRIM(tbl_HR_Data[[#This Row],[Email]])))</f>
        <v>name@company.org</v>
      </c>
      <c r="Q9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6" t="str" cm="1">
        <f t="array" ref="R96">_xlfn.REDUCE(Q96, {"-","/","_","\","(",")"}, _xlfn.LAMBDA(_xlpm.txt,_xlpm.itm, SUBSTITUTE(_xlpm.txt, _xlpm.itm, "")))</f>
        <v>1234567890</v>
      </c>
      <c r="S96" s="3">
        <f>IFERROR(_xlfn.XLOOKUP(tbl_HR_Data[[#This Row],[Joining Date]], Mapping[Joining_Discarded], Mapping[Joining_Correction]), VALUE(tbl_HR_Data[[#This Row],[Joining Date]]))</f>
        <v>43195</v>
      </c>
      <c r="T96" t="str">
        <f>TEXT(tbl_HR_Data[[#This Row],[Joining Date]], "mmm")</f>
        <v>Apr</v>
      </c>
      <c r="U96" t="str">
        <f>TEXT(tbl_HR_Data[[#This Row],[Joining Date]], "ddd")</f>
        <v>Thu</v>
      </c>
    </row>
    <row r="97" spans="1:21" x14ac:dyDescent="0.35">
      <c r="A97" t="s">
        <v>105</v>
      </c>
      <c r="B97">
        <v>40</v>
      </c>
      <c r="C97">
        <v>50000</v>
      </c>
      <c r="D97" t="s">
        <v>36</v>
      </c>
      <c r="E97" t="s">
        <v>26</v>
      </c>
      <c r="F97" t="s">
        <v>43</v>
      </c>
      <c r="G97" s="3">
        <v>43195</v>
      </c>
      <c r="H97" t="str">
        <f>TEXT(tbl_HR_Data[[#This Row],[Joining Date]], "mmm")</f>
        <v>Apr</v>
      </c>
      <c r="I97" t="s">
        <v>92</v>
      </c>
      <c r="J97" t="s">
        <v>21</v>
      </c>
      <c r="K97" t="s">
        <v>22</v>
      </c>
      <c r="L97" t="s">
        <v>88</v>
      </c>
      <c r="M97">
        <f>IFERROR( _xlfn.XLOOKUP(TRIM(tbl_HR_Data[[#This Row],[Age]]),#REF!,#REF!), VALUE(TRIM(tbl_HR_Data[[#This Row],[Age]])))</f>
        <v>40</v>
      </c>
      <c r="N97" t="str">
        <f>IFERROR(_xlfn.XLOOKUP(tbl_HR_Data[[#This Row],[Gender]], Mapping[Gender _Discarded], Mapping[Gender_Correction]), PROPER(TRIM(tbl_HR_Data[[#This Row],[Gender]])))</f>
        <v>Other</v>
      </c>
      <c r="O97" t="str">
        <f>TRIM(tbl_HR_Data[[#This Row],[Position]])</f>
        <v>Assistant</v>
      </c>
      <c r="P97" t="str">
        <f>IFERROR(_xlfn.XLOOKUP(tbl_HR_Data[[#This Row],[Email]], Mapping[Email_Discarded], Mapping[Email_Correction]), LOWER(TRIM(tbl_HR_Data[[#This Row],[Email]])))</f>
        <v>user@domain.com</v>
      </c>
      <c r="Q9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97" t="str" cm="1">
        <f t="array" ref="R97">_xlfn.REDUCE(Q97, {"-","/","_","\","(",")"}, _xlfn.LAMBDA(_xlpm.txt,_xlpm.itm, SUBSTITUTE(_xlpm.txt, _xlpm.itm, "")))</f>
        <v>0987654321</v>
      </c>
      <c r="S97" s="3">
        <f>IFERROR(_xlfn.XLOOKUP(tbl_HR_Data[[#This Row],[Joining Date]], Mapping[Joining_Discarded], Mapping[Joining_Correction]), VALUE(tbl_HR_Data[[#This Row],[Joining Date]]))</f>
        <v>43195</v>
      </c>
      <c r="T97" t="str">
        <f>TEXT(tbl_HR_Data[[#This Row],[Joining Date]], "mmm")</f>
        <v>Apr</v>
      </c>
      <c r="U97" t="str">
        <f>TEXT(tbl_HR_Data[[#This Row],[Joining Date]], "ddd")</f>
        <v>Thu</v>
      </c>
    </row>
    <row r="98" spans="1:21" x14ac:dyDescent="0.35">
      <c r="A98" t="s">
        <v>105</v>
      </c>
      <c r="B98">
        <v>0</v>
      </c>
      <c r="C98">
        <v>55000</v>
      </c>
      <c r="D98" t="s">
        <v>36</v>
      </c>
      <c r="E98" t="s">
        <v>26</v>
      </c>
      <c r="F98" t="s">
        <v>43</v>
      </c>
      <c r="G98" s="3">
        <v>43195</v>
      </c>
      <c r="H98" t="str">
        <f>TEXT(tbl_HR_Data[[#This Row],[Joining Date]], "mmm")</f>
        <v>Apr</v>
      </c>
      <c r="I98" t="s">
        <v>92</v>
      </c>
      <c r="J98" t="s">
        <v>31</v>
      </c>
      <c r="K98" t="s">
        <v>15</v>
      </c>
      <c r="L98" t="s">
        <v>88</v>
      </c>
      <c r="M98">
        <f>IFERROR( _xlfn.XLOOKUP(TRIM(tbl_HR_Data[[#This Row],[Age]]),#REF!,#REF!), VALUE(TRIM(tbl_HR_Data[[#This Row],[Age]])))</f>
        <v>0</v>
      </c>
      <c r="N98" t="str">
        <f>IFERROR(_xlfn.XLOOKUP(tbl_HR_Data[[#This Row],[Gender]], Mapping[Gender _Discarded], Mapping[Gender_Correction]), PROPER(TRIM(tbl_HR_Data[[#This Row],[Gender]])))</f>
        <v>Other</v>
      </c>
      <c r="O98" t="str">
        <f>TRIM(tbl_HR_Data[[#This Row],[Position]])</f>
        <v>Assistant</v>
      </c>
      <c r="P98" t="str">
        <f>IFERROR(_xlfn.XLOOKUP(tbl_HR_Data[[#This Row],[Email]], Mapping[Email_Discarded], Mapping[Email_Correction]), LOWER(TRIM(tbl_HR_Data[[#This Row],[Email]])))</f>
        <v>email@example.com</v>
      </c>
      <c r="Q9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98" t="str" cm="1">
        <f t="array" ref="R98">_xlfn.REDUCE(Q98, {"-","/","_","\","(",")"}, _xlfn.LAMBDA(_xlpm.txt,_xlpm.itm, SUBSTITUTE(_xlpm.txt, _xlpm.itm, "")))</f>
        <v>0987654321</v>
      </c>
      <c r="S98" s="3">
        <f>IFERROR(_xlfn.XLOOKUP(tbl_HR_Data[[#This Row],[Joining Date]], Mapping[Joining_Discarded], Mapping[Joining_Correction]), VALUE(tbl_HR_Data[[#This Row],[Joining Date]]))</f>
        <v>43195</v>
      </c>
      <c r="T98" t="str">
        <f>TEXT(tbl_HR_Data[[#This Row],[Joining Date]], "mmm")</f>
        <v>Apr</v>
      </c>
      <c r="U98" t="str">
        <f>TEXT(tbl_HR_Data[[#This Row],[Joining Date]], "ddd")</f>
        <v>Thu</v>
      </c>
    </row>
    <row r="99" spans="1:21" x14ac:dyDescent="0.35">
      <c r="A99" t="s">
        <v>102</v>
      </c>
      <c r="B99">
        <v>25</v>
      </c>
      <c r="C99">
        <v>60000</v>
      </c>
      <c r="D99" t="s">
        <v>11</v>
      </c>
      <c r="E99" t="s">
        <v>19</v>
      </c>
      <c r="F99" t="s">
        <v>39</v>
      </c>
      <c r="G99" s="3">
        <v>43195</v>
      </c>
      <c r="H99" t="str">
        <f>TEXT(tbl_HR_Data[[#This Row],[Joining Date]], "mmm")</f>
        <v>Apr</v>
      </c>
      <c r="I99" t="s">
        <v>92</v>
      </c>
      <c r="J99" t="s">
        <v>21</v>
      </c>
      <c r="K99" t="s">
        <v>77</v>
      </c>
      <c r="L99" t="s">
        <v>77</v>
      </c>
      <c r="M99">
        <f>IFERROR( _xlfn.XLOOKUP(TRIM(tbl_HR_Data[[#This Row],[Age]]),#REF!,#REF!), VALUE(TRIM(tbl_HR_Data[[#This Row],[Age]])))</f>
        <v>25</v>
      </c>
      <c r="N99" t="str">
        <f>IFERROR(_xlfn.XLOOKUP(tbl_HR_Data[[#This Row],[Gender]], Mapping[Gender _Discarded], Mapping[Gender_Correction]), PROPER(TRIM(tbl_HR_Data[[#This Row],[Gender]])))</f>
        <v>Male</v>
      </c>
      <c r="O99" t="str">
        <f>TRIM(tbl_HR_Data[[#This Row],[Position]])</f>
        <v>Clerk</v>
      </c>
      <c r="P99" t="str">
        <f>IFERROR(_xlfn.XLOOKUP(tbl_HR_Data[[#This Row],[Email]], Mapping[Email_Discarded], Mapping[Email_Correction]), LOWER(TRIM(tbl_HR_Data[[#This Row],[Email]])))</f>
        <v>not provided</v>
      </c>
      <c r="Q9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9" t="str" cm="1">
        <f t="array" ref="R99">_xlfn.REDUCE(Q99, {"-","/","_","\","(",")"}, _xlfn.LAMBDA(_xlpm.txt,_xlpm.itm, SUBSTITUTE(_xlpm.txt, _xlpm.itm, "")))</f>
        <v>Not Provided</v>
      </c>
      <c r="S99" s="3">
        <f>IFERROR(_xlfn.XLOOKUP(tbl_HR_Data[[#This Row],[Joining Date]], Mapping[Joining_Discarded], Mapping[Joining_Correction]), VALUE(tbl_HR_Data[[#This Row],[Joining Date]]))</f>
        <v>43195</v>
      </c>
      <c r="T99" t="str">
        <f>TEXT(tbl_HR_Data[[#This Row],[Joining Date]], "mmm")</f>
        <v>Apr</v>
      </c>
      <c r="U99" t="str">
        <f>TEXT(tbl_HR_Data[[#This Row],[Joining Date]], "ddd")</f>
        <v>Thu</v>
      </c>
    </row>
    <row r="100" spans="1:21" x14ac:dyDescent="0.35">
      <c r="A100" t="s">
        <v>102</v>
      </c>
      <c r="B100">
        <v>40</v>
      </c>
      <c r="C100">
        <v>70000</v>
      </c>
      <c r="D100" t="s">
        <v>18</v>
      </c>
      <c r="E100" t="s">
        <v>37</v>
      </c>
      <c r="F100" t="s">
        <v>44</v>
      </c>
      <c r="G100" s="3">
        <v>43195</v>
      </c>
      <c r="H100" t="str">
        <f>TEXT(tbl_HR_Data[[#This Row],[Joining Date]], "mmm")</f>
        <v>Apr</v>
      </c>
      <c r="I100" t="s">
        <v>92</v>
      </c>
      <c r="J100" t="s">
        <v>41</v>
      </c>
      <c r="K100" t="s">
        <v>32</v>
      </c>
      <c r="L100" t="s">
        <v>89</v>
      </c>
      <c r="M100">
        <f>IFERROR( _xlfn.XLOOKUP(TRIM(tbl_HR_Data[[#This Row],[Age]]),#REF!,#REF!), VALUE(TRIM(tbl_HR_Data[[#This Row],[Age]])))</f>
        <v>40</v>
      </c>
      <c r="N100" t="str">
        <f>IFERROR(_xlfn.XLOOKUP(tbl_HR_Data[[#This Row],[Gender]], Mapping[Gender _Discarded], Mapping[Gender_Correction]), PROPER(TRIM(tbl_HR_Data[[#This Row],[Gender]])))</f>
        <v>Female</v>
      </c>
      <c r="O100" t="str">
        <f>TRIM(tbl_HR_Data[[#This Row],[Position]])</f>
        <v>Analyst</v>
      </c>
      <c r="P100" t="str">
        <f>IFERROR(_xlfn.XLOOKUP(tbl_HR_Data[[#This Row],[Email]], Mapping[Email_Discarded], Mapping[Email_Correction]), LOWER(TRIM(tbl_HR_Data[[#This Row],[Email]])))</f>
        <v>name@company.org</v>
      </c>
      <c r="Q10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100" t="str" cm="1">
        <f t="array" ref="R100">_xlfn.REDUCE(Q100, {"-","/","_","\","(",")"}, _xlfn.LAMBDA(_xlpm.txt,_xlpm.itm, SUBSTITUTE(_xlpm.txt, _xlpm.itm, "")))</f>
        <v>5555555555</v>
      </c>
      <c r="S100" s="3">
        <f>IFERROR(_xlfn.XLOOKUP(tbl_HR_Data[[#This Row],[Joining Date]], Mapping[Joining_Discarded], Mapping[Joining_Correction]), VALUE(tbl_HR_Data[[#This Row],[Joining Date]]))</f>
        <v>43195</v>
      </c>
      <c r="T100" t="str">
        <f>TEXT(tbl_HR_Data[[#This Row],[Joining Date]], "mmm")</f>
        <v>Apr</v>
      </c>
      <c r="U100" t="str">
        <f>TEXT(tbl_HR_Data[[#This Row],[Joining Date]], "ddd")</f>
        <v>Thu</v>
      </c>
    </row>
    <row r="101" spans="1:21" x14ac:dyDescent="0.35">
      <c r="A101" t="s">
        <v>106</v>
      </c>
      <c r="B101">
        <v>25</v>
      </c>
      <c r="C101">
        <v>50000</v>
      </c>
      <c r="D101" t="s">
        <v>11</v>
      </c>
      <c r="E101" t="s">
        <v>37</v>
      </c>
      <c r="F101" t="s">
        <v>39</v>
      </c>
      <c r="G101" s="3">
        <v>43195</v>
      </c>
      <c r="H101" t="str">
        <f>TEXT(tbl_HR_Data[[#This Row],[Joining Date]], "mmm")</f>
        <v>Apr</v>
      </c>
      <c r="I101" t="s">
        <v>92</v>
      </c>
      <c r="J101" t="s">
        <v>21</v>
      </c>
      <c r="K101" t="s">
        <v>77</v>
      </c>
      <c r="L101" t="s">
        <v>77</v>
      </c>
      <c r="M101">
        <f>IFERROR( _xlfn.XLOOKUP(TRIM(tbl_HR_Data[[#This Row],[Age]]),#REF!,#REF!), VALUE(TRIM(tbl_HR_Data[[#This Row],[Age]])))</f>
        <v>25</v>
      </c>
      <c r="N101" t="str">
        <f>IFERROR(_xlfn.XLOOKUP(tbl_HR_Data[[#This Row],[Gender]], Mapping[Gender _Discarded], Mapping[Gender_Correction]), PROPER(TRIM(tbl_HR_Data[[#This Row],[Gender]])))</f>
        <v>Male</v>
      </c>
      <c r="O101" t="str">
        <f>TRIM(tbl_HR_Data[[#This Row],[Position]])</f>
        <v>Clerk</v>
      </c>
      <c r="P101" t="str">
        <f>IFERROR(_xlfn.XLOOKUP(tbl_HR_Data[[#This Row],[Email]], Mapping[Email_Discarded], Mapping[Email_Correction]), LOWER(TRIM(tbl_HR_Data[[#This Row],[Email]])))</f>
        <v>not provided</v>
      </c>
      <c r="Q10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01" t="str" cm="1">
        <f t="array" ref="R101">_xlfn.REDUCE(Q101, {"-","/","_","\","(",")"}, _xlfn.LAMBDA(_xlpm.txt,_xlpm.itm, SUBSTITUTE(_xlpm.txt, _xlpm.itm, "")))</f>
        <v>Not Provided</v>
      </c>
      <c r="S101" s="3">
        <f>IFERROR(_xlfn.XLOOKUP(tbl_HR_Data[[#This Row],[Joining Date]], Mapping[Joining_Discarded], Mapping[Joining_Correction]), VALUE(tbl_HR_Data[[#This Row],[Joining Date]]))</f>
        <v>43195</v>
      </c>
      <c r="T101" t="str">
        <f>TEXT(tbl_HR_Data[[#This Row],[Joining Date]], "mmm")</f>
        <v>Apr</v>
      </c>
      <c r="U101" t="str">
        <f>TEXT(tbl_HR_Data[[#This Row],[Joining Date]], "ddd")</f>
        <v>Thu</v>
      </c>
    </row>
    <row r="102" spans="1:21" x14ac:dyDescent="0.35">
      <c r="A102" t="s">
        <v>100</v>
      </c>
      <c r="B102">
        <v>50</v>
      </c>
      <c r="C102">
        <v>60000</v>
      </c>
      <c r="D102" t="s">
        <v>11</v>
      </c>
      <c r="E102" t="s">
        <v>19</v>
      </c>
      <c r="F102" t="s">
        <v>44</v>
      </c>
      <c r="G102" s="3">
        <v>43195</v>
      </c>
      <c r="H102" t="str">
        <f>TEXT(tbl_HR_Data[[#This Row],[Joining Date]], "mmm")</f>
        <v>Apr</v>
      </c>
      <c r="I102" t="s">
        <v>92</v>
      </c>
      <c r="J102" t="s">
        <v>31</v>
      </c>
      <c r="K102" t="s">
        <v>15</v>
      </c>
      <c r="L102" t="s">
        <v>87</v>
      </c>
      <c r="M102">
        <f>IFERROR( _xlfn.XLOOKUP(TRIM(tbl_HR_Data[[#This Row],[Age]]),#REF!,#REF!), VALUE(TRIM(tbl_HR_Data[[#This Row],[Age]])))</f>
        <v>50</v>
      </c>
      <c r="N102" t="str">
        <f>IFERROR(_xlfn.XLOOKUP(tbl_HR_Data[[#This Row],[Gender]], Mapping[Gender _Discarded], Mapping[Gender_Correction]), PROPER(TRIM(tbl_HR_Data[[#This Row],[Gender]])))</f>
        <v>Male</v>
      </c>
      <c r="O102" t="str">
        <f>TRIM(tbl_HR_Data[[#This Row],[Position]])</f>
        <v>Analyst</v>
      </c>
      <c r="P102" t="str">
        <f>IFERROR(_xlfn.XLOOKUP(tbl_HR_Data[[#This Row],[Email]], Mapping[Email_Discarded], Mapping[Email_Correction]), LOWER(TRIM(tbl_HR_Data[[#This Row],[Email]])))</f>
        <v>email@example.com</v>
      </c>
      <c r="Q10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02" t="str" cm="1">
        <f t="array" ref="R102">_xlfn.REDUCE(Q102, {"-","/","_","\","(",")"}, _xlfn.LAMBDA(_xlpm.txt,_xlpm.itm, SUBSTITUTE(_xlpm.txt, _xlpm.itm, "")))</f>
        <v>1234567890</v>
      </c>
      <c r="S102" s="3">
        <f>IFERROR(_xlfn.XLOOKUP(tbl_HR_Data[[#This Row],[Joining Date]], Mapping[Joining_Discarded], Mapping[Joining_Correction]), VALUE(tbl_HR_Data[[#This Row],[Joining Date]]))</f>
        <v>43195</v>
      </c>
      <c r="T102" t="str">
        <f>TEXT(tbl_HR_Data[[#This Row],[Joining Date]], "mmm")</f>
        <v>Apr</v>
      </c>
      <c r="U102" t="str">
        <f>TEXT(tbl_HR_Data[[#This Row],[Joining Date]], "ddd")</f>
        <v>Thu</v>
      </c>
    </row>
    <row r="103" spans="1:21" x14ac:dyDescent="0.35">
      <c r="A103" t="s">
        <v>103</v>
      </c>
      <c r="B103">
        <v>50</v>
      </c>
      <c r="C103">
        <v>55000</v>
      </c>
      <c r="D103" t="s">
        <v>18</v>
      </c>
      <c r="E103" t="s">
        <v>26</v>
      </c>
      <c r="F103" t="s">
        <v>13</v>
      </c>
      <c r="G103" s="3">
        <v>43195</v>
      </c>
      <c r="H103" t="str">
        <f>TEXT(tbl_HR_Data[[#This Row],[Joining Date]], "mmm")</f>
        <v>Apr</v>
      </c>
      <c r="I103" t="s">
        <v>92</v>
      </c>
      <c r="J103" t="s">
        <v>14</v>
      </c>
      <c r="K103" t="s">
        <v>32</v>
      </c>
      <c r="L103" t="s">
        <v>87</v>
      </c>
      <c r="M103">
        <f>IFERROR( _xlfn.XLOOKUP(TRIM(tbl_HR_Data[[#This Row],[Age]]),#REF!,#REF!), VALUE(TRIM(tbl_HR_Data[[#This Row],[Age]])))</f>
        <v>50</v>
      </c>
      <c r="N103" t="str">
        <f>IFERROR(_xlfn.XLOOKUP(tbl_HR_Data[[#This Row],[Gender]], Mapping[Gender _Discarded], Mapping[Gender_Correction]), PROPER(TRIM(tbl_HR_Data[[#This Row],[Gender]])))</f>
        <v>Female</v>
      </c>
      <c r="O103" t="str">
        <f>TRIM(tbl_HR_Data[[#This Row],[Position]])</f>
        <v>Manager</v>
      </c>
      <c r="P103" t="str">
        <f>IFERROR(_xlfn.XLOOKUP(tbl_HR_Data[[#This Row],[Email]], Mapping[Email_Discarded], Mapping[Email_Correction]), LOWER(TRIM(tbl_HR_Data[[#This Row],[Email]])))</f>
        <v>name@company.org</v>
      </c>
      <c r="Q10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03" t="str" cm="1">
        <f t="array" ref="R103">_xlfn.REDUCE(Q103, {"-","/","_","\","(",")"}, _xlfn.LAMBDA(_xlpm.txt,_xlpm.itm, SUBSTITUTE(_xlpm.txt, _xlpm.itm, "")))</f>
        <v>1234567890</v>
      </c>
      <c r="S103" s="3">
        <f>IFERROR(_xlfn.XLOOKUP(tbl_HR_Data[[#This Row],[Joining Date]], Mapping[Joining_Discarded], Mapping[Joining_Correction]), VALUE(tbl_HR_Data[[#This Row],[Joining Date]]))</f>
        <v>43195</v>
      </c>
      <c r="T103" t="str">
        <f>TEXT(tbl_HR_Data[[#This Row],[Joining Date]], "mmm")</f>
        <v>Apr</v>
      </c>
      <c r="U103" t="str">
        <f>TEXT(tbl_HR_Data[[#This Row],[Joining Date]], "ddd")</f>
        <v>Thu</v>
      </c>
    </row>
    <row r="104" spans="1:21" x14ac:dyDescent="0.35">
      <c r="A104" t="s">
        <v>106</v>
      </c>
      <c r="B104">
        <v>35</v>
      </c>
      <c r="C104">
        <v>50000</v>
      </c>
      <c r="D104" t="s">
        <v>11</v>
      </c>
      <c r="E104" t="s">
        <v>12</v>
      </c>
      <c r="F104" t="s">
        <v>44</v>
      </c>
      <c r="G104" s="3">
        <v>43195</v>
      </c>
      <c r="H104" t="str">
        <f>TEXT(tbl_HR_Data[[#This Row],[Joining Date]], "mmm")</f>
        <v>Apr</v>
      </c>
      <c r="I104" t="s">
        <v>92</v>
      </c>
      <c r="J104" t="s">
        <v>27</v>
      </c>
      <c r="K104" t="s">
        <v>77</v>
      </c>
      <c r="L104" t="s">
        <v>77</v>
      </c>
      <c r="M104">
        <f>IFERROR( _xlfn.XLOOKUP(TRIM(tbl_HR_Data[[#This Row],[Age]]),#REF!,#REF!), VALUE(TRIM(tbl_HR_Data[[#This Row],[Age]])))</f>
        <v>35</v>
      </c>
      <c r="N104" t="str">
        <f>IFERROR(_xlfn.XLOOKUP(tbl_HR_Data[[#This Row],[Gender]], Mapping[Gender _Discarded], Mapping[Gender_Correction]), PROPER(TRIM(tbl_HR_Data[[#This Row],[Gender]])))</f>
        <v>Male</v>
      </c>
      <c r="O104" t="str">
        <f>TRIM(tbl_HR_Data[[#This Row],[Position]])</f>
        <v>Analyst</v>
      </c>
      <c r="P104" t="str">
        <f>IFERROR(_xlfn.XLOOKUP(tbl_HR_Data[[#This Row],[Email]], Mapping[Email_Discarded], Mapping[Email_Correction]), LOWER(TRIM(tbl_HR_Data[[#This Row],[Email]])))</f>
        <v>not provided</v>
      </c>
      <c r="Q10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04" t="str" cm="1">
        <f t="array" ref="R104">_xlfn.REDUCE(Q104, {"-","/","_","\","(",")"}, _xlfn.LAMBDA(_xlpm.txt,_xlpm.itm, SUBSTITUTE(_xlpm.txt, _xlpm.itm, "")))</f>
        <v>Not Provided</v>
      </c>
      <c r="S104" s="3">
        <f>IFERROR(_xlfn.XLOOKUP(tbl_HR_Data[[#This Row],[Joining Date]], Mapping[Joining_Discarded], Mapping[Joining_Correction]), VALUE(tbl_HR_Data[[#This Row],[Joining Date]]))</f>
        <v>43195</v>
      </c>
      <c r="T104" t="str">
        <f>TEXT(tbl_HR_Data[[#This Row],[Joining Date]], "mmm")</f>
        <v>Apr</v>
      </c>
      <c r="U104" t="str">
        <f>TEXT(tbl_HR_Data[[#This Row],[Joining Date]], "ddd")</f>
        <v>Thu</v>
      </c>
    </row>
    <row r="105" spans="1:21" x14ac:dyDescent="0.35">
      <c r="A105" t="s">
        <v>102</v>
      </c>
      <c r="B105">
        <v>35</v>
      </c>
      <c r="C105">
        <v>50000</v>
      </c>
      <c r="D105" t="s">
        <v>36</v>
      </c>
      <c r="E105" t="s">
        <v>12</v>
      </c>
      <c r="F105" t="s">
        <v>43</v>
      </c>
      <c r="G105" s="3">
        <v>43195</v>
      </c>
      <c r="H105" t="str">
        <f>TEXT(tbl_HR_Data[[#This Row],[Joining Date]], "mmm")</f>
        <v>Apr</v>
      </c>
      <c r="I105" t="s">
        <v>92</v>
      </c>
      <c r="J105" t="s">
        <v>41</v>
      </c>
      <c r="K105" t="s">
        <v>77</v>
      </c>
      <c r="L105" t="s">
        <v>87</v>
      </c>
      <c r="M105">
        <f>IFERROR( _xlfn.XLOOKUP(TRIM(tbl_HR_Data[[#This Row],[Age]]),#REF!,#REF!), VALUE(TRIM(tbl_HR_Data[[#This Row],[Age]])))</f>
        <v>35</v>
      </c>
      <c r="N105" t="str">
        <f>IFERROR(_xlfn.XLOOKUP(tbl_HR_Data[[#This Row],[Gender]], Mapping[Gender _Discarded], Mapping[Gender_Correction]), PROPER(TRIM(tbl_HR_Data[[#This Row],[Gender]])))</f>
        <v>Other</v>
      </c>
      <c r="O105" t="str">
        <f>TRIM(tbl_HR_Data[[#This Row],[Position]])</f>
        <v>Assistant</v>
      </c>
      <c r="P105" t="str">
        <f>IFERROR(_xlfn.XLOOKUP(tbl_HR_Data[[#This Row],[Email]], Mapping[Email_Discarded], Mapping[Email_Correction]), LOWER(TRIM(tbl_HR_Data[[#This Row],[Email]])))</f>
        <v>not provided</v>
      </c>
      <c r="Q10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05" t="str" cm="1">
        <f t="array" ref="R105">_xlfn.REDUCE(Q105, {"-","/","_","\","(",")"}, _xlfn.LAMBDA(_xlpm.txt,_xlpm.itm, SUBSTITUTE(_xlpm.txt, _xlpm.itm, "")))</f>
        <v>1234567890</v>
      </c>
      <c r="S105" s="3">
        <f>IFERROR(_xlfn.XLOOKUP(tbl_HR_Data[[#This Row],[Joining Date]], Mapping[Joining_Discarded], Mapping[Joining_Correction]), VALUE(tbl_HR_Data[[#This Row],[Joining Date]]))</f>
        <v>43195</v>
      </c>
      <c r="T105" t="str">
        <f>TEXT(tbl_HR_Data[[#This Row],[Joining Date]], "mmm")</f>
        <v>Apr</v>
      </c>
      <c r="U105" t="str">
        <f>TEXT(tbl_HR_Data[[#This Row],[Joining Date]], "ddd")</f>
        <v>Thu</v>
      </c>
    </row>
    <row r="106" spans="1:21" x14ac:dyDescent="0.35">
      <c r="A106" t="s">
        <v>104</v>
      </c>
      <c r="B106">
        <v>0</v>
      </c>
      <c r="C106">
        <v>70000</v>
      </c>
      <c r="D106" t="s">
        <v>36</v>
      </c>
      <c r="E106" t="s">
        <v>19</v>
      </c>
      <c r="F106" t="s">
        <v>44</v>
      </c>
      <c r="G106" s="3">
        <v>43195</v>
      </c>
      <c r="H106" t="str">
        <f>TEXT(tbl_HR_Data[[#This Row],[Joining Date]], "mmm")</f>
        <v>Apr</v>
      </c>
      <c r="I106" t="s">
        <v>92</v>
      </c>
      <c r="J106" t="s">
        <v>31</v>
      </c>
      <c r="K106" t="s">
        <v>77</v>
      </c>
      <c r="L106" t="s">
        <v>88</v>
      </c>
      <c r="M106">
        <f>IFERROR( _xlfn.XLOOKUP(TRIM(tbl_HR_Data[[#This Row],[Age]]),#REF!,#REF!), VALUE(TRIM(tbl_HR_Data[[#This Row],[Age]])))</f>
        <v>0</v>
      </c>
      <c r="N106" t="str">
        <f>IFERROR(_xlfn.XLOOKUP(tbl_HR_Data[[#This Row],[Gender]], Mapping[Gender _Discarded], Mapping[Gender_Correction]), PROPER(TRIM(tbl_HR_Data[[#This Row],[Gender]])))</f>
        <v>Other</v>
      </c>
      <c r="O106" t="str">
        <f>TRIM(tbl_HR_Data[[#This Row],[Position]])</f>
        <v>Analyst</v>
      </c>
      <c r="P106" t="str">
        <f>IFERROR(_xlfn.XLOOKUP(tbl_HR_Data[[#This Row],[Email]], Mapping[Email_Discarded], Mapping[Email_Correction]), LOWER(TRIM(tbl_HR_Data[[#This Row],[Email]])))</f>
        <v>not provided</v>
      </c>
      <c r="Q10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106" t="str" cm="1">
        <f t="array" ref="R106">_xlfn.REDUCE(Q106, {"-","/","_","\","(",")"}, _xlfn.LAMBDA(_xlpm.txt,_xlpm.itm, SUBSTITUTE(_xlpm.txt, _xlpm.itm, "")))</f>
        <v>0987654321</v>
      </c>
      <c r="S106" s="3">
        <f>IFERROR(_xlfn.XLOOKUP(tbl_HR_Data[[#This Row],[Joining Date]], Mapping[Joining_Discarded], Mapping[Joining_Correction]), VALUE(tbl_HR_Data[[#This Row],[Joining Date]]))</f>
        <v>43195</v>
      </c>
      <c r="T106" t="str">
        <f>TEXT(tbl_HR_Data[[#This Row],[Joining Date]], "mmm")</f>
        <v>Apr</v>
      </c>
      <c r="U106" t="str">
        <f>TEXT(tbl_HR_Data[[#This Row],[Joining Date]], "ddd")</f>
        <v>Thu</v>
      </c>
    </row>
    <row r="107" spans="1:21" x14ac:dyDescent="0.35">
      <c r="A107" t="s">
        <v>101</v>
      </c>
      <c r="B107">
        <v>40</v>
      </c>
      <c r="C107">
        <v>55000</v>
      </c>
      <c r="D107" t="s">
        <v>11</v>
      </c>
      <c r="E107" t="s">
        <v>12</v>
      </c>
      <c r="F107" t="s">
        <v>20</v>
      </c>
      <c r="G107" s="3">
        <v>43195</v>
      </c>
      <c r="H107" t="str">
        <f>TEXT(tbl_HR_Data[[#This Row],[Joining Date]], "mmm")</f>
        <v>Apr</v>
      </c>
      <c r="I107" t="s">
        <v>92</v>
      </c>
      <c r="J107" t="s">
        <v>21</v>
      </c>
      <c r="K107" t="s">
        <v>77</v>
      </c>
      <c r="L107" t="s">
        <v>89</v>
      </c>
      <c r="M107">
        <f>IFERROR( _xlfn.XLOOKUP(TRIM(tbl_HR_Data[[#This Row],[Age]]),#REF!,#REF!), VALUE(TRIM(tbl_HR_Data[[#This Row],[Age]])))</f>
        <v>40</v>
      </c>
      <c r="N107" t="str">
        <f>IFERROR(_xlfn.XLOOKUP(tbl_HR_Data[[#This Row],[Gender]], Mapping[Gender _Discarded], Mapping[Gender_Correction]), PROPER(TRIM(tbl_HR_Data[[#This Row],[Gender]])))</f>
        <v>Male</v>
      </c>
      <c r="O107" t="str">
        <f>TRIM(tbl_HR_Data[[#This Row],[Position]])</f>
        <v>Director</v>
      </c>
      <c r="P107" t="str">
        <f>IFERROR(_xlfn.XLOOKUP(tbl_HR_Data[[#This Row],[Email]], Mapping[Email_Discarded], Mapping[Email_Correction]), LOWER(TRIM(tbl_HR_Data[[#This Row],[Email]])))</f>
        <v>not provided</v>
      </c>
      <c r="Q10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107" t="str" cm="1">
        <f t="array" ref="R107">_xlfn.REDUCE(Q107, {"-","/","_","\","(",")"}, _xlfn.LAMBDA(_xlpm.txt,_xlpm.itm, SUBSTITUTE(_xlpm.txt, _xlpm.itm, "")))</f>
        <v>5555555555</v>
      </c>
      <c r="S107" s="3">
        <f>IFERROR(_xlfn.XLOOKUP(tbl_HR_Data[[#This Row],[Joining Date]], Mapping[Joining_Discarded], Mapping[Joining_Correction]), VALUE(tbl_HR_Data[[#This Row],[Joining Date]]))</f>
        <v>43195</v>
      </c>
      <c r="T107" t="str">
        <f>TEXT(tbl_HR_Data[[#This Row],[Joining Date]], "mmm")</f>
        <v>Apr</v>
      </c>
      <c r="U107" t="str">
        <f>TEXT(tbl_HR_Data[[#This Row],[Joining Date]], "ddd")</f>
        <v>Thu</v>
      </c>
    </row>
    <row r="108" spans="1:21" x14ac:dyDescent="0.35">
      <c r="A108" t="s">
        <v>100</v>
      </c>
      <c r="B108">
        <v>40</v>
      </c>
      <c r="C108">
        <v>65000</v>
      </c>
      <c r="D108" t="s">
        <v>36</v>
      </c>
      <c r="E108" t="s">
        <v>12</v>
      </c>
      <c r="F108" t="s">
        <v>20</v>
      </c>
      <c r="G108" s="3">
        <v>43195</v>
      </c>
      <c r="H108" t="str">
        <f>TEXT(tbl_HR_Data[[#This Row],[Joining Date]], "mmm")</f>
        <v>Apr</v>
      </c>
      <c r="I108" t="s">
        <v>92</v>
      </c>
      <c r="J108" t="s">
        <v>31</v>
      </c>
      <c r="K108" t="s">
        <v>22</v>
      </c>
      <c r="L108" t="s">
        <v>89</v>
      </c>
      <c r="M108">
        <f>IFERROR( _xlfn.XLOOKUP(TRIM(tbl_HR_Data[[#This Row],[Age]]),#REF!,#REF!), VALUE(TRIM(tbl_HR_Data[[#This Row],[Age]])))</f>
        <v>40</v>
      </c>
      <c r="N108" t="str">
        <f>IFERROR(_xlfn.XLOOKUP(tbl_HR_Data[[#This Row],[Gender]], Mapping[Gender _Discarded], Mapping[Gender_Correction]), PROPER(TRIM(tbl_HR_Data[[#This Row],[Gender]])))</f>
        <v>Other</v>
      </c>
      <c r="O108" t="str">
        <f>TRIM(tbl_HR_Data[[#This Row],[Position]])</f>
        <v>Director</v>
      </c>
      <c r="P108" t="str">
        <f>IFERROR(_xlfn.XLOOKUP(tbl_HR_Data[[#This Row],[Email]], Mapping[Email_Discarded], Mapping[Email_Correction]), LOWER(TRIM(tbl_HR_Data[[#This Row],[Email]])))</f>
        <v>user@domain.com</v>
      </c>
      <c r="Q10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108" t="str" cm="1">
        <f t="array" ref="R108">_xlfn.REDUCE(Q108, {"-","/","_","\","(",")"}, _xlfn.LAMBDA(_xlpm.txt,_xlpm.itm, SUBSTITUTE(_xlpm.txt, _xlpm.itm, "")))</f>
        <v>5555555555</v>
      </c>
      <c r="S108" s="3">
        <f>IFERROR(_xlfn.XLOOKUP(tbl_HR_Data[[#This Row],[Joining Date]], Mapping[Joining_Discarded], Mapping[Joining_Correction]), VALUE(tbl_HR_Data[[#This Row],[Joining Date]]))</f>
        <v>43195</v>
      </c>
      <c r="T108" t="str">
        <f>TEXT(tbl_HR_Data[[#This Row],[Joining Date]], "mmm")</f>
        <v>Apr</v>
      </c>
      <c r="U108" t="str">
        <f>TEXT(tbl_HR_Data[[#This Row],[Joining Date]], "ddd")</f>
        <v>Thu</v>
      </c>
    </row>
    <row r="109" spans="1:21" x14ac:dyDescent="0.35">
      <c r="A109" t="s">
        <v>106</v>
      </c>
      <c r="B109">
        <v>30</v>
      </c>
      <c r="C109">
        <v>70000</v>
      </c>
      <c r="D109" t="s">
        <v>11</v>
      </c>
      <c r="E109" t="s">
        <v>12</v>
      </c>
      <c r="F109" t="s">
        <v>20</v>
      </c>
      <c r="G109" s="3">
        <v>43195</v>
      </c>
      <c r="H109" t="str">
        <f>TEXT(tbl_HR_Data[[#This Row],[Joining Date]], "mmm")</f>
        <v>Apr</v>
      </c>
      <c r="I109" t="s">
        <v>92</v>
      </c>
      <c r="J109" t="s">
        <v>21</v>
      </c>
      <c r="K109" t="s">
        <v>22</v>
      </c>
      <c r="L109" t="s">
        <v>87</v>
      </c>
      <c r="M109">
        <f>IFERROR( _xlfn.XLOOKUP(TRIM(tbl_HR_Data[[#This Row],[Age]]),#REF!,#REF!), VALUE(TRIM(tbl_HR_Data[[#This Row],[Age]])))</f>
        <v>30</v>
      </c>
      <c r="N109" t="str">
        <f>IFERROR(_xlfn.XLOOKUP(tbl_HR_Data[[#This Row],[Gender]], Mapping[Gender _Discarded], Mapping[Gender_Correction]), PROPER(TRIM(tbl_HR_Data[[#This Row],[Gender]])))</f>
        <v>Male</v>
      </c>
      <c r="O109" t="str">
        <f>TRIM(tbl_HR_Data[[#This Row],[Position]])</f>
        <v>Director</v>
      </c>
      <c r="P109" t="str">
        <f>IFERROR(_xlfn.XLOOKUP(tbl_HR_Data[[#This Row],[Email]], Mapping[Email_Discarded], Mapping[Email_Correction]), LOWER(TRIM(tbl_HR_Data[[#This Row],[Email]])))</f>
        <v>user@domain.com</v>
      </c>
      <c r="Q10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09" t="str" cm="1">
        <f t="array" ref="R109">_xlfn.REDUCE(Q109, {"-","/","_","\","(",")"}, _xlfn.LAMBDA(_xlpm.txt,_xlpm.itm, SUBSTITUTE(_xlpm.txt, _xlpm.itm, "")))</f>
        <v>1234567890</v>
      </c>
      <c r="S109" s="3">
        <f>IFERROR(_xlfn.XLOOKUP(tbl_HR_Data[[#This Row],[Joining Date]], Mapping[Joining_Discarded], Mapping[Joining_Correction]), VALUE(tbl_HR_Data[[#This Row],[Joining Date]]))</f>
        <v>43195</v>
      </c>
      <c r="T109" t="str">
        <f>TEXT(tbl_HR_Data[[#This Row],[Joining Date]], "mmm")</f>
        <v>Apr</v>
      </c>
      <c r="U109" t="str">
        <f>TEXT(tbl_HR_Data[[#This Row],[Joining Date]], "ddd")</f>
        <v>Thu</v>
      </c>
    </row>
    <row r="110" spans="1:21" x14ac:dyDescent="0.35">
      <c r="A110" t="s">
        <v>100</v>
      </c>
      <c r="B110">
        <v>35</v>
      </c>
      <c r="C110">
        <v>0</v>
      </c>
      <c r="D110" t="s">
        <v>18</v>
      </c>
      <c r="E110" t="s">
        <v>12</v>
      </c>
      <c r="F110" t="s">
        <v>44</v>
      </c>
      <c r="G110" s="3">
        <v>43195</v>
      </c>
      <c r="H110" t="str">
        <f>TEXT(tbl_HR_Data[[#This Row],[Joining Date]], "mmm")</f>
        <v>Apr</v>
      </c>
      <c r="I110" t="s">
        <v>92</v>
      </c>
      <c r="J110" t="s">
        <v>31</v>
      </c>
      <c r="K110" t="s">
        <v>22</v>
      </c>
      <c r="L110" t="s">
        <v>77</v>
      </c>
      <c r="M110">
        <f>IFERROR( _xlfn.XLOOKUP(TRIM(tbl_HR_Data[[#This Row],[Age]]),#REF!,#REF!), VALUE(TRIM(tbl_HR_Data[[#This Row],[Age]])))</f>
        <v>35</v>
      </c>
      <c r="N110" t="str">
        <f>IFERROR(_xlfn.XLOOKUP(tbl_HR_Data[[#This Row],[Gender]], Mapping[Gender _Discarded], Mapping[Gender_Correction]), PROPER(TRIM(tbl_HR_Data[[#This Row],[Gender]])))</f>
        <v>Female</v>
      </c>
      <c r="O110" t="str">
        <f>TRIM(tbl_HR_Data[[#This Row],[Position]])</f>
        <v>Analyst</v>
      </c>
      <c r="P110" t="str">
        <f>IFERROR(_xlfn.XLOOKUP(tbl_HR_Data[[#This Row],[Email]], Mapping[Email_Discarded], Mapping[Email_Correction]), LOWER(TRIM(tbl_HR_Data[[#This Row],[Email]])))</f>
        <v>user@domain.com</v>
      </c>
      <c r="Q11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10" t="str" cm="1">
        <f t="array" ref="R110">_xlfn.REDUCE(Q110, {"-","/","_","\","(",")"}, _xlfn.LAMBDA(_xlpm.txt,_xlpm.itm, SUBSTITUTE(_xlpm.txt, _xlpm.itm, "")))</f>
        <v>Not Provided</v>
      </c>
      <c r="S110" s="3">
        <f>IFERROR(_xlfn.XLOOKUP(tbl_HR_Data[[#This Row],[Joining Date]], Mapping[Joining_Discarded], Mapping[Joining_Correction]), VALUE(tbl_HR_Data[[#This Row],[Joining Date]]))</f>
        <v>43195</v>
      </c>
      <c r="T110" t="str">
        <f>TEXT(tbl_HR_Data[[#This Row],[Joining Date]], "mmm")</f>
        <v>Apr</v>
      </c>
      <c r="U110" t="str">
        <f>TEXT(tbl_HR_Data[[#This Row],[Joining Date]], "ddd")</f>
        <v>Thu</v>
      </c>
    </row>
    <row r="111" spans="1:21" x14ac:dyDescent="0.35">
      <c r="A111" t="s">
        <v>102</v>
      </c>
      <c r="B111">
        <v>0</v>
      </c>
      <c r="C111">
        <v>50000</v>
      </c>
      <c r="D111" t="s">
        <v>18</v>
      </c>
      <c r="E111" t="s">
        <v>12</v>
      </c>
      <c r="F111" t="s">
        <v>43</v>
      </c>
      <c r="G111" s="3">
        <v>43195</v>
      </c>
      <c r="H111" t="str">
        <f>TEXT(tbl_HR_Data[[#This Row],[Joining Date]], "mmm")</f>
        <v>Apr</v>
      </c>
      <c r="I111" t="s">
        <v>92</v>
      </c>
      <c r="J111" t="s">
        <v>31</v>
      </c>
      <c r="K111" t="s">
        <v>32</v>
      </c>
      <c r="L111" t="s">
        <v>77</v>
      </c>
      <c r="M111">
        <f>IFERROR( _xlfn.XLOOKUP(TRIM(tbl_HR_Data[[#This Row],[Age]]),#REF!,#REF!), VALUE(TRIM(tbl_HR_Data[[#This Row],[Age]])))</f>
        <v>0</v>
      </c>
      <c r="N111" t="str">
        <f>IFERROR(_xlfn.XLOOKUP(tbl_HR_Data[[#This Row],[Gender]], Mapping[Gender _Discarded], Mapping[Gender_Correction]), PROPER(TRIM(tbl_HR_Data[[#This Row],[Gender]])))</f>
        <v>Female</v>
      </c>
      <c r="O111" t="str">
        <f>TRIM(tbl_HR_Data[[#This Row],[Position]])</f>
        <v>Assistant</v>
      </c>
      <c r="P111" t="str">
        <f>IFERROR(_xlfn.XLOOKUP(tbl_HR_Data[[#This Row],[Email]], Mapping[Email_Discarded], Mapping[Email_Correction]), LOWER(TRIM(tbl_HR_Data[[#This Row],[Email]])))</f>
        <v>name@company.org</v>
      </c>
      <c r="Q11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11" t="str" cm="1">
        <f t="array" ref="R111">_xlfn.REDUCE(Q111, {"-","/","_","\","(",")"}, _xlfn.LAMBDA(_xlpm.txt,_xlpm.itm, SUBSTITUTE(_xlpm.txt, _xlpm.itm, "")))</f>
        <v>Not Provided</v>
      </c>
      <c r="S111" s="3">
        <f>IFERROR(_xlfn.XLOOKUP(tbl_HR_Data[[#This Row],[Joining Date]], Mapping[Joining_Discarded], Mapping[Joining_Correction]), VALUE(tbl_HR_Data[[#This Row],[Joining Date]]))</f>
        <v>43195</v>
      </c>
      <c r="T111" t="str">
        <f>TEXT(tbl_HR_Data[[#This Row],[Joining Date]], "mmm")</f>
        <v>Apr</v>
      </c>
      <c r="U111" t="str">
        <f>TEXT(tbl_HR_Data[[#This Row],[Joining Date]], "ddd")</f>
        <v>Thu</v>
      </c>
    </row>
    <row r="112" spans="1:21" x14ac:dyDescent="0.35">
      <c r="A112" t="s">
        <v>100</v>
      </c>
      <c r="B112">
        <v>40</v>
      </c>
      <c r="C112">
        <v>60000</v>
      </c>
      <c r="D112" t="s">
        <v>11</v>
      </c>
      <c r="E112" t="s">
        <v>12</v>
      </c>
      <c r="F112" t="s">
        <v>20</v>
      </c>
      <c r="G112" s="3">
        <v>43195</v>
      </c>
      <c r="H112" t="str">
        <f>TEXT(tbl_HR_Data[[#This Row],[Joining Date]], "mmm")</f>
        <v>Apr</v>
      </c>
      <c r="I112" t="s">
        <v>92</v>
      </c>
      <c r="J112" t="s">
        <v>21</v>
      </c>
      <c r="K112" t="s">
        <v>32</v>
      </c>
      <c r="L112" t="s">
        <v>88</v>
      </c>
      <c r="M112">
        <f>IFERROR( _xlfn.XLOOKUP(TRIM(tbl_HR_Data[[#This Row],[Age]]),#REF!,#REF!), VALUE(TRIM(tbl_HR_Data[[#This Row],[Age]])))</f>
        <v>40</v>
      </c>
      <c r="N112" t="str">
        <f>IFERROR(_xlfn.XLOOKUP(tbl_HR_Data[[#This Row],[Gender]], Mapping[Gender _Discarded], Mapping[Gender_Correction]), PROPER(TRIM(tbl_HR_Data[[#This Row],[Gender]])))</f>
        <v>Male</v>
      </c>
      <c r="O112" t="str">
        <f>TRIM(tbl_HR_Data[[#This Row],[Position]])</f>
        <v>Director</v>
      </c>
      <c r="P112" t="str">
        <f>IFERROR(_xlfn.XLOOKUP(tbl_HR_Data[[#This Row],[Email]], Mapping[Email_Discarded], Mapping[Email_Correction]), LOWER(TRIM(tbl_HR_Data[[#This Row],[Email]])))</f>
        <v>name@company.org</v>
      </c>
      <c r="Q11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112" t="str" cm="1">
        <f t="array" ref="R112">_xlfn.REDUCE(Q112, {"-","/","_","\","(",")"}, _xlfn.LAMBDA(_xlpm.txt,_xlpm.itm, SUBSTITUTE(_xlpm.txt, _xlpm.itm, "")))</f>
        <v>0987654321</v>
      </c>
      <c r="S112" s="3">
        <f>IFERROR(_xlfn.XLOOKUP(tbl_HR_Data[[#This Row],[Joining Date]], Mapping[Joining_Discarded], Mapping[Joining_Correction]), VALUE(tbl_HR_Data[[#This Row],[Joining Date]]))</f>
        <v>43195</v>
      </c>
      <c r="T112" t="str">
        <f>TEXT(tbl_HR_Data[[#This Row],[Joining Date]], "mmm")</f>
        <v>Apr</v>
      </c>
      <c r="U112" t="str">
        <f>TEXT(tbl_HR_Data[[#This Row],[Joining Date]], "ddd")</f>
        <v>Thu</v>
      </c>
    </row>
    <row r="113" spans="1:21" x14ac:dyDescent="0.35">
      <c r="A113" t="s">
        <v>105</v>
      </c>
      <c r="B113">
        <v>35</v>
      </c>
      <c r="C113">
        <v>55000</v>
      </c>
      <c r="D113" t="s">
        <v>11</v>
      </c>
      <c r="E113" t="s">
        <v>37</v>
      </c>
      <c r="F113" t="s">
        <v>39</v>
      </c>
      <c r="G113" s="3">
        <v>43195</v>
      </c>
      <c r="H113" t="str">
        <f>TEXT(tbl_HR_Data[[#This Row],[Joining Date]], "mmm")</f>
        <v>Apr</v>
      </c>
      <c r="I113" t="s">
        <v>92</v>
      </c>
      <c r="J113" t="s">
        <v>14</v>
      </c>
      <c r="K113" t="s">
        <v>77</v>
      </c>
      <c r="L113" t="s">
        <v>89</v>
      </c>
      <c r="M113">
        <f>IFERROR( _xlfn.XLOOKUP(TRIM(tbl_HR_Data[[#This Row],[Age]]),#REF!,#REF!), VALUE(TRIM(tbl_HR_Data[[#This Row],[Age]])))</f>
        <v>35</v>
      </c>
      <c r="N113" t="str">
        <f>IFERROR(_xlfn.XLOOKUP(tbl_HR_Data[[#This Row],[Gender]], Mapping[Gender _Discarded], Mapping[Gender_Correction]), PROPER(TRIM(tbl_HR_Data[[#This Row],[Gender]])))</f>
        <v>Male</v>
      </c>
      <c r="O113" t="str">
        <f>TRIM(tbl_HR_Data[[#This Row],[Position]])</f>
        <v>Clerk</v>
      </c>
      <c r="P113" t="str">
        <f>IFERROR(_xlfn.XLOOKUP(tbl_HR_Data[[#This Row],[Email]], Mapping[Email_Discarded], Mapping[Email_Correction]), LOWER(TRIM(tbl_HR_Data[[#This Row],[Email]])))</f>
        <v>not provided</v>
      </c>
      <c r="Q11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113" t="str" cm="1">
        <f t="array" ref="R113">_xlfn.REDUCE(Q113, {"-","/","_","\","(",")"}, _xlfn.LAMBDA(_xlpm.txt,_xlpm.itm, SUBSTITUTE(_xlpm.txt, _xlpm.itm, "")))</f>
        <v>5555555555</v>
      </c>
      <c r="S113" s="3">
        <f>IFERROR(_xlfn.XLOOKUP(tbl_HR_Data[[#This Row],[Joining Date]], Mapping[Joining_Discarded], Mapping[Joining_Correction]), VALUE(tbl_HR_Data[[#This Row],[Joining Date]]))</f>
        <v>43195</v>
      </c>
      <c r="T113" t="str">
        <f>TEXT(tbl_HR_Data[[#This Row],[Joining Date]], "mmm")</f>
        <v>Apr</v>
      </c>
      <c r="U113" t="str">
        <f>TEXT(tbl_HR_Data[[#This Row],[Joining Date]], "ddd")</f>
        <v>Thu</v>
      </c>
    </row>
    <row r="114" spans="1:21" x14ac:dyDescent="0.35">
      <c r="A114" t="s">
        <v>103</v>
      </c>
      <c r="B114">
        <v>35</v>
      </c>
      <c r="C114">
        <v>60000</v>
      </c>
      <c r="D114" t="s">
        <v>36</v>
      </c>
      <c r="E114" t="s">
        <v>26</v>
      </c>
      <c r="F114" t="s">
        <v>20</v>
      </c>
      <c r="G114" s="3">
        <v>43195</v>
      </c>
      <c r="H114" t="str">
        <f>TEXT(tbl_HR_Data[[#This Row],[Joining Date]], "mmm")</f>
        <v>Apr</v>
      </c>
      <c r="I114" t="s">
        <v>92</v>
      </c>
      <c r="J114" t="s">
        <v>31</v>
      </c>
      <c r="K114" t="s">
        <v>32</v>
      </c>
      <c r="L114" t="s">
        <v>87</v>
      </c>
      <c r="M114">
        <f>IFERROR( _xlfn.XLOOKUP(TRIM(tbl_HR_Data[[#This Row],[Age]]),#REF!,#REF!), VALUE(TRIM(tbl_HR_Data[[#This Row],[Age]])))</f>
        <v>35</v>
      </c>
      <c r="N114" t="str">
        <f>IFERROR(_xlfn.XLOOKUP(tbl_HR_Data[[#This Row],[Gender]], Mapping[Gender _Discarded], Mapping[Gender_Correction]), PROPER(TRIM(tbl_HR_Data[[#This Row],[Gender]])))</f>
        <v>Other</v>
      </c>
      <c r="O114" t="str">
        <f>TRIM(tbl_HR_Data[[#This Row],[Position]])</f>
        <v>Director</v>
      </c>
      <c r="P114" t="str">
        <f>IFERROR(_xlfn.XLOOKUP(tbl_HR_Data[[#This Row],[Email]], Mapping[Email_Discarded], Mapping[Email_Correction]), LOWER(TRIM(tbl_HR_Data[[#This Row],[Email]])))</f>
        <v>name@company.org</v>
      </c>
      <c r="Q11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14" t="str" cm="1">
        <f t="array" ref="R114">_xlfn.REDUCE(Q114, {"-","/","_","\","(",")"}, _xlfn.LAMBDA(_xlpm.txt,_xlpm.itm, SUBSTITUTE(_xlpm.txt, _xlpm.itm, "")))</f>
        <v>1234567890</v>
      </c>
      <c r="S114" s="3">
        <f>IFERROR(_xlfn.XLOOKUP(tbl_HR_Data[[#This Row],[Joining Date]], Mapping[Joining_Discarded], Mapping[Joining_Correction]), VALUE(tbl_HR_Data[[#This Row],[Joining Date]]))</f>
        <v>43195</v>
      </c>
      <c r="T114" t="str">
        <f>TEXT(tbl_HR_Data[[#This Row],[Joining Date]], "mmm")</f>
        <v>Apr</v>
      </c>
      <c r="U114" t="str">
        <f>TEXT(tbl_HR_Data[[#This Row],[Joining Date]], "ddd")</f>
        <v>Thu</v>
      </c>
    </row>
    <row r="115" spans="1:21" x14ac:dyDescent="0.35">
      <c r="A115" t="s">
        <v>105</v>
      </c>
      <c r="B115">
        <v>25</v>
      </c>
      <c r="C115">
        <v>55000</v>
      </c>
      <c r="D115" t="s">
        <v>18</v>
      </c>
      <c r="E115" t="s">
        <v>26</v>
      </c>
      <c r="F115" t="s">
        <v>20</v>
      </c>
      <c r="G115" s="3">
        <v>43195</v>
      </c>
      <c r="H115" t="str">
        <f>TEXT(tbl_HR_Data[[#This Row],[Joining Date]], "mmm")</f>
        <v>Apr</v>
      </c>
      <c r="I115" t="s">
        <v>92</v>
      </c>
      <c r="J115" t="s">
        <v>41</v>
      </c>
      <c r="K115" t="s">
        <v>32</v>
      </c>
      <c r="L115" t="s">
        <v>87</v>
      </c>
      <c r="M115">
        <f>IFERROR( _xlfn.XLOOKUP(TRIM(tbl_HR_Data[[#This Row],[Age]]),#REF!,#REF!), VALUE(TRIM(tbl_HR_Data[[#This Row],[Age]])))</f>
        <v>25</v>
      </c>
      <c r="N115" t="str">
        <f>IFERROR(_xlfn.XLOOKUP(tbl_HR_Data[[#This Row],[Gender]], Mapping[Gender _Discarded], Mapping[Gender_Correction]), PROPER(TRIM(tbl_HR_Data[[#This Row],[Gender]])))</f>
        <v>Female</v>
      </c>
      <c r="O115" t="str">
        <f>TRIM(tbl_HR_Data[[#This Row],[Position]])</f>
        <v>Director</v>
      </c>
      <c r="P115" t="str">
        <f>IFERROR(_xlfn.XLOOKUP(tbl_HR_Data[[#This Row],[Email]], Mapping[Email_Discarded], Mapping[Email_Correction]), LOWER(TRIM(tbl_HR_Data[[#This Row],[Email]])))</f>
        <v>name@company.org</v>
      </c>
      <c r="Q11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15" t="str" cm="1">
        <f t="array" ref="R115">_xlfn.REDUCE(Q115, {"-","/","_","\","(",")"}, _xlfn.LAMBDA(_xlpm.txt,_xlpm.itm, SUBSTITUTE(_xlpm.txt, _xlpm.itm, "")))</f>
        <v>1234567890</v>
      </c>
      <c r="S115" s="3">
        <f>IFERROR(_xlfn.XLOOKUP(tbl_HR_Data[[#This Row],[Joining Date]], Mapping[Joining_Discarded], Mapping[Joining_Correction]), VALUE(tbl_HR_Data[[#This Row],[Joining Date]]))</f>
        <v>43195</v>
      </c>
      <c r="T115" t="str">
        <f>TEXT(tbl_HR_Data[[#This Row],[Joining Date]], "mmm")</f>
        <v>Apr</v>
      </c>
      <c r="U115" t="str">
        <f>TEXT(tbl_HR_Data[[#This Row],[Joining Date]], "ddd")</f>
        <v>Thu</v>
      </c>
    </row>
    <row r="116" spans="1:21" x14ac:dyDescent="0.35">
      <c r="A116" t="s">
        <v>100</v>
      </c>
      <c r="B116">
        <v>0</v>
      </c>
      <c r="C116">
        <v>70000</v>
      </c>
      <c r="D116" t="s">
        <v>18</v>
      </c>
      <c r="E116" t="s">
        <v>26</v>
      </c>
      <c r="F116" t="s">
        <v>13</v>
      </c>
      <c r="G116" s="3">
        <v>43195</v>
      </c>
      <c r="H116" t="str">
        <f>TEXT(tbl_HR_Data[[#This Row],[Joining Date]], "mmm")</f>
        <v>Apr</v>
      </c>
      <c r="I116" t="s">
        <v>92</v>
      </c>
      <c r="J116" t="s">
        <v>21</v>
      </c>
      <c r="K116" t="s">
        <v>32</v>
      </c>
      <c r="L116" t="s">
        <v>77</v>
      </c>
      <c r="M116">
        <f>IFERROR( _xlfn.XLOOKUP(TRIM(tbl_HR_Data[[#This Row],[Age]]),#REF!,#REF!), VALUE(TRIM(tbl_HR_Data[[#This Row],[Age]])))</f>
        <v>0</v>
      </c>
      <c r="N116" t="str">
        <f>IFERROR(_xlfn.XLOOKUP(tbl_HR_Data[[#This Row],[Gender]], Mapping[Gender _Discarded], Mapping[Gender_Correction]), PROPER(TRIM(tbl_HR_Data[[#This Row],[Gender]])))</f>
        <v>Female</v>
      </c>
      <c r="O116" t="str">
        <f>TRIM(tbl_HR_Data[[#This Row],[Position]])</f>
        <v>Manager</v>
      </c>
      <c r="P116" t="str">
        <f>IFERROR(_xlfn.XLOOKUP(tbl_HR_Data[[#This Row],[Email]], Mapping[Email_Discarded], Mapping[Email_Correction]), LOWER(TRIM(tbl_HR_Data[[#This Row],[Email]])))</f>
        <v>name@company.org</v>
      </c>
      <c r="Q11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16" t="str" cm="1">
        <f t="array" ref="R116">_xlfn.REDUCE(Q116, {"-","/","_","\","(",")"}, _xlfn.LAMBDA(_xlpm.txt,_xlpm.itm, SUBSTITUTE(_xlpm.txt, _xlpm.itm, "")))</f>
        <v>Not Provided</v>
      </c>
      <c r="S116" s="3">
        <f>IFERROR(_xlfn.XLOOKUP(tbl_HR_Data[[#This Row],[Joining Date]], Mapping[Joining_Discarded], Mapping[Joining_Correction]), VALUE(tbl_HR_Data[[#This Row],[Joining Date]]))</f>
        <v>43195</v>
      </c>
      <c r="T116" t="str">
        <f>TEXT(tbl_HR_Data[[#This Row],[Joining Date]], "mmm")</f>
        <v>Apr</v>
      </c>
      <c r="U116" t="str">
        <f>TEXT(tbl_HR_Data[[#This Row],[Joining Date]], "ddd")</f>
        <v>Thu</v>
      </c>
    </row>
    <row r="117" spans="1:21" x14ac:dyDescent="0.35">
      <c r="A117" t="s">
        <v>108</v>
      </c>
      <c r="B117">
        <v>40</v>
      </c>
      <c r="C117">
        <v>0</v>
      </c>
      <c r="D117" t="s">
        <v>36</v>
      </c>
      <c r="E117" t="s">
        <v>37</v>
      </c>
      <c r="F117" t="s">
        <v>39</v>
      </c>
      <c r="G117" s="3">
        <v>43195</v>
      </c>
      <c r="H117" t="str">
        <f>TEXT(tbl_HR_Data[[#This Row],[Joining Date]], "mmm")</f>
        <v>Apr</v>
      </c>
      <c r="I117" t="s">
        <v>92</v>
      </c>
      <c r="J117" t="s">
        <v>27</v>
      </c>
      <c r="K117" t="s">
        <v>77</v>
      </c>
      <c r="L117" t="s">
        <v>87</v>
      </c>
      <c r="M117">
        <f>IFERROR( _xlfn.XLOOKUP(TRIM(tbl_HR_Data[[#This Row],[Age]]),#REF!,#REF!), VALUE(TRIM(tbl_HR_Data[[#This Row],[Age]])))</f>
        <v>40</v>
      </c>
      <c r="N117" t="str">
        <f>IFERROR(_xlfn.XLOOKUP(tbl_HR_Data[[#This Row],[Gender]], Mapping[Gender _Discarded], Mapping[Gender_Correction]), PROPER(TRIM(tbl_HR_Data[[#This Row],[Gender]])))</f>
        <v>Other</v>
      </c>
      <c r="O117" t="str">
        <f>TRIM(tbl_HR_Data[[#This Row],[Position]])</f>
        <v>Clerk</v>
      </c>
      <c r="P117" t="str">
        <f>IFERROR(_xlfn.XLOOKUP(tbl_HR_Data[[#This Row],[Email]], Mapping[Email_Discarded], Mapping[Email_Correction]), LOWER(TRIM(tbl_HR_Data[[#This Row],[Email]])))</f>
        <v>not provided</v>
      </c>
      <c r="Q11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17" t="str" cm="1">
        <f t="array" ref="R117">_xlfn.REDUCE(Q117, {"-","/","_","\","(",")"}, _xlfn.LAMBDA(_xlpm.txt,_xlpm.itm, SUBSTITUTE(_xlpm.txt, _xlpm.itm, "")))</f>
        <v>1234567890</v>
      </c>
      <c r="S117" s="3">
        <f>IFERROR(_xlfn.XLOOKUP(tbl_HR_Data[[#This Row],[Joining Date]], Mapping[Joining_Discarded], Mapping[Joining_Correction]), VALUE(tbl_HR_Data[[#This Row],[Joining Date]]))</f>
        <v>43195</v>
      </c>
      <c r="T117" t="str">
        <f>TEXT(tbl_HR_Data[[#This Row],[Joining Date]], "mmm")</f>
        <v>Apr</v>
      </c>
      <c r="U117" t="str">
        <f>TEXT(tbl_HR_Data[[#This Row],[Joining Date]], "ddd")</f>
        <v>Thu</v>
      </c>
    </row>
    <row r="118" spans="1:21" x14ac:dyDescent="0.35">
      <c r="A118" t="s">
        <v>101</v>
      </c>
      <c r="B118">
        <v>40</v>
      </c>
      <c r="C118">
        <v>65000</v>
      </c>
      <c r="D118" t="s">
        <v>36</v>
      </c>
      <c r="E118" t="s">
        <v>19</v>
      </c>
      <c r="F118" t="s">
        <v>39</v>
      </c>
      <c r="G118" s="3">
        <v>43195</v>
      </c>
      <c r="H118" t="str">
        <f>TEXT(tbl_HR_Data[[#This Row],[Joining Date]], "mmm")</f>
        <v>Apr</v>
      </c>
      <c r="I118" t="s">
        <v>92</v>
      </c>
      <c r="J118" t="s">
        <v>31</v>
      </c>
      <c r="K118" t="s">
        <v>77</v>
      </c>
      <c r="L118" t="s">
        <v>89</v>
      </c>
      <c r="M118">
        <f>IFERROR( _xlfn.XLOOKUP(TRIM(tbl_HR_Data[[#This Row],[Age]]),#REF!,#REF!), VALUE(TRIM(tbl_HR_Data[[#This Row],[Age]])))</f>
        <v>40</v>
      </c>
      <c r="N118" t="str">
        <f>IFERROR(_xlfn.XLOOKUP(tbl_HR_Data[[#This Row],[Gender]], Mapping[Gender _Discarded], Mapping[Gender_Correction]), PROPER(TRIM(tbl_HR_Data[[#This Row],[Gender]])))</f>
        <v>Other</v>
      </c>
      <c r="O118" t="str">
        <f>TRIM(tbl_HR_Data[[#This Row],[Position]])</f>
        <v>Clerk</v>
      </c>
      <c r="P118" t="str">
        <f>IFERROR(_xlfn.XLOOKUP(tbl_HR_Data[[#This Row],[Email]], Mapping[Email_Discarded], Mapping[Email_Correction]), LOWER(TRIM(tbl_HR_Data[[#This Row],[Email]])))</f>
        <v>not provided</v>
      </c>
      <c r="Q11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118" t="str" cm="1">
        <f t="array" ref="R118">_xlfn.REDUCE(Q118, {"-","/","_","\","(",")"}, _xlfn.LAMBDA(_xlpm.txt,_xlpm.itm, SUBSTITUTE(_xlpm.txt, _xlpm.itm, "")))</f>
        <v>5555555555</v>
      </c>
      <c r="S118" s="3">
        <f>IFERROR(_xlfn.XLOOKUP(tbl_HR_Data[[#This Row],[Joining Date]], Mapping[Joining_Discarded], Mapping[Joining_Correction]), VALUE(tbl_HR_Data[[#This Row],[Joining Date]]))</f>
        <v>43195</v>
      </c>
      <c r="T118" t="str">
        <f>TEXT(tbl_HR_Data[[#This Row],[Joining Date]], "mmm")</f>
        <v>Apr</v>
      </c>
      <c r="U118" t="str">
        <f>TEXT(tbl_HR_Data[[#This Row],[Joining Date]], "ddd")</f>
        <v>Thu</v>
      </c>
    </row>
    <row r="119" spans="1:21" x14ac:dyDescent="0.35">
      <c r="A119" t="s">
        <v>102</v>
      </c>
      <c r="B119">
        <v>0</v>
      </c>
      <c r="C119">
        <v>60000</v>
      </c>
      <c r="D119" t="s">
        <v>11</v>
      </c>
      <c r="E119" t="s">
        <v>12</v>
      </c>
      <c r="F119" t="s">
        <v>43</v>
      </c>
      <c r="G119" s="3">
        <v>43195</v>
      </c>
      <c r="H119" t="str">
        <f>TEXT(tbl_HR_Data[[#This Row],[Joining Date]], "mmm")</f>
        <v>Apr</v>
      </c>
      <c r="I119" t="s">
        <v>92</v>
      </c>
      <c r="J119" t="s">
        <v>41</v>
      </c>
      <c r="K119" t="s">
        <v>32</v>
      </c>
      <c r="L119" t="s">
        <v>77</v>
      </c>
      <c r="M119">
        <f>IFERROR( _xlfn.XLOOKUP(TRIM(tbl_HR_Data[[#This Row],[Age]]),#REF!,#REF!), VALUE(TRIM(tbl_HR_Data[[#This Row],[Age]])))</f>
        <v>0</v>
      </c>
      <c r="N119" t="str">
        <f>IFERROR(_xlfn.XLOOKUP(tbl_HR_Data[[#This Row],[Gender]], Mapping[Gender _Discarded], Mapping[Gender_Correction]), PROPER(TRIM(tbl_HR_Data[[#This Row],[Gender]])))</f>
        <v>Male</v>
      </c>
      <c r="O119" t="str">
        <f>TRIM(tbl_HR_Data[[#This Row],[Position]])</f>
        <v>Assistant</v>
      </c>
      <c r="P119" t="str">
        <f>IFERROR(_xlfn.XLOOKUP(tbl_HR_Data[[#This Row],[Email]], Mapping[Email_Discarded], Mapping[Email_Correction]), LOWER(TRIM(tbl_HR_Data[[#This Row],[Email]])))</f>
        <v>name@company.org</v>
      </c>
      <c r="Q11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19" t="str" cm="1">
        <f t="array" ref="R119">_xlfn.REDUCE(Q119, {"-","/","_","\","(",")"}, _xlfn.LAMBDA(_xlpm.txt,_xlpm.itm, SUBSTITUTE(_xlpm.txt, _xlpm.itm, "")))</f>
        <v>Not Provided</v>
      </c>
      <c r="S119" s="3">
        <f>IFERROR(_xlfn.XLOOKUP(tbl_HR_Data[[#This Row],[Joining Date]], Mapping[Joining_Discarded], Mapping[Joining_Correction]), VALUE(tbl_HR_Data[[#This Row],[Joining Date]]))</f>
        <v>43195</v>
      </c>
      <c r="T119" t="str">
        <f>TEXT(tbl_HR_Data[[#This Row],[Joining Date]], "mmm")</f>
        <v>Apr</v>
      </c>
      <c r="U119" t="str">
        <f>TEXT(tbl_HR_Data[[#This Row],[Joining Date]], "ddd")</f>
        <v>Thu</v>
      </c>
    </row>
    <row r="120" spans="1:21" x14ac:dyDescent="0.35">
      <c r="A120" t="s">
        <v>100</v>
      </c>
      <c r="B120">
        <v>35</v>
      </c>
      <c r="C120">
        <v>0</v>
      </c>
      <c r="D120" t="s">
        <v>11</v>
      </c>
      <c r="E120" t="s">
        <v>37</v>
      </c>
      <c r="F120" t="s">
        <v>20</v>
      </c>
      <c r="G120" s="3">
        <v>43195</v>
      </c>
      <c r="H120" t="str">
        <f>TEXT(tbl_HR_Data[[#This Row],[Joining Date]], "mmm")</f>
        <v>Apr</v>
      </c>
      <c r="I120" t="s">
        <v>92</v>
      </c>
      <c r="J120" t="s">
        <v>14</v>
      </c>
      <c r="K120" t="s">
        <v>15</v>
      </c>
      <c r="L120" t="s">
        <v>89</v>
      </c>
      <c r="M120">
        <f>IFERROR( _xlfn.XLOOKUP(TRIM(tbl_HR_Data[[#This Row],[Age]]),#REF!,#REF!), VALUE(TRIM(tbl_HR_Data[[#This Row],[Age]])))</f>
        <v>35</v>
      </c>
      <c r="N120" t="str">
        <f>IFERROR(_xlfn.XLOOKUP(tbl_HR_Data[[#This Row],[Gender]], Mapping[Gender _Discarded], Mapping[Gender_Correction]), PROPER(TRIM(tbl_HR_Data[[#This Row],[Gender]])))</f>
        <v>Male</v>
      </c>
      <c r="O120" t="str">
        <f>TRIM(tbl_HR_Data[[#This Row],[Position]])</f>
        <v>Director</v>
      </c>
      <c r="P120" t="str">
        <f>IFERROR(_xlfn.XLOOKUP(tbl_HR_Data[[#This Row],[Email]], Mapping[Email_Discarded], Mapping[Email_Correction]), LOWER(TRIM(tbl_HR_Data[[#This Row],[Email]])))</f>
        <v>email@example.com</v>
      </c>
      <c r="Q12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120" t="str" cm="1">
        <f t="array" ref="R120">_xlfn.REDUCE(Q120, {"-","/","_","\","(",")"}, _xlfn.LAMBDA(_xlpm.txt,_xlpm.itm, SUBSTITUTE(_xlpm.txt, _xlpm.itm, "")))</f>
        <v>5555555555</v>
      </c>
      <c r="S120" s="3">
        <f>IFERROR(_xlfn.XLOOKUP(tbl_HR_Data[[#This Row],[Joining Date]], Mapping[Joining_Discarded], Mapping[Joining_Correction]), VALUE(tbl_HR_Data[[#This Row],[Joining Date]]))</f>
        <v>43195</v>
      </c>
      <c r="T120" t="str">
        <f>TEXT(tbl_HR_Data[[#This Row],[Joining Date]], "mmm")</f>
        <v>Apr</v>
      </c>
      <c r="U120" t="str">
        <f>TEXT(tbl_HR_Data[[#This Row],[Joining Date]], "ddd")</f>
        <v>Thu</v>
      </c>
    </row>
    <row r="121" spans="1:21" x14ac:dyDescent="0.35">
      <c r="A121" t="s">
        <v>104</v>
      </c>
      <c r="B121">
        <v>0</v>
      </c>
      <c r="C121">
        <v>60000</v>
      </c>
      <c r="D121" t="s">
        <v>11</v>
      </c>
      <c r="E121" t="s">
        <v>37</v>
      </c>
      <c r="F121" t="s">
        <v>13</v>
      </c>
      <c r="G121" s="3">
        <v>43195</v>
      </c>
      <c r="H121" t="str">
        <f>TEXT(tbl_HR_Data[[#This Row],[Joining Date]], "mmm")</f>
        <v>Apr</v>
      </c>
      <c r="I121" t="s">
        <v>92</v>
      </c>
      <c r="J121" t="s">
        <v>41</v>
      </c>
      <c r="K121" t="s">
        <v>77</v>
      </c>
      <c r="L121" t="s">
        <v>77</v>
      </c>
      <c r="M121">
        <f>IFERROR( _xlfn.XLOOKUP(TRIM(tbl_HR_Data[[#This Row],[Age]]),#REF!,#REF!), VALUE(TRIM(tbl_HR_Data[[#This Row],[Age]])))</f>
        <v>0</v>
      </c>
      <c r="N121" t="str">
        <f>IFERROR(_xlfn.XLOOKUP(tbl_HR_Data[[#This Row],[Gender]], Mapping[Gender _Discarded], Mapping[Gender_Correction]), PROPER(TRIM(tbl_HR_Data[[#This Row],[Gender]])))</f>
        <v>Male</v>
      </c>
      <c r="O121" t="str">
        <f>TRIM(tbl_HR_Data[[#This Row],[Position]])</f>
        <v>Manager</v>
      </c>
      <c r="P121" t="str">
        <f>IFERROR(_xlfn.XLOOKUP(tbl_HR_Data[[#This Row],[Email]], Mapping[Email_Discarded], Mapping[Email_Correction]), LOWER(TRIM(tbl_HR_Data[[#This Row],[Email]])))</f>
        <v>not provided</v>
      </c>
      <c r="Q12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21" t="str" cm="1">
        <f t="array" ref="R121">_xlfn.REDUCE(Q121, {"-","/","_","\","(",")"}, _xlfn.LAMBDA(_xlpm.txt,_xlpm.itm, SUBSTITUTE(_xlpm.txt, _xlpm.itm, "")))</f>
        <v>Not Provided</v>
      </c>
      <c r="S121" s="3">
        <f>IFERROR(_xlfn.XLOOKUP(tbl_HR_Data[[#This Row],[Joining Date]], Mapping[Joining_Discarded], Mapping[Joining_Correction]), VALUE(tbl_HR_Data[[#This Row],[Joining Date]]))</f>
        <v>43195</v>
      </c>
      <c r="T121" t="str">
        <f>TEXT(tbl_HR_Data[[#This Row],[Joining Date]], "mmm")</f>
        <v>Apr</v>
      </c>
      <c r="U121" t="str">
        <f>TEXT(tbl_HR_Data[[#This Row],[Joining Date]], "ddd")</f>
        <v>Thu</v>
      </c>
    </row>
    <row r="122" spans="1:21" x14ac:dyDescent="0.35">
      <c r="A122" t="s">
        <v>108</v>
      </c>
      <c r="B122">
        <v>25</v>
      </c>
      <c r="C122">
        <v>65000</v>
      </c>
      <c r="D122" t="s">
        <v>11</v>
      </c>
      <c r="E122" t="s">
        <v>12</v>
      </c>
      <c r="F122" t="s">
        <v>20</v>
      </c>
      <c r="G122" s="3">
        <v>43195</v>
      </c>
      <c r="H122" t="str">
        <f>TEXT(tbl_HR_Data[[#This Row],[Joining Date]], "mmm")</f>
        <v>Apr</v>
      </c>
      <c r="I122" t="s">
        <v>92</v>
      </c>
      <c r="J122" t="s">
        <v>21</v>
      </c>
      <c r="K122" t="s">
        <v>32</v>
      </c>
      <c r="L122" t="s">
        <v>89</v>
      </c>
      <c r="M122">
        <f>IFERROR( _xlfn.XLOOKUP(TRIM(tbl_HR_Data[[#This Row],[Age]]),#REF!,#REF!), VALUE(TRIM(tbl_HR_Data[[#This Row],[Age]])))</f>
        <v>25</v>
      </c>
      <c r="N122" t="str">
        <f>IFERROR(_xlfn.XLOOKUP(tbl_HR_Data[[#This Row],[Gender]], Mapping[Gender _Discarded], Mapping[Gender_Correction]), PROPER(TRIM(tbl_HR_Data[[#This Row],[Gender]])))</f>
        <v>Male</v>
      </c>
      <c r="O122" t="str">
        <f>TRIM(tbl_HR_Data[[#This Row],[Position]])</f>
        <v>Director</v>
      </c>
      <c r="P122" t="str">
        <f>IFERROR(_xlfn.XLOOKUP(tbl_HR_Data[[#This Row],[Email]], Mapping[Email_Discarded], Mapping[Email_Correction]), LOWER(TRIM(tbl_HR_Data[[#This Row],[Email]])))</f>
        <v>name@company.org</v>
      </c>
      <c r="Q12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122" t="str" cm="1">
        <f t="array" ref="R122">_xlfn.REDUCE(Q122, {"-","/","_","\","(",")"}, _xlfn.LAMBDA(_xlpm.txt,_xlpm.itm, SUBSTITUTE(_xlpm.txt, _xlpm.itm, "")))</f>
        <v>5555555555</v>
      </c>
      <c r="S122" s="3">
        <f>IFERROR(_xlfn.XLOOKUP(tbl_HR_Data[[#This Row],[Joining Date]], Mapping[Joining_Discarded], Mapping[Joining_Correction]), VALUE(tbl_HR_Data[[#This Row],[Joining Date]]))</f>
        <v>43195</v>
      </c>
      <c r="T122" t="str">
        <f>TEXT(tbl_HR_Data[[#This Row],[Joining Date]], "mmm")</f>
        <v>Apr</v>
      </c>
      <c r="U122" t="str">
        <f>TEXT(tbl_HR_Data[[#This Row],[Joining Date]], "ddd")</f>
        <v>Thu</v>
      </c>
    </row>
    <row r="123" spans="1:21" x14ac:dyDescent="0.35">
      <c r="A123" t="s">
        <v>99</v>
      </c>
      <c r="B123">
        <v>0</v>
      </c>
      <c r="C123">
        <v>55000</v>
      </c>
      <c r="D123" t="s">
        <v>11</v>
      </c>
      <c r="E123" t="s">
        <v>30</v>
      </c>
      <c r="F123" t="s">
        <v>39</v>
      </c>
      <c r="G123" s="3">
        <v>43195</v>
      </c>
      <c r="H123" t="str">
        <f>TEXT(tbl_HR_Data[[#This Row],[Joining Date]], "mmm")</f>
        <v>Apr</v>
      </c>
      <c r="I123" t="s">
        <v>92</v>
      </c>
      <c r="J123" t="s">
        <v>14</v>
      </c>
      <c r="K123" t="s">
        <v>15</v>
      </c>
      <c r="L123" t="s">
        <v>77</v>
      </c>
      <c r="M123">
        <f>IFERROR( _xlfn.XLOOKUP(TRIM(tbl_HR_Data[[#This Row],[Age]]),#REF!,#REF!), VALUE(TRIM(tbl_HR_Data[[#This Row],[Age]])))</f>
        <v>0</v>
      </c>
      <c r="N123" t="str">
        <f>IFERROR(_xlfn.XLOOKUP(tbl_HR_Data[[#This Row],[Gender]], Mapping[Gender _Discarded], Mapping[Gender_Correction]), PROPER(TRIM(tbl_HR_Data[[#This Row],[Gender]])))</f>
        <v>Male</v>
      </c>
      <c r="O123" t="str">
        <f>TRIM(tbl_HR_Data[[#This Row],[Position]])</f>
        <v>Clerk</v>
      </c>
      <c r="P123" t="str">
        <f>IFERROR(_xlfn.XLOOKUP(tbl_HR_Data[[#This Row],[Email]], Mapping[Email_Discarded], Mapping[Email_Correction]), LOWER(TRIM(tbl_HR_Data[[#This Row],[Email]])))</f>
        <v>email@example.com</v>
      </c>
      <c r="Q12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23" t="str" cm="1">
        <f t="array" ref="R123">_xlfn.REDUCE(Q123, {"-","/","_","\","(",")"}, _xlfn.LAMBDA(_xlpm.txt,_xlpm.itm, SUBSTITUTE(_xlpm.txt, _xlpm.itm, "")))</f>
        <v>Not Provided</v>
      </c>
      <c r="S123" s="3">
        <f>IFERROR(_xlfn.XLOOKUP(tbl_HR_Data[[#This Row],[Joining Date]], Mapping[Joining_Discarded], Mapping[Joining_Correction]), VALUE(tbl_HR_Data[[#This Row],[Joining Date]]))</f>
        <v>43195</v>
      </c>
      <c r="T123" t="str">
        <f>TEXT(tbl_HR_Data[[#This Row],[Joining Date]], "mmm")</f>
        <v>Apr</v>
      </c>
      <c r="U123" t="str">
        <f>TEXT(tbl_HR_Data[[#This Row],[Joining Date]], "ddd")</f>
        <v>Thu</v>
      </c>
    </row>
    <row r="124" spans="1:21" x14ac:dyDescent="0.35">
      <c r="A124" t="s">
        <v>108</v>
      </c>
      <c r="B124">
        <v>0</v>
      </c>
      <c r="C124">
        <v>60000</v>
      </c>
      <c r="D124" t="s">
        <v>11</v>
      </c>
      <c r="E124" t="s">
        <v>26</v>
      </c>
      <c r="F124" t="s">
        <v>13</v>
      </c>
      <c r="G124" s="3">
        <v>43195</v>
      </c>
      <c r="H124" t="str">
        <f>TEXT(tbl_HR_Data[[#This Row],[Joining Date]], "mmm")</f>
        <v>Apr</v>
      </c>
      <c r="I124" t="s">
        <v>92</v>
      </c>
      <c r="J124" t="s">
        <v>21</v>
      </c>
      <c r="K124" t="s">
        <v>15</v>
      </c>
      <c r="L124" t="s">
        <v>89</v>
      </c>
      <c r="M124">
        <f>IFERROR( _xlfn.XLOOKUP(TRIM(tbl_HR_Data[[#This Row],[Age]]),#REF!,#REF!), VALUE(TRIM(tbl_HR_Data[[#This Row],[Age]])))</f>
        <v>0</v>
      </c>
      <c r="N124" t="str">
        <f>IFERROR(_xlfn.XLOOKUP(tbl_HR_Data[[#This Row],[Gender]], Mapping[Gender _Discarded], Mapping[Gender_Correction]), PROPER(TRIM(tbl_HR_Data[[#This Row],[Gender]])))</f>
        <v>Male</v>
      </c>
      <c r="O124" t="str">
        <f>TRIM(tbl_HR_Data[[#This Row],[Position]])</f>
        <v>Manager</v>
      </c>
      <c r="P124" t="str">
        <f>IFERROR(_xlfn.XLOOKUP(tbl_HR_Data[[#This Row],[Email]], Mapping[Email_Discarded], Mapping[Email_Correction]), LOWER(TRIM(tbl_HR_Data[[#This Row],[Email]])))</f>
        <v>email@example.com</v>
      </c>
      <c r="Q12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124" t="str" cm="1">
        <f t="array" ref="R124">_xlfn.REDUCE(Q124, {"-","/","_","\","(",")"}, _xlfn.LAMBDA(_xlpm.txt,_xlpm.itm, SUBSTITUTE(_xlpm.txt, _xlpm.itm, "")))</f>
        <v>5555555555</v>
      </c>
      <c r="S124" s="3">
        <f>IFERROR(_xlfn.XLOOKUP(tbl_HR_Data[[#This Row],[Joining Date]], Mapping[Joining_Discarded], Mapping[Joining_Correction]), VALUE(tbl_HR_Data[[#This Row],[Joining Date]]))</f>
        <v>43195</v>
      </c>
      <c r="T124" t="str">
        <f>TEXT(tbl_HR_Data[[#This Row],[Joining Date]], "mmm")</f>
        <v>Apr</v>
      </c>
      <c r="U124" t="str">
        <f>TEXT(tbl_HR_Data[[#This Row],[Joining Date]], "ddd")</f>
        <v>Thu</v>
      </c>
    </row>
    <row r="125" spans="1:21" x14ac:dyDescent="0.35">
      <c r="A125" t="s">
        <v>108</v>
      </c>
      <c r="B125">
        <v>0</v>
      </c>
      <c r="C125">
        <v>70000</v>
      </c>
      <c r="D125" t="s">
        <v>11</v>
      </c>
      <c r="E125" t="s">
        <v>19</v>
      </c>
      <c r="F125" t="s">
        <v>39</v>
      </c>
      <c r="G125" s="3">
        <v>43195</v>
      </c>
      <c r="H125" t="str">
        <f>TEXT(tbl_HR_Data[[#This Row],[Joining Date]], "mmm")</f>
        <v>Apr</v>
      </c>
      <c r="I125" t="s">
        <v>92</v>
      </c>
      <c r="J125" t="s">
        <v>31</v>
      </c>
      <c r="K125" t="s">
        <v>22</v>
      </c>
      <c r="L125" t="s">
        <v>89</v>
      </c>
      <c r="M125">
        <f>IFERROR( _xlfn.XLOOKUP(TRIM(tbl_HR_Data[[#This Row],[Age]]),#REF!,#REF!), VALUE(TRIM(tbl_HR_Data[[#This Row],[Age]])))</f>
        <v>0</v>
      </c>
      <c r="N125" t="str">
        <f>IFERROR(_xlfn.XLOOKUP(tbl_HR_Data[[#This Row],[Gender]], Mapping[Gender _Discarded], Mapping[Gender_Correction]), PROPER(TRIM(tbl_HR_Data[[#This Row],[Gender]])))</f>
        <v>Male</v>
      </c>
      <c r="O125" t="str">
        <f>TRIM(tbl_HR_Data[[#This Row],[Position]])</f>
        <v>Clerk</v>
      </c>
      <c r="P125" t="str">
        <f>IFERROR(_xlfn.XLOOKUP(tbl_HR_Data[[#This Row],[Email]], Mapping[Email_Discarded], Mapping[Email_Correction]), LOWER(TRIM(tbl_HR_Data[[#This Row],[Email]])))</f>
        <v>user@domain.com</v>
      </c>
      <c r="Q12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125" t="str" cm="1">
        <f t="array" ref="R125">_xlfn.REDUCE(Q125, {"-","/","_","\","(",")"}, _xlfn.LAMBDA(_xlpm.txt,_xlpm.itm, SUBSTITUTE(_xlpm.txt, _xlpm.itm, "")))</f>
        <v>5555555555</v>
      </c>
      <c r="S125" s="3">
        <f>IFERROR(_xlfn.XLOOKUP(tbl_HR_Data[[#This Row],[Joining Date]], Mapping[Joining_Discarded], Mapping[Joining_Correction]), VALUE(tbl_HR_Data[[#This Row],[Joining Date]]))</f>
        <v>43195</v>
      </c>
      <c r="T125" t="str">
        <f>TEXT(tbl_HR_Data[[#This Row],[Joining Date]], "mmm")</f>
        <v>Apr</v>
      </c>
      <c r="U125" t="str">
        <f>TEXT(tbl_HR_Data[[#This Row],[Joining Date]], "ddd")</f>
        <v>Thu</v>
      </c>
    </row>
    <row r="126" spans="1:21" x14ac:dyDescent="0.35">
      <c r="A126" t="s">
        <v>107</v>
      </c>
      <c r="B126">
        <v>40</v>
      </c>
      <c r="C126">
        <v>55000</v>
      </c>
      <c r="D126" t="s">
        <v>18</v>
      </c>
      <c r="E126" t="s">
        <v>37</v>
      </c>
      <c r="F126" t="s">
        <v>39</v>
      </c>
      <c r="G126" s="3">
        <v>43195</v>
      </c>
      <c r="H126" t="str">
        <f>TEXT(tbl_HR_Data[[#This Row],[Joining Date]], "mmm")</f>
        <v>Apr</v>
      </c>
      <c r="I126" t="s">
        <v>92</v>
      </c>
      <c r="J126" t="s">
        <v>41</v>
      </c>
      <c r="K126" t="s">
        <v>77</v>
      </c>
      <c r="L126" t="s">
        <v>88</v>
      </c>
      <c r="M126">
        <f>IFERROR( _xlfn.XLOOKUP(TRIM(tbl_HR_Data[[#This Row],[Age]]),#REF!,#REF!), VALUE(TRIM(tbl_HR_Data[[#This Row],[Age]])))</f>
        <v>40</v>
      </c>
      <c r="N126" t="str">
        <f>IFERROR(_xlfn.XLOOKUP(tbl_HR_Data[[#This Row],[Gender]], Mapping[Gender _Discarded], Mapping[Gender_Correction]), PROPER(TRIM(tbl_HR_Data[[#This Row],[Gender]])))</f>
        <v>Female</v>
      </c>
      <c r="O126" t="str">
        <f>TRIM(tbl_HR_Data[[#This Row],[Position]])</f>
        <v>Clerk</v>
      </c>
      <c r="P126" t="str">
        <f>IFERROR(_xlfn.XLOOKUP(tbl_HR_Data[[#This Row],[Email]], Mapping[Email_Discarded], Mapping[Email_Correction]), LOWER(TRIM(tbl_HR_Data[[#This Row],[Email]])))</f>
        <v>not provided</v>
      </c>
      <c r="Q12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126" t="str" cm="1">
        <f t="array" ref="R126">_xlfn.REDUCE(Q126, {"-","/","_","\","(",")"}, _xlfn.LAMBDA(_xlpm.txt,_xlpm.itm, SUBSTITUTE(_xlpm.txt, _xlpm.itm, "")))</f>
        <v>0987654321</v>
      </c>
      <c r="S126" s="3">
        <f>IFERROR(_xlfn.XLOOKUP(tbl_HR_Data[[#This Row],[Joining Date]], Mapping[Joining_Discarded], Mapping[Joining_Correction]), VALUE(tbl_HR_Data[[#This Row],[Joining Date]]))</f>
        <v>43195</v>
      </c>
      <c r="T126" t="str">
        <f>TEXT(tbl_HR_Data[[#This Row],[Joining Date]], "mmm")</f>
        <v>Apr</v>
      </c>
      <c r="U126" t="str">
        <f>TEXT(tbl_HR_Data[[#This Row],[Joining Date]], "ddd")</f>
        <v>Thu</v>
      </c>
    </row>
    <row r="127" spans="1:21" x14ac:dyDescent="0.35">
      <c r="A127" t="s">
        <v>104</v>
      </c>
      <c r="B127">
        <v>40</v>
      </c>
      <c r="C127">
        <v>0</v>
      </c>
      <c r="D127" t="s">
        <v>18</v>
      </c>
      <c r="E127" t="s">
        <v>26</v>
      </c>
      <c r="F127" t="s">
        <v>43</v>
      </c>
      <c r="G127" s="3">
        <v>43195</v>
      </c>
      <c r="H127" t="str">
        <f>TEXT(tbl_HR_Data[[#This Row],[Joining Date]], "mmm")</f>
        <v>Apr</v>
      </c>
      <c r="I127" t="s">
        <v>92</v>
      </c>
      <c r="J127" t="s">
        <v>27</v>
      </c>
      <c r="K127" t="s">
        <v>15</v>
      </c>
      <c r="L127" t="s">
        <v>87</v>
      </c>
      <c r="M127">
        <f>IFERROR( _xlfn.XLOOKUP(TRIM(tbl_HR_Data[[#This Row],[Age]]),#REF!,#REF!), VALUE(TRIM(tbl_HR_Data[[#This Row],[Age]])))</f>
        <v>40</v>
      </c>
      <c r="N127" t="str">
        <f>IFERROR(_xlfn.XLOOKUP(tbl_HR_Data[[#This Row],[Gender]], Mapping[Gender _Discarded], Mapping[Gender_Correction]), PROPER(TRIM(tbl_HR_Data[[#This Row],[Gender]])))</f>
        <v>Female</v>
      </c>
      <c r="O127" t="str">
        <f>TRIM(tbl_HR_Data[[#This Row],[Position]])</f>
        <v>Assistant</v>
      </c>
      <c r="P127" t="str">
        <f>IFERROR(_xlfn.XLOOKUP(tbl_HR_Data[[#This Row],[Email]], Mapping[Email_Discarded], Mapping[Email_Correction]), LOWER(TRIM(tbl_HR_Data[[#This Row],[Email]])))</f>
        <v>email@example.com</v>
      </c>
      <c r="Q12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27" t="str" cm="1">
        <f t="array" ref="R127">_xlfn.REDUCE(Q127, {"-","/","_","\","(",")"}, _xlfn.LAMBDA(_xlpm.txt,_xlpm.itm, SUBSTITUTE(_xlpm.txt, _xlpm.itm, "")))</f>
        <v>1234567890</v>
      </c>
      <c r="S127" s="3">
        <f>IFERROR(_xlfn.XLOOKUP(tbl_HR_Data[[#This Row],[Joining Date]], Mapping[Joining_Discarded], Mapping[Joining_Correction]), VALUE(tbl_HR_Data[[#This Row],[Joining Date]]))</f>
        <v>43195</v>
      </c>
      <c r="T127" t="str">
        <f>TEXT(tbl_HR_Data[[#This Row],[Joining Date]], "mmm")</f>
        <v>Apr</v>
      </c>
      <c r="U127" t="str">
        <f>TEXT(tbl_HR_Data[[#This Row],[Joining Date]], "ddd")</f>
        <v>Thu</v>
      </c>
    </row>
    <row r="128" spans="1:21" x14ac:dyDescent="0.35">
      <c r="A128" t="s">
        <v>105</v>
      </c>
      <c r="B128">
        <v>30</v>
      </c>
      <c r="C128">
        <v>65000</v>
      </c>
      <c r="D128" t="s">
        <v>18</v>
      </c>
      <c r="E128" t="s">
        <v>30</v>
      </c>
      <c r="F128" t="s">
        <v>13</v>
      </c>
      <c r="G128" s="3">
        <v>43195</v>
      </c>
      <c r="H128" t="str">
        <f>TEXT(tbl_HR_Data[[#This Row],[Joining Date]], "mmm")</f>
        <v>Apr</v>
      </c>
      <c r="I128" t="s">
        <v>92</v>
      </c>
      <c r="J128" t="s">
        <v>31</v>
      </c>
      <c r="K128" t="s">
        <v>77</v>
      </c>
      <c r="L128" t="s">
        <v>88</v>
      </c>
      <c r="M128">
        <f>IFERROR( _xlfn.XLOOKUP(TRIM(tbl_HR_Data[[#This Row],[Age]]),#REF!,#REF!), VALUE(TRIM(tbl_HR_Data[[#This Row],[Age]])))</f>
        <v>30</v>
      </c>
      <c r="N128" t="str">
        <f>IFERROR(_xlfn.XLOOKUP(tbl_HR_Data[[#This Row],[Gender]], Mapping[Gender _Discarded], Mapping[Gender_Correction]), PROPER(TRIM(tbl_HR_Data[[#This Row],[Gender]])))</f>
        <v>Female</v>
      </c>
      <c r="O128" t="str">
        <f>TRIM(tbl_HR_Data[[#This Row],[Position]])</f>
        <v>Manager</v>
      </c>
      <c r="P128" t="str">
        <f>IFERROR(_xlfn.XLOOKUP(tbl_HR_Data[[#This Row],[Email]], Mapping[Email_Discarded], Mapping[Email_Correction]), LOWER(TRIM(tbl_HR_Data[[#This Row],[Email]])))</f>
        <v>not provided</v>
      </c>
      <c r="Q12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128" t="str" cm="1">
        <f t="array" ref="R128">_xlfn.REDUCE(Q128, {"-","/","_","\","(",")"}, _xlfn.LAMBDA(_xlpm.txt,_xlpm.itm, SUBSTITUTE(_xlpm.txt, _xlpm.itm, "")))</f>
        <v>0987654321</v>
      </c>
      <c r="S128" s="3">
        <f>IFERROR(_xlfn.XLOOKUP(tbl_HR_Data[[#This Row],[Joining Date]], Mapping[Joining_Discarded], Mapping[Joining_Correction]), VALUE(tbl_HR_Data[[#This Row],[Joining Date]]))</f>
        <v>43195</v>
      </c>
      <c r="T128" t="str">
        <f>TEXT(tbl_HR_Data[[#This Row],[Joining Date]], "mmm")</f>
        <v>Apr</v>
      </c>
      <c r="U128" t="str">
        <f>TEXT(tbl_HR_Data[[#This Row],[Joining Date]], "ddd")</f>
        <v>Thu</v>
      </c>
    </row>
    <row r="129" spans="1:21" x14ac:dyDescent="0.35">
      <c r="A129" t="s">
        <v>100</v>
      </c>
      <c r="B129">
        <v>30</v>
      </c>
      <c r="C129">
        <v>65000</v>
      </c>
      <c r="D129" t="s">
        <v>36</v>
      </c>
      <c r="E129" t="s">
        <v>19</v>
      </c>
      <c r="F129" t="s">
        <v>20</v>
      </c>
      <c r="G129" s="3">
        <v>43195</v>
      </c>
      <c r="H129" t="str">
        <f>TEXT(tbl_HR_Data[[#This Row],[Joining Date]], "mmm")</f>
        <v>Apr</v>
      </c>
      <c r="I129" t="s">
        <v>92</v>
      </c>
      <c r="J129" t="s">
        <v>14</v>
      </c>
      <c r="K129" t="s">
        <v>77</v>
      </c>
      <c r="L129" t="s">
        <v>77</v>
      </c>
      <c r="M129">
        <f>IFERROR( _xlfn.XLOOKUP(TRIM(tbl_HR_Data[[#This Row],[Age]]),#REF!,#REF!), VALUE(TRIM(tbl_HR_Data[[#This Row],[Age]])))</f>
        <v>30</v>
      </c>
      <c r="N129" t="str">
        <f>IFERROR(_xlfn.XLOOKUP(tbl_HR_Data[[#This Row],[Gender]], Mapping[Gender _Discarded], Mapping[Gender_Correction]), PROPER(TRIM(tbl_HR_Data[[#This Row],[Gender]])))</f>
        <v>Other</v>
      </c>
      <c r="O129" t="str">
        <f>TRIM(tbl_HR_Data[[#This Row],[Position]])</f>
        <v>Director</v>
      </c>
      <c r="P129" t="str">
        <f>IFERROR(_xlfn.XLOOKUP(tbl_HR_Data[[#This Row],[Email]], Mapping[Email_Discarded], Mapping[Email_Correction]), LOWER(TRIM(tbl_HR_Data[[#This Row],[Email]])))</f>
        <v>not provided</v>
      </c>
      <c r="Q12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29" t="str" cm="1">
        <f t="array" ref="R129">_xlfn.REDUCE(Q129, {"-","/","_","\","(",")"}, _xlfn.LAMBDA(_xlpm.txt,_xlpm.itm, SUBSTITUTE(_xlpm.txt, _xlpm.itm, "")))</f>
        <v>Not Provided</v>
      </c>
      <c r="S129" s="3">
        <f>IFERROR(_xlfn.XLOOKUP(tbl_HR_Data[[#This Row],[Joining Date]], Mapping[Joining_Discarded], Mapping[Joining_Correction]), VALUE(tbl_HR_Data[[#This Row],[Joining Date]]))</f>
        <v>43195</v>
      </c>
      <c r="T129" t="str">
        <f>TEXT(tbl_HR_Data[[#This Row],[Joining Date]], "mmm")</f>
        <v>Apr</v>
      </c>
      <c r="U129" t="str">
        <f>TEXT(tbl_HR_Data[[#This Row],[Joining Date]], "ddd")</f>
        <v>Thu</v>
      </c>
    </row>
    <row r="130" spans="1:21" x14ac:dyDescent="0.35">
      <c r="A130" t="s">
        <v>107</v>
      </c>
      <c r="B130">
        <v>50</v>
      </c>
      <c r="C130">
        <v>70000</v>
      </c>
      <c r="D130" t="s">
        <v>18</v>
      </c>
      <c r="E130" t="s">
        <v>26</v>
      </c>
      <c r="F130" t="s">
        <v>43</v>
      </c>
      <c r="G130" s="3">
        <v>43195</v>
      </c>
      <c r="H130" t="str">
        <f>TEXT(tbl_HR_Data[[#This Row],[Joining Date]], "mmm")</f>
        <v>Apr</v>
      </c>
      <c r="I130" t="s">
        <v>92</v>
      </c>
      <c r="J130" t="s">
        <v>14</v>
      </c>
      <c r="K130" t="s">
        <v>15</v>
      </c>
      <c r="L130" t="s">
        <v>87</v>
      </c>
      <c r="M130">
        <f>IFERROR( _xlfn.XLOOKUP(TRIM(tbl_HR_Data[[#This Row],[Age]]),#REF!,#REF!), VALUE(TRIM(tbl_HR_Data[[#This Row],[Age]])))</f>
        <v>50</v>
      </c>
      <c r="N130" t="str">
        <f>IFERROR(_xlfn.XLOOKUP(tbl_HR_Data[[#This Row],[Gender]], Mapping[Gender _Discarded], Mapping[Gender_Correction]), PROPER(TRIM(tbl_HR_Data[[#This Row],[Gender]])))</f>
        <v>Female</v>
      </c>
      <c r="O130" t="str">
        <f>TRIM(tbl_HR_Data[[#This Row],[Position]])</f>
        <v>Assistant</v>
      </c>
      <c r="P130" t="str">
        <f>IFERROR(_xlfn.XLOOKUP(tbl_HR_Data[[#This Row],[Email]], Mapping[Email_Discarded], Mapping[Email_Correction]), LOWER(TRIM(tbl_HR_Data[[#This Row],[Email]])))</f>
        <v>email@example.com</v>
      </c>
      <c r="Q13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30" t="str" cm="1">
        <f t="array" ref="R130">_xlfn.REDUCE(Q130, {"-","/","_","\","(",")"}, _xlfn.LAMBDA(_xlpm.txt,_xlpm.itm, SUBSTITUTE(_xlpm.txt, _xlpm.itm, "")))</f>
        <v>1234567890</v>
      </c>
      <c r="S130" s="3">
        <f>IFERROR(_xlfn.XLOOKUP(tbl_HR_Data[[#This Row],[Joining Date]], Mapping[Joining_Discarded], Mapping[Joining_Correction]), VALUE(tbl_HR_Data[[#This Row],[Joining Date]]))</f>
        <v>43195</v>
      </c>
      <c r="T130" t="str">
        <f>TEXT(tbl_HR_Data[[#This Row],[Joining Date]], "mmm")</f>
        <v>Apr</v>
      </c>
      <c r="U130" t="str">
        <f>TEXT(tbl_HR_Data[[#This Row],[Joining Date]], "ddd")</f>
        <v>Thu</v>
      </c>
    </row>
    <row r="131" spans="1:21" x14ac:dyDescent="0.35">
      <c r="A131" t="s">
        <v>102</v>
      </c>
      <c r="B131">
        <v>40</v>
      </c>
      <c r="C131">
        <v>70000</v>
      </c>
      <c r="D131" t="s">
        <v>11</v>
      </c>
      <c r="E131" t="s">
        <v>30</v>
      </c>
      <c r="F131" t="s">
        <v>13</v>
      </c>
      <c r="G131" s="3">
        <v>43195</v>
      </c>
      <c r="H131" t="str">
        <f>TEXT(tbl_HR_Data[[#This Row],[Joining Date]], "mmm")</f>
        <v>Apr</v>
      </c>
      <c r="I131" t="s">
        <v>92</v>
      </c>
      <c r="J131" t="s">
        <v>31</v>
      </c>
      <c r="K131" t="s">
        <v>15</v>
      </c>
      <c r="L131" t="s">
        <v>89</v>
      </c>
      <c r="M131">
        <f>IFERROR( _xlfn.XLOOKUP(TRIM(tbl_HR_Data[[#This Row],[Age]]),#REF!,#REF!), VALUE(TRIM(tbl_HR_Data[[#This Row],[Age]])))</f>
        <v>40</v>
      </c>
      <c r="N131" t="str">
        <f>IFERROR(_xlfn.XLOOKUP(tbl_HR_Data[[#This Row],[Gender]], Mapping[Gender _Discarded], Mapping[Gender_Correction]), PROPER(TRIM(tbl_HR_Data[[#This Row],[Gender]])))</f>
        <v>Male</v>
      </c>
      <c r="O131" t="str">
        <f>TRIM(tbl_HR_Data[[#This Row],[Position]])</f>
        <v>Manager</v>
      </c>
      <c r="P131" t="str">
        <f>IFERROR(_xlfn.XLOOKUP(tbl_HR_Data[[#This Row],[Email]], Mapping[Email_Discarded], Mapping[Email_Correction]), LOWER(TRIM(tbl_HR_Data[[#This Row],[Email]])))</f>
        <v>email@example.com</v>
      </c>
      <c r="Q13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131" t="str" cm="1">
        <f t="array" ref="R131">_xlfn.REDUCE(Q131, {"-","/","_","\","(",")"}, _xlfn.LAMBDA(_xlpm.txt,_xlpm.itm, SUBSTITUTE(_xlpm.txt, _xlpm.itm, "")))</f>
        <v>5555555555</v>
      </c>
      <c r="S131" s="3">
        <f>IFERROR(_xlfn.XLOOKUP(tbl_HR_Data[[#This Row],[Joining Date]], Mapping[Joining_Discarded], Mapping[Joining_Correction]), VALUE(tbl_HR_Data[[#This Row],[Joining Date]]))</f>
        <v>43195</v>
      </c>
      <c r="T131" t="str">
        <f>TEXT(tbl_HR_Data[[#This Row],[Joining Date]], "mmm")</f>
        <v>Apr</v>
      </c>
      <c r="U131" t="str">
        <f>TEXT(tbl_HR_Data[[#This Row],[Joining Date]], "ddd")</f>
        <v>Thu</v>
      </c>
    </row>
    <row r="132" spans="1:21" x14ac:dyDescent="0.35">
      <c r="A132" t="s">
        <v>102</v>
      </c>
      <c r="B132">
        <v>25</v>
      </c>
      <c r="C132">
        <v>65000</v>
      </c>
      <c r="D132" t="s">
        <v>36</v>
      </c>
      <c r="E132" t="s">
        <v>26</v>
      </c>
      <c r="F132" t="s">
        <v>43</v>
      </c>
      <c r="G132" s="3">
        <v>43195</v>
      </c>
      <c r="H132" t="str">
        <f>TEXT(tbl_HR_Data[[#This Row],[Joining Date]], "mmm")</f>
        <v>Apr</v>
      </c>
      <c r="I132" t="s">
        <v>92</v>
      </c>
      <c r="J132" t="s">
        <v>21</v>
      </c>
      <c r="K132" t="s">
        <v>15</v>
      </c>
      <c r="L132" t="s">
        <v>88</v>
      </c>
      <c r="M132">
        <f>IFERROR( _xlfn.XLOOKUP(TRIM(tbl_HR_Data[[#This Row],[Age]]),#REF!,#REF!), VALUE(TRIM(tbl_HR_Data[[#This Row],[Age]])))</f>
        <v>25</v>
      </c>
      <c r="N132" t="str">
        <f>IFERROR(_xlfn.XLOOKUP(tbl_HR_Data[[#This Row],[Gender]], Mapping[Gender _Discarded], Mapping[Gender_Correction]), PROPER(TRIM(tbl_HR_Data[[#This Row],[Gender]])))</f>
        <v>Other</v>
      </c>
      <c r="O132" t="str">
        <f>TRIM(tbl_HR_Data[[#This Row],[Position]])</f>
        <v>Assistant</v>
      </c>
      <c r="P132" t="str">
        <f>IFERROR(_xlfn.XLOOKUP(tbl_HR_Data[[#This Row],[Email]], Mapping[Email_Discarded], Mapping[Email_Correction]), LOWER(TRIM(tbl_HR_Data[[#This Row],[Email]])))</f>
        <v>email@example.com</v>
      </c>
      <c r="Q13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132" t="str" cm="1">
        <f t="array" ref="R132">_xlfn.REDUCE(Q132, {"-","/","_","\","(",")"}, _xlfn.LAMBDA(_xlpm.txt,_xlpm.itm, SUBSTITUTE(_xlpm.txt, _xlpm.itm, "")))</f>
        <v>0987654321</v>
      </c>
      <c r="S132" s="3">
        <f>IFERROR(_xlfn.XLOOKUP(tbl_HR_Data[[#This Row],[Joining Date]], Mapping[Joining_Discarded], Mapping[Joining_Correction]), VALUE(tbl_HR_Data[[#This Row],[Joining Date]]))</f>
        <v>43195</v>
      </c>
      <c r="T132" t="str">
        <f>TEXT(tbl_HR_Data[[#This Row],[Joining Date]], "mmm")</f>
        <v>Apr</v>
      </c>
      <c r="U132" t="str">
        <f>TEXT(tbl_HR_Data[[#This Row],[Joining Date]], "ddd")</f>
        <v>Thu</v>
      </c>
    </row>
    <row r="133" spans="1:21" x14ac:dyDescent="0.35">
      <c r="A133" t="s">
        <v>100</v>
      </c>
      <c r="B133">
        <v>25</v>
      </c>
      <c r="C133">
        <v>55000</v>
      </c>
      <c r="D133" t="s">
        <v>36</v>
      </c>
      <c r="E133" t="s">
        <v>30</v>
      </c>
      <c r="F133" t="s">
        <v>39</v>
      </c>
      <c r="G133" s="3">
        <v>43195</v>
      </c>
      <c r="H133" t="str">
        <f>TEXT(tbl_HR_Data[[#This Row],[Joining Date]], "mmm")</f>
        <v>Apr</v>
      </c>
      <c r="I133" t="s">
        <v>92</v>
      </c>
      <c r="J133" t="s">
        <v>41</v>
      </c>
      <c r="K133" t="s">
        <v>77</v>
      </c>
      <c r="L133" t="s">
        <v>77</v>
      </c>
      <c r="M133">
        <f>IFERROR( _xlfn.XLOOKUP(TRIM(tbl_HR_Data[[#This Row],[Age]]),#REF!,#REF!), VALUE(TRIM(tbl_HR_Data[[#This Row],[Age]])))</f>
        <v>25</v>
      </c>
      <c r="N133" t="str">
        <f>IFERROR(_xlfn.XLOOKUP(tbl_HR_Data[[#This Row],[Gender]], Mapping[Gender _Discarded], Mapping[Gender_Correction]), PROPER(TRIM(tbl_HR_Data[[#This Row],[Gender]])))</f>
        <v>Other</v>
      </c>
      <c r="O133" t="str">
        <f>TRIM(tbl_HR_Data[[#This Row],[Position]])</f>
        <v>Clerk</v>
      </c>
      <c r="P133" t="str">
        <f>IFERROR(_xlfn.XLOOKUP(tbl_HR_Data[[#This Row],[Email]], Mapping[Email_Discarded], Mapping[Email_Correction]), LOWER(TRIM(tbl_HR_Data[[#This Row],[Email]])))</f>
        <v>not provided</v>
      </c>
      <c r="Q13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33" t="str" cm="1">
        <f t="array" ref="R133">_xlfn.REDUCE(Q133, {"-","/","_","\","(",")"}, _xlfn.LAMBDA(_xlpm.txt,_xlpm.itm, SUBSTITUTE(_xlpm.txt, _xlpm.itm, "")))</f>
        <v>Not Provided</v>
      </c>
      <c r="S133" s="3">
        <f>IFERROR(_xlfn.XLOOKUP(tbl_HR_Data[[#This Row],[Joining Date]], Mapping[Joining_Discarded], Mapping[Joining_Correction]), VALUE(tbl_HR_Data[[#This Row],[Joining Date]]))</f>
        <v>43195</v>
      </c>
      <c r="T133" t="str">
        <f>TEXT(tbl_HR_Data[[#This Row],[Joining Date]], "mmm")</f>
        <v>Apr</v>
      </c>
      <c r="U133" t="str">
        <f>TEXT(tbl_HR_Data[[#This Row],[Joining Date]], "ddd")</f>
        <v>Thu</v>
      </c>
    </row>
    <row r="134" spans="1:21" x14ac:dyDescent="0.35">
      <c r="A134" t="s">
        <v>100</v>
      </c>
      <c r="B134">
        <v>35</v>
      </c>
      <c r="C134">
        <v>60000</v>
      </c>
      <c r="D134" t="s">
        <v>18</v>
      </c>
      <c r="E134" t="s">
        <v>19</v>
      </c>
      <c r="F134" t="s">
        <v>43</v>
      </c>
      <c r="G134" s="3">
        <v>43195</v>
      </c>
      <c r="H134" t="str">
        <f>TEXT(tbl_HR_Data[[#This Row],[Joining Date]], "mmm")</f>
        <v>Apr</v>
      </c>
      <c r="I134" t="s">
        <v>92</v>
      </c>
      <c r="J134" t="s">
        <v>14</v>
      </c>
      <c r="K134" t="s">
        <v>15</v>
      </c>
      <c r="L134" t="s">
        <v>89</v>
      </c>
      <c r="M134">
        <f>IFERROR( _xlfn.XLOOKUP(TRIM(tbl_HR_Data[[#This Row],[Age]]),#REF!,#REF!), VALUE(TRIM(tbl_HR_Data[[#This Row],[Age]])))</f>
        <v>35</v>
      </c>
      <c r="N134" t="str">
        <f>IFERROR(_xlfn.XLOOKUP(tbl_HR_Data[[#This Row],[Gender]], Mapping[Gender _Discarded], Mapping[Gender_Correction]), PROPER(TRIM(tbl_HR_Data[[#This Row],[Gender]])))</f>
        <v>Female</v>
      </c>
      <c r="O134" t="str">
        <f>TRIM(tbl_HR_Data[[#This Row],[Position]])</f>
        <v>Assistant</v>
      </c>
      <c r="P134" t="str">
        <f>IFERROR(_xlfn.XLOOKUP(tbl_HR_Data[[#This Row],[Email]], Mapping[Email_Discarded], Mapping[Email_Correction]), LOWER(TRIM(tbl_HR_Data[[#This Row],[Email]])))</f>
        <v>email@example.com</v>
      </c>
      <c r="Q13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134" t="str" cm="1">
        <f t="array" ref="R134">_xlfn.REDUCE(Q134, {"-","/","_","\","(",")"}, _xlfn.LAMBDA(_xlpm.txt,_xlpm.itm, SUBSTITUTE(_xlpm.txt, _xlpm.itm, "")))</f>
        <v>5555555555</v>
      </c>
      <c r="S134" s="3">
        <f>IFERROR(_xlfn.XLOOKUP(tbl_HR_Data[[#This Row],[Joining Date]], Mapping[Joining_Discarded], Mapping[Joining_Correction]), VALUE(tbl_HR_Data[[#This Row],[Joining Date]]))</f>
        <v>43195</v>
      </c>
      <c r="T134" t="str">
        <f>TEXT(tbl_HR_Data[[#This Row],[Joining Date]], "mmm")</f>
        <v>Apr</v>
      </c>
      <c r="U134" t="str">
        <f>TEXT(tbl_HR_Data[[#This Row],[Joining Date]], "ddd")</f>
        <v>Thu</v>
      </c>
    </row>
    <row r="135" spans="1:21" x14ac:dyDescent="0.35">
      <c r="A135" t="s">
        <v>105</v>
      </c>
      <c r="B135">
        <v>25</v>
      </c>
      <c r="C135">
        <v>65000</v>
      </c>
      <c r="D135" t="s">
        <v>36</v>
      </c>
      <c r="E135" t="s">
        <v>12</v>
      </c>
      <c r="F135" t="s">
        <v>43</v>
      </c>
      <c r="G135" s="3">
        <v>43195</v>
      </c>
      <c r="H135" t="str">
        <f>TEXT(tbl_HR_Data[[#This Row],[Joining Date]], "mmm")</f>
        <v>Apr</v>
      </c>
      <c r="I135" t="s">
        <v>92</v>
      </c>
      <c r="J135" t="s">
        <v>41</v>
      </c>
      <c r="K135" t="s">
        <v>15</v>
      </c>
      <c r="L135" t="s">
        <v>89</v>
      </c>
      <c r="M135">
        <f>IFERROR( _xlfn.XLOOKUP(TRIM(tbl_HR_Data[[#This Row],[Age]]),#REF!,#REF!), VALUE(TRIM(tbl_HR_Data[[#This Row],[Age]])))</f>
        <v>25</v>
      </c>
      <c r="N135" t="str">
        <f>IFERROR(_xlfn.XLOOKUP(tbl_HR_Data[[#This Row],[Gender]], Mapping[Gender _Discarded], Mapping[Gender_Correction]), PROPER(TRIM(tbl_HR_Data[[#This Row],[Gender]])))</f>
        <v>Other</v>
      </c>
      <c r="O135" t="str">
        <f>TRIM(tbl_HR_Data[[#This Row],[Position]])</f>
        <v>Assistant</v>
      </c>
      <c r="P135" t="str">
        <f>IFERROR(_xlfn.XLOOKUP(tbl_HR_Data[[#This Row],[Email]], Mapping[Email_Discarded], Mapping[Email_Correction]), LOWER(TRIM(tbl_HR_Data[[#This Row],[Email]])))</f>
        <v>email@example.com</v>
      </c>
      <c r="Q13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135" t="str" cm="1">
        <f t="array" ref="R135">_xlfn.REDUCE(Q135, {"-","/","_","\","(",")"}, _xlfn.LAMBDA(_xlpm.txt,_xlpm.itm, SUBSTITUTE(_xlpm.txt, _xlpm.itm, "")))</f>
        <v>5555555555</v>
      </c>
      <c r="S135" s="3">
        <f>IFERROR(_xlfn.XLOOKUP(tbl_HR_Data[[#This Row],[Joining Date]], Mapping[Joining_Discarded], Mapping[Joining_Correction]), VALUE(tbl_HR_Data[[#This Row],[Joining Date]]))</f>
        <v>43195</v>
      </c>
      <c r="T135" t="str">
        <f>TEXT(tbl_HR_Data[[#This Row],[Joining Date]], "mmm")</f>
        <v>Apr</v>
      </c>
      <c r="U135" t="str">
        <f>TEXT(tbl_HR_Data[[#This Row],[Joining Date]], "ddd")</f>
        <v>Thu</v>
      </c>
    </row>
    <row r="136" spans="1:21" x14ac:dyDescent="0.35">
      <c r="A136" t="s">
        <v>104</v>
      </c>
      <c r="B136">
        <v>0</v>
      </c>
      <c r="C136">
        <v>60000</v>
      </c>
      <c r="D136" t="s">
        <v>36</v>
      </c>
      <c r="E136" t="s">
        <v>26</v>
      </c>
      <c r="F136" t="s">
        <v>13</v>
      </c>
      <c r="G136" s="3">
        <v>43195</v>
      </c>
      <c r="H136" t="str">
        <f>TEXT(tbl_HR_Data[[#This Row],[Joining Date]], "mmm")</f>
        <v>Apr</v>
      </c>
      <c r="I136" t="s">
        <v>92</v>
      </c>
      <c r="J136" t="s">
        <v>31</v>
      </c>
      <c r="K136" t="s">
        <v>22</v>
      </c>
      <c r="L136" t="s">
        <v>88</v>
      </c>
      <c r="M136">
        <f>IFERROR( _xlfn.XLOOKUP(TRIM(tbl_HR_Data[[#This Row],[Age]]),#REF!,#REF!), VALUE(TRIM(tbl_HR_Data[[#This Row],[Age]])))</f>
        <v>0</v>
      </c>
      <c r="N136" t="str">
        <f>IFERROR(_xlfn.XLOOKUP(tbl_HR_Data[[#This Row],[Gender]], Mapping[Gender _Discarded], Mapping[Gender_Correction]), PROPER(TRIM(tbl_HR_Data[[#This Row],[Gender]])))</f>
        <v>Other</v>
      </c>
      <c r="O136" t="str">
        <f>TRIM(tbl_HR_Data[[#This Row],[Position]])</f>
        <v>Manager</v>
      </c>
      <c r="P136" t="str">
        <f>IFERROR(_xlfn.XLOOKUP(tbl_HR_Data[[#This Row],[Email]], Mapping[Email_Discarded], Mapping[Email_Correction]), LOWER(TRIM(tbl_HR_Data[[#This Row],[Email]])))</f>
        <v>user@domain.com</v>
      </c>
      <c r="Q13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136" t="str" cm="1">
        <f t="array" ref="R136">_xlfn.REDUCE(Q136, {"-","/","_","\","(",")"}, _xlfn.LAMBDA(_xlpm.txt,_xlpm.itm, SUBSTITUTE(_xlpm.txt, _xlpm.itm, "")))</f>
        <v>0987654321</v>
      </c>
      <c r="S136" s="3">
        <f>IFERROR(_xlfn.XLOOKUP(tbl_HR_Data[[#This Row],[Joining Date]], Mapping[Joining_Discarded], Mapping[Joining_Correction]), VALUE(tbl_HR_Data[[#This Row],[Joining Date]]))</f>
        <v>43195</v>
      </c>
      <c r="T136" t="str">
        <f>TEXT(tbl_HR_Data[[#This Row],[Joining Date]], "mmm")</f>
        <v>Apr</v>
      </c>
      <c r="U136" t="str">
        <f>TEXT(tbl_HR_Data[[#This Row],[Joining Date]], "ddd")</f>
        <v>Thu</v>
      </c>
    </row>
    <row r="137" spans="1:21" x14ac:dyDescent="0.35">
      <c r="A137" t="s">
        <v>107</v>
      </c>
      <c r="B137">
        <v>0</v>
      </c>
      <c r="C137">
        <v>70000</v>
      </c>
      <c r="D137" t="s">
        <v>36</v>
      </c>
      <c r="E137" t="s">
        <v>37</v>
      </c>
      <c r="F137" t="s">
        <v>20</v>
      </c>
      <c r="G137" s="3">
        <v>43195</v>
      </c>
      <c r="H137" t="str">
        <f>TEXT(tbl_HR_Data[[#This Row],[Joining Date]], "mmm")</f>
        <v>Apr</v>
      </c>
      <c r="I137" t="s">
        <v>92</v>
      </c>
      <c r="J137" t="s">
        <v>27</v>
      </c>
      <c r="K137" t="s">
        <v>32</v>
      </c>
      <c r="L137" t="s">
        <v>77</v>
      </c>
      <c r="M137">
        <f>IFERROR( _xlfn.XLOOKUP(TRIM(tbl_HR_Data[[#This Row],[Age]]),#REF!,#REF!), VALUE(TRIM(tbl_HR_Data[[#This Row],[Age]])))</f>
        <v>0</v>
      </c>
      <c r="N137" t="str">
        <f>IFERROR(_xlfn.XLOOKUP(tbl_HR_Data[[#This Row],[Gender]], Mapping[Gender _Discarded], Mapping[Gender_Correction]), PROPER(TRIM(tbl_HR_Data[[#This Row],[Gender]])))</f>
        <v>Other</v>
      </c>
      <c r="O137" t="str">
        <f>TRIM(tbl_HR_Data[[#This Row],[Position]])</f>
        <v>Director</v>
      </c>
      <c r="P137" t="str">
        <f>IFERROR(_xlfn.XLOOKUP(tbl_HR_Data[[#This Row],[Email]], Mapping[Email_Discarded], Mapping[Email_Correction]), LOWER(TRIM(tbl_HR_Data[[#This Row],[Email]])))</f>
        <v>name@company.org</v>
      </c>
      <c r="Q13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37" t="str" cm="1">
        <f t="array" ref="R137">_xlfn.REDUCE(Q137, {"-","/","_","\","(",")"}, _xlfn.LAMBDA(_xlpm.txt,_xlpm.itm, SUBSTITUTE(_xlpm.txt, _xlpm.itm, "")))</f>
        <v>Not Provided</v>
      </c>
      <c r="S137" s="3">
        <f>IFERROR(_xlfn.XLOOKUP(tbl_HR_Data[[#This Row],[Joining Date]], Mapping[Joining_Discarded], Mapping[Joining_Correction]), VALUE(tbl_HR_Data[[#This Row],[Joining Date]]))</f>
        <v>43195</v>
      </c>
      <c r="T137" t="str">
        <f>TEXT(tbl_HR_Data[[#This Row],[Joining Date]], "mmm")</f>
        <v>Apr</v>
      </c>
      <c r="U137" t="str">
        <f>TEXT(tbl_HR_Data[[#This Row],[Joining Date]], "ddd")</f>
        <v>Thu</v>
      </c>
    </row>
    <row r="138" spans="1:21" x14ac:dyDescent="0.35">
      <c r="A138" t="s">
        <v>103</v>
      </c>
      <c r="B138">
        <v>0</v>
      </c>
      <c r="C138">
        <v>0</v>
      </c>
      <c r="D138" t="s">
        <v>36</v>
      </c>
      <c r="E138" t="s">
        <v>37</v>
      </c>
      <c r="F138" t="s">
        <v>44</v>
      </c>
      <c r="G138" s="3">
        <v>43195</v>
      </c>
      <c r="H138" t="str">
        <f>TEXT(tbl_HR_Data[[#This Row],[Joining Date]], "mmm")</f>
        <v>Apr</v>
      </c>
      <c r="I138" t="s">
        <v>92</v>
      </c>
      <c r="J138" t="s">
        <v>27</v>
      </c>
      <c r="K138" t="s">
        <v>22</v>
      </c>
      <c r="L138" t="s">
        <v>88</v>
      </c>
      <c r="M138">
        <f>IFERROR( _xlfn.XLOOKUP(TRIM(tbl_HR_Data[[#This Row],[Age]]),#REF!,#REF!), VALUE(TRIM(tbl_HR_Data[[#This Row],[Age]])))</f>
        <v>0</v>
      </c>
      <c r="N138" t="str">
        <f>IFERROR(_xlfn.XLOOKUP(tbl_HR_Data[[#This Row],[Gender]], Mapping[Gender _Discarded], Mapping[Gender_Correction]), PROPER(TRIM(tbl_HR_Data[[#This Row],[Gender]])))</f>
        <v>Other</v>
      </c>
      <c r="O138" t="str">
        <f>TRIM(tbl_HR_Data[[#This Row],[Position]])</f>
        <v>Analyst</v>
      </c>
      <c r="P138" t="str">
        <f>IFERROR(_xlfn.XLOOKUP(tbl_HR_Data[[#This Row],[Email]], Mapping[Email_Discarded], Mapping[Email_Correction]), LOWER(TRIM(tbl_HR_Data[[#This Row],[Email]])))</f>
        <v>user@domain.com</v>
      </c>
      <c r="Q13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138" t="str" cm="1">
        <f t="array" ref="R138">_xlfn.REDUCE(Q138, {"-","/","_","\","(",")"}, _xlfn.LAMBDA(_xlpm.txt,_xlpm.itm, SUBSTITUTE(_xlpm.txt, _xlpm.itm, "")))</f>
        <v>0987654321</v>
      </c>
      <c r="S138" s="3">
        <f>IFERROR(_xlfn.XLOOKUP(tbl_HR_Data[[#This Row],[Joining Date]], Mapping[Joining_Discarded], Mapping[Joining_Correction]), VALUE(tbl_HR_Data[[#This Row],[Joining Date]]))</f>
        <v>43195</v>
      </c>
      <c r="T138" t="str">
        <f>TEXT(tbl_HR_Data[[#This Row],[Joining Date]], "mmm")</f>
        <v>Apr</v>
      </c>
      <c r="U138" t="str">
        <f>TEXT(tbl_HR_Data[[#This Row],[Joining Date]], "ddd")</f>
        <v>Thu</v>
      </c>
    </row>
    <row r="139" spans="1:21" x14ac:dyDescent="0.35">
      <c r="A139" t="s">
        <v>104</v>
      </c>
      <c r="B139">
        <v>25</v>
      </c>
      <c r="C139">
        <v>65000</v>
      </c>
      <c r="D139" t="s">
        <v>11</v>
      </c>
      <c r="E139" t="s">
        <v>30</v>
      </c>
      <c r="F139" t="s">
        <v>44</v>
      </c>
      <c r="G139" s="3">
        <v>43195</v>
      </c>
      <c r="H139" t="str">
        <f>TEXT(tbl_HR_Data[[#This Row],[Joining Date]], "mmm")</f>
        <v>Apr</v>
      </c>
      <c r="I139" t="s">
        <v>92</v>
      </c>
      <c r="J139" t="s">
        <v>41</v>
      </c>
      <c r="K139" t="s">
        <v>22</v>
      </c>
      <c r="L139" t="s">
        <v>89</v>
      </c>
      <c r="M139">
        <f>IFERROR( _xlfn.XLOOKUP(TRIM(tbl_HR_Data[[#This Row],[Age]]),#REF!,#REF!), VALUE(TRIM(tbl_HR_Data[[#This Row],[Age]])))</f>
        <v>25</v>
      </c>
      <c r="N139" t="str">
        <f>IFERROR(_xlfn.XLOOKUP(tbl_HR_Data[[#This Row],[Gender]], Mapping[Gender _Discarded], Mapping[Gender_Correction]), PROPER(TRIM(tbl_HR_Data[[#This Row],[Gender]])))</f>
        <v>Male</v>
      </c>
      <c r="O139" t="str">
        <f>TRIM(tbl_HR_Data[[#This Row],[Position]])</f>
        <v>Analyst</v>
      </c>
      <c r="P139" t="str">
        <f>IFERROR(_xlfn.XLOOKUP(tbl_HR_Data[[#This Row],[Email]], Mapping[Email_Discarded], Mapping[Email_Correction]), LOWER(TRIM(tbl_HR_Data[[#This Row],[Email]])))</f>
        <v>user@domain.com</v>
      </c>
      <c r="Q13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139" t="str" cm="1">
        <f t="array" ref="R139">_xlfn.REDUCE(Q139, {"-","/","_","\","(",")"}, _xlfn.LAMBDA(_xlpm.txt,_xlpm.itm, SUBSTITUTE(_xlpm.txt, _xlpm.itm, "")))</f>
        <v>5555555555</v>
      </c>
      <c r="S139" s="3">
        <f>IFERROR(_xlfn.XLOOKUP(tbl_HR_Data[[#This Row],[Joining Date]], Mapping[Joining_Discarded], Mapping[Joining_Correction]), VALUE(tbl_HR_Data[[#This Row],[Joining Date]]))</f>
        <v>43195</v>
      </c>
      <c r="T139" t="str">
        <f>TEXT(tbl_HR_Data[[#This Row],[Joining Date]], "mmm")</f>
        <v>Apr</v>
      </c>
      <c r="U139" t="str">
        <f>TEXT(tbl_HR_Data[[#This Row],[Joining Date]], "ddd")</f>
        <v>Thu</v>
      </c>
    </row>
    <row r="140" spans="1:21" x14ac:dyDescent="0.35">
      <c r="A140" t="s">
        <v>105</v>
      </c>
      <c r="B140">
        <v>30</v>
      </c>
      <c r="C140">
        <v>50000</v>
      </c>
      <c r="D140" t="s">
        <v>11</v>
      </c>
      <c r="E140" t="s">
        <v>19</v>
      </c>
      <c r="F140" t="s">
        <v>13</v>
      </c>
      <c r="G140" s="3">
        <v>43195</v>
      </c>
      <c r="H140" t="str">
        <f>TEXT(tbl_HR_Data[[#This Row],[Joining Date]], "mmm")</f>
        <v>Apr</v>
      </c>
      <c r="I140" t="s">
        <v>92</v>
      </c>
      <c r="J140" t="s">
        <v>27</v>
      </c>
      <c r="K140" t="s">
        <v>77</v>
      </c>
      <c r="L140" t="s">
        <v>77</v>
      </c>
      <c r="M140">
        <f>IFERROR( _xlfn.XLOOKUP(TRIM(tbl_HR_Data[[#This Row],[Age]]),#REF!,#REF!), VALUE(TRIM(tbl_HR_Data[[#This Row],[Age]])))</f>
        <v>30</v>
      </c>
      <c r="N140" t="str">
        <f>IFERROR(_xlfn.XLOOKUP(tbl_HR_Data[[#This Row],[Gender]], Mapping[Gender _Discarded], Mapping[Gender_Correction]), PROPER(TRIM(tbl_HR_Data[[#This Row],[Gender]])))</f>
        <v>Male</v>
      </c>
      <c r="O140" t="str">
        <f>TRIM(tbl_HR_Data[[#This Row],[Position]])</f>
        <v>Manager</v>
      </c>
      <c r="P140" t="str">
        <f>IFERROR(_xlfn.XLOOKUP(tbl_HR_Data[[#This Row],[Email]], Mapping[Email_Discarded], Mapping[Email_Correction]), LOWER(TRIM(tbl_HR_Data[[#This Row],[Email]])))</f>
        <v>not provided</v>
      </c>
      <c r="Q14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40" t="str" cm="1">
        <f t="array" ref="R140">_xlfn.REDUCE(Q140, {"-","/","_","\","(",")"}, _xlfn.LAMBDA(_xlpm.txt,_xlpm.itm, SUBSTITUTE(_xlpm.txt, _xlpm.itm, "")))</f>
        <v>Not Provided</v>
      </c>
      <c r="S140" s="3">
        <f>IFERROR(_xlfn.XLOOKUP(tbl_HR_Data[[#This Row],[Joining Date]], Mapping[Joining_Discarded], Mapping[Joining_Correction]), VALUE(tbl_HR_Data[[#This Row],[Joining Date]]))</f>
        <v>43195</v>
      </c>
      <c r="T140" t="str">
        <f>TEXT(tbl_HR_Data[[#This Row],[Joining Date]], "mmm")</f>
        <v>Apr</v>
      </c>
      <c r="U140" t="str">
        <f>TEXT(tbl_HR_Data[[#This Row],[Joining Date]], "ddd")</f>
        <v>Thu</v>
      </c>
    </row>
    <row r="141" spans="1:21" x14ac:dyDescent="0.35">
      <c r="A141" t="s">
        <v>107</v>
      </c>
      <c r="B141">
        <v>0</v>
      </c>
      <c r="C141">
        <v>65000</v>
      </c>
      <c r="D141" t="s">
        <v>11</v>
      </c>
      <c r="E141" t="s">
        <v>26</v>
      </c>
      <c r="F141" t="s">
        <v>39</v>
      </c>
      <c r="G141" s="3">
        <v>43195</v>
      </c>
      <c r="H141" t="str">
        <f>TEXT(tbl_HR_Data[[#This Row],[Joining Date]], "mmm")</f>
        <v>Apr</v>
      </c>
      <c r="I141" t="s">
        <v>92</v>
      </c>
      <c r="J141" t="s">
        <v>14</v>
      </c>
      <c r="K141" t="s">
        <v>15</v>
      </c>
      <c r="L141" t="s">
        <v>89</v>
      </c>
      <c r="M141">
        <f>IFERROR( _xlfn.XLOOKUP(TRIM(tbl_HR_Data[[#This Row],[Age]]),#REF!,#REF!), VALUE(TRIM(tbl_HR_Data[[#This Row],[Age]])))</f>
        <v>0</v>
      </c>
      <c r="N141" t="str">
        <f>IFERROR(_xlfn.XLOOKUP(tbl_HR_Data[[#This Row],[Gender]], Mapping[Gender _Discarded], Mapping[Gender_Correction]), PROPER(TRIM(tbl_HR_Data[[#This Row],[Gender]])))</f>
        <v>Male</v>
      </c>
      <c r="O141" t="str">
        <f>TRIM(tbl_HR_Data[[#This Row],[Position]])</f>
        <v>Clerk</v>
      </c>
      <c r="P141" t="str">
        <f>IFERROR(_xlfn.XLOOKUP(tbl_HR_Data[[#This Row],[Email]], Mapping[Email_Discarded], Mapping[Email_Correction]), LOWER(TRIM(tbl_HR_Data[[#This Row],[Email]])))</f>
        <v>email@example.com</v>
      </c>
      <c r="Q14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141" t="str" cm="1">
        <f t="array" ref="R141">_xlfn.REDUCE(Q141, {"-","/","_","\","(",")"}, _xlfn.LAMBDA(_xlpm.txt,_xlpm.itm, SUBSTITUTE(_xlpm.txt, _xlpm.itm, "")))</f>
        <v>5555555555</v>
      </c>
      <c r="S141" s="3">
        <f>IFERROR(_xlfn.XLOOKUP(tbl_HR_Data[[#This Row],[Joining Date]], Mapping[Joining_Discarded], Mapping[Joining_Correction]), VALUE(tbl_HR_Data[[#This Row],[Joining Date]]))</f>
        <v>43195</v>
      </c>
      <c r="T141" t="str">
        <f>TEXT(tbl_HR_Data[[#This Row],[Joining Date]], "mmm")</f>
        <v>Apr</v>
      </c>
      <c r="U141" t="str">
        <f>TEXT(tbl_HR_Data[[#This Row],[Joining Date]], "ddd")</f>
        <v>Thu</v>
      </c>
    </row>
    <row r="142" spans="1:21" x14ac:dyDescent="0.35">
      <c r="A142" t="s">
        <v>103</v>
      </c>
      <c r="B142">
        <v>35</v>
      </c>
      <c r="C142">
        <v>50000</v>
      </c>
      <c r="D142" t="s">
        <v>11</v>
      </c>
      <c r="E142" t="s">
        <v>30</v>
      </c>
      <c r="F142" t="s">
        <v>43</v>
      </c>
      <c r="G142" s="3">
        <v>43195</v>
      </c>
      <c r="H142" t="str">
        <f>TEXT(tbl_HR_Data[[#This Row],[Joining Date]], "mmm")</f>
        <v>Apr</v>
      </c>
      <c r="I142" t="s">
        <v>92</v>
      </c>
      <c r="J142" t="s">
        <v>41</v>
      </c>
      <c r="K142" t="s">
        <v>77</v>
      </c>
      <c r="L142" t="s">
        <v>77</v>
      </c>
      <c r="M142">
        <f>IFERROR( _xlfn.XLOOKUP(TRIM(tbl_HR_Data[[#This Row],[Age]]),#REF!,#REF!), VALUE(TRIM(tbl_HR_Data[[#This Row],[Age]])))</f>
        <v>35</v>
      </c>
      <c r="N142" t="str">
        <f>IFERROR(_xlfn.XLOOKUP(tbl_HR_Data[[#This Row],[Gender]], Mapping[Gender _Discarded], Mapping[Gender_Correction]), PROPER(TRIM(tbl_HR_Data[[#This Row],[Gender]])))</f>
        <v>Male</v>
      </c>
      <c r="O142" t="str">
        <f>TRIM(tbl_HR_Data[[#This Row],[Position]])</f>
        <v>Assistant</v>
      </c>
      <c r="P142" t="str">
        <f>IFERROR(_xlfn.XLOOKUP(tbl_HR_Data[[#This Row],[Email]], Mapping[Email_Discarded], Mapping[Email_Correction]), LOWER(TRIM(tbl_HR_Data[[#This Row],[Email]])))</f>
        <v>not provided</v>
      </c>
      <c r="Q14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42" t="str" cm="1">
        <f t="array" ref="R142">_xlfn.REDUCE(Q142, {"-","/","_","\","(",")"}, _xlfn.LAMBDA(_xlpm.txt,_xlpm.itm, SUBSTITUTE(_xlpm.txt, _xlpm.itm, "")))</f>
        <v>Not Provided</v>
      </c>
      <c r="S142" s="3">
        <f>IFERROR(_xlfn.XLOOKUP(tbl_HR_Data[[#This Row],[Joining Date]], Mapping[Joining_Discarded], Mapping[Joining_Correction]), VALUE(tbl_HR_Data[[#This Row],[Joining Date]]))</f>
        <v>43195</v>
      </c>
      <c r="T142" t="str">
        <f>TEXT(tbl_HR_Data[[#This Row],[Joining Date]], "mmm")</f>
        <v>Apr</v>
      </c>
      <c r="U142" t="str">
        <f>TEXT(tbl_HR_Data[[#This Row],[Joining Date]], "ddd")</f>
        <v>Thu</v>
      </c>
    </row>
    <row r="143" spans="1:21" x14ac:dyDescent="0.35">
      <c r="A143" t="s">
        <v>99</v>
      </c>
      <c r="B143">
        <v>50</v>
      </c>
      <c r="C143">
        <v>0</v>
      </c>
      <c r="D143" t="s">
        <v>11</v>
      </c>
      <c r="E143" t="s">
        <v>19</v>
      </c>
      <c r="F143" t="s">
        <v>20</v>
      </c>
      <c r="G143" s="3">
        <v>43195</v>
      </c>
      <c r="H143" t="str">
        <f>TEXT(tbl_HR_Data[[#This Row],[Joining Date]], "mmm")</f>
        <v>Apr</v>
      </c>
      <c r="I143" t="s">
        <v>92</v>
      </c>
      <c r="J143" t="s">
        <v>41</v>
      </c>
      <c r="K143" t="s">
        <v>77</v>
      </c>
      <c r="L143" t="s">
        <v>77</v>
      </c>
      <c r="M143">
        <f>IFERROR( _xlfn.XLOOKUP(TRIM(tbl_HR_Data[[#This Row],[Age]]),#REF!,#REF!), VALUE(TRIM(tbl_HR_Data[[#This Row],[Age]])))</f>
        <v>50</v>
      </c>
      <c r="N143" t="str">
        <f>IFERROR(_xlfn.XLOOKUP(tbl_HR_Data[[#This Row],[Gender]], Mapping[Gender _Discarded], Mapping[Gender_Correction]), PROPER(TRIM(tbl_HR_Data[[#This Row],[Gender]])))</f>
        <v>Male</v>
      </c>
      <c r="O143" t="str">
        <f>TRIM(tbl_HR_Data[[#This Row],[Position]])</f>
        <v>Director</v>
      </c>
      <c r="P143" t="str">
        <f>IFERROR(_xlfn.XLOOKUP(tbl_HR_Data[[#This Row],[Email]], Mapping[Email_Discarded], Mapping[Email_Correction]), LOWER(TRIM(tbl_HR_Data[[#This Row],[Email]])))</f>
        <v>not provided</v>
      </c>
      <c r="Q14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43" t="str" cm="1">
        <f t="array" ref="R143">_xlfn.REDUCE(Q143, {"-","/","_","\","(",")"}, _xlfn.LAMBDA(_xlpm.txt,_xlpm.itm, SUBSTITUTE(_xlpm.txt, _xlpm.itm, "")))</f>
        <v>Not Provided</v>
      </c>
      <c r="S143" s="3">
        <f>IFERROR(_xlfn.XLOOKUP(tbl_HR_Data[[#This Row],[Joining Date]], Mapping[Joining_Discarded], Mapping[Joining_Correction]), VALUE(tbl_HR_Data[[#This Row],[Joining Date]]))</f>
        <v>43195</v>
      </c>
      <c r="T143" t="str">
        <f>TEXT(tbl_HR_Data[[#This Row],[Joining Date]], "mmm")</f>
        <v>Apr</v>
      </c>
      <c r="U143" t="str">
        <f>TEXT(tbl_HR_Data[[#This Row],[Joining Date]], "ddd")</f>
        <v>Thu</v>
      </c>
    </row>
    <row r="144" spans="1:21" x14ac:dyDescent="0.35">
      <c r="A144" t="s">
        <v>103</v>
      </c>
      <c r="B144">
        <v>30</v>
      </c>
      <c r="C144">
        <v>0</v>
      </c>
      <c r="D144" t="s">
        <v>36</v>
      </c>
      <c r="E144" t="s">
        <v>26</v>
      </c>
      <c r="F144" t="s">
        <v>43</v>
      </c>
      <c r="G144" s="3">
        <v>43195</v>
      </c>
      <c r="H144" t="str">
        <f>TEXT(tbl_HR_Data[[#This Row],[Joining Date]], "mmm")</f>
        <v>Apr</v>
      </c>
      <c r="I144" t="s">
        <v>92</v>
      </c>
      <c r="J144" t="s">
        <v>31</v>
      </c>
      <c r="K144" t="s">
        <v>77</v>
      </c>
      <c r="L144" t="s">
        <v>88</v>
      </c>
      <c r="M144">
        <f>IFERROR( _xlfn.XLOOKUP(TRIM(tbl_HR_Data[[#This Row],[Age]]),#REF!,#REF!), VALUE(TRIM(tbl_HR_Data[[#This Row],[Age]])))</f>
        <v>30</v>
      </c>
      <c r="N144" t="str">
        <f>IFERROR(_xlfn.XLOOKUP(tbl_HR_Data[[#This Row],[Gender]], Mapping[Gender _Discarded], Mapping[Gender_Correction]), PROPER(TRIM(tbl_HR_Data[[#This Row],[Gender]])))</f>
        <v>Other</v>
      </c>
      <c r="O144" t="str">
        <f>TRIM(tbl_HR_Data[[#This Row],[Position]])</f>
        <v>Assistant</v>
      </c>
      <c r="P144" t="str">
        <f>IFERROR(_xlfn.XLOOKUP(tbl_HR_Data[[#This Row],[Email]], Mapping[Email_Discarded], Mapping[Email_Correction]), LOWER(TRIM(tbl_HR_Data[[#This Row],[Email]])))</f>
        <v>not provided</v>
      </c>
      <c r="Q14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144" t="str" cm="1">
        <f t="array" ref="R144">_xlfn.REDUCE(Q144, {"-","/","_","\","(",")"}, _xlfn.LAMBDA(_xlpm.txt,_xlpm.itm, SUBSTITUTE(_xlpm.txt, _xlpm.itm, "")))</f>
        <v>0987654321</v>
      </c>
      <c r="S144" s="3">
        <f>IFERROR(_xlfn.XLOOKUP(tbl_HR_Data[[#This Row],[Joining Date]], Mapping[Joining_Discarded], Mapping[Joining_Correction]), VALUE(tbl_HR_Data[[#This Row],[Joining Date]]))</f>
        <v>43195</v>
      </c>
      <c r="T144" t="str">
        <f>TEXT(tbl_HR_Data[[#This Row],[Joining Date]], "mmm")</f>
        <v>Apr</v>
      </c>
      <c r="U144" t="str">
        <f>TEXT(tbl_HR_Data[[#This Row],[Joining Date]], "ddd")</f>
        <v>Thu</v>
      </c>
    </row>
    <row r="145" spans="1:21" x14ac:dyDescent="0.35">
      <c r="A145" t="s">
        <v>106</v>
      </c>
      <c r="B145">
        <v>25</v>
      </c>
      <c r="C145">
        <v>70000</v>
      </c>
      <c r="D145" t="s">
        <v>18</v>
      </c>
      <c r="E145" t="s">
        <v>12</v>
      </c>
      <c r="F145" t="s">
        <v>43</v>
      </c>
      <c r="G145" s="3">
        <v>43195</v>
      </c>
      <c r="H145" t="str">
        <f>TEXT(tbl_HR_Data[[#This Row],[Joining Date]], "mmm")</f>
        <v>Apr</v>
      </c>
      <c r="I145" t="s">
        <v>92</v>
      </c>
      <c r="J145" t="s">
        <v>27</v>
      </c>
      <c r="K145" t="s">
        <v>15</v>
      </c>
      <c r="L145" t="s">
        <v>77</v>
      </c>
      <c r="M145">
        <f>IFERROR( _xlfn.XLOOKUP(TRIM(tbl_HR_Data[[#This Row],[Age]]),#REF!,#REF!), VALUE(TRIM(tbl_HR_Data[[#This Row],[Age]])))</f>
        <v>25</v>
      </c>
      <c r="N145" t="str">
        <f>IFERROR(_xlfn.XLOOKUP(tbl_HR_Data[[#This Row],[Gender]], Mapping[Gender _Discarded], Mapping[Gender_Correction]), PROPER(TRIM(tbl_HR_Data[[#This Row],[Gender]])))</f>
        <v>Female</v>
      </c>
      <c r="O145" t="str">
        <f>TRIM(tbl_HR_Data[[#This Row],[Position]])</f>
        <v>Assistant</v>
      </c>
      <c r="P145" t="str">
        <f>IFERROR(_xlfn.XLOOKUP(tbl_HR_Data[[#This Row],[Email]], Mapping[Email_Discarded], Mapping[Email_Correction]), LOWER(TRIM(tbl_HR_Data[[#This Row],[Email]])))</f>
        <v>email@example.com</v>
      </c>
      <c r="Q14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45" t="str" cm="1">
        <f t="array" ref="R145">_xlfn.REDUCE(Q145, {"-","/","_","\","(",")"}, _xlfn.LAMBDA(_xlpm.txt,_xlpm.itm, SUBSTITUTE(_xlpm.txt, _xlpm.itm, "")))</f>
        <v>Not Provided</v>
      </c>
      <c r="S145" s="3">
        <f>IFERROR(_xlfn.XLOOKUP(tbl_HR_Data[[#This Row],[Joining Date]], Mapping[Joining_Discarded], Mapping[Joining_Correction]), VALUE(tbl_HR_Data[[#This Row],[Joining Date]]))</f>
        <v>43195</v>
      </c>
      <c r="T145" t="str">
        <f>TEXT(tbl_HR_Data[[#This Row],[Joining Date]], "mmm")</f>
        <v>Apr</v>
      </c>
      <c r="U145" t="str">
        <f>TEXT(tbl_HR_Data[[#This Row],[Joining Date]], "ddd")</f>
        <v>Thu</v>
      </c>
    </row>
    <row r="146" spans="1:21" x14ac:dyDescent="0.35">
      <c r="A146" t="s">
        <v>104</v>
      </c>
      <c r="B146">
        <v>35</v>
      </c>
      <c r="C146">
        <v>50000</v>
      </c>
      <c r="D146" t="s">
        <v>11</v>
      </c>
      <c r="E146" t="s">
        <v>37</v>
      </c>
      <c r="F146" t="s">
        <v>20</v>
      </c>
      <c r="G146" s="3">
        <v>43195</v>
      </c>
      <c r="H146" t="str">
        <f>TEXT(tbl_HR_Data[[#This Row],[Joining Date]], "mmm")</f>
        <v>Apr</v>
      </c>
      <c r="I146" t="s">
        <v>92</v>
      </c>
      <c r="J146" t="s">
        <v>31</v>
      </c>
      <c r="K146" t="s">
        <v>15</v>
      </c>
      <c r="L146" t="s">
        <v>89</v>
      </c>
      <c r="M146">
        <f>IFERROR( _xlfn.XLOOKUP(TRIM(tbl_HR_Data[[#This Row],[Age]]),#REF!,#REF!), VALUE(TRIM(tbl_HR_Data[[#This Row],[Age]])))</f>
        <v>35</v>
      </c>
      <c r="N146" t="str">
        <f>IFERROR(_xlfn.XLOOKUP(tbl_HR_Data[[#This Row],[Gender]], Mapping[Gender _Discarded], Mapping[Gender_Correction]), PROPER(TRIM(tbl_HR_Data[[#This Row],[Gender]])))</f>
        <v>Male</v>
      </c>
      <c r="O146" t="str">
        <f>TRIM(tbl_HR_Data[[#This Row],[Position]])</f>
        <v>Director</v>
      </c>
      <c r="P146" t="str">
        <f>IFERROR(_xlfn.XLOOKUP(tbl_HR_Data[[#This Row],[Email]], Mapping[Email_Discarded], Mapping[Email_Correction]), LOWER(TRIM(tbl_HR_Data[[#This Row],[Email]])))</f>
        <v>email@example.com</v>
      </c>
      <c r="Q14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146" t="str" cm="1">
        <f t="array" ref="R146">_xlfn.REDUCE(Q146, {"-","/","_","\","(",")"}, _xlfn.LAMBDA(_xlpm.txt,_xlpm.itm, SUBSTITUTE(_xlpm.txt, _xlpm.itm, "")))</f>
        <v>5555555555</v>
      </c>
      <c r="S146" s="3">
        <f>IFERROR(_xlfn.XLOOKUP(tbl_HR_Data[[#This Row],[Joining Date]], Mapping[Joining_Discarded], Mapping[Joining_Correction]), VALUE(tbl_HR_Data[[#This Row],[Joining Date]]))</f>
        <v>43195</v>
      </c>
      <c r="T146" t="str">
        <f>TEXT(tbl_HR_Data[[#This Row],[Joining Date]], "mmm")</f>
        <v>Apr</v>
      </c>
      <c r="U146" t="str">
        <f>TEXT(tbl_HR_Data[[#This Row],[Joining Date]], "ddd")</f>
        <v>Thu</v>
      </c>
    </row>
    <row r="147" spans="1:21" x14ac:dyDescent="0.35">
      <c r="A147" t="s">
        <v>104</v>
      </c>
      <c r="B147">
        <v>50</v>
      </c>
      <c r="C147">
        <v>70000</v>
      </c>
      <c r="D147" t="s">
        <v>18</v>
      </c>
      <c r="E147" t="s">
        <v>26</v>
      </c>
      <c r="F147" t="s">
        <v>39</v>
      </c>
      <c r="G147" s="3">
        <v>43195</v>
      </c>
      <c r="H147" t="str">
        <f>TEXT(tbl_HR_Data[[#This Row],[Joining Date]], "mmm")</f>
        <v>Apr</v>
      </c>
      <c r="I147" t="s">
        <v>92</v>
      </c>
      <c r="J147" t="s">
        <v>14</v>
      </c>
      <c r="K147" t="s">
        <v>22</v>
      </c>
      <c r="L147" t="s">
        <v>87</v>
      </c>
      <c r="M147">
        <f>IFERROR( _xlfn.XLOOKUP(TRIM(tbl_HR_Data[[#This Row],[Age]]),#REF!,#REF!), VALUE(TRIM(tbl_HR_Data[[#This Row],[Age]])))</f>
        <v>50</v>
      </c>
      <c r="N147" t="str">
        <f>IFERROR(_xlfn.XLOOKUP(tbl_HR_Data[[#This Row],[Gender]], Mapping[Gender _Discarded], Mapping[Gender_Correction]), PROPER(TRIM(tbl_HR_Data[[#This Row],[Gender]])))</f>
        <v>Female</v>
      </c>
      <c r="O147" t="str">
        <f>TRIM(tbl_HR_Data[[#This Row],[Position]])</f>
        <v>Clerk</v>
      </c>
      <c r="P147" t="str">
        <f>IFERROR(_xlfn.XLOOKUP(tbl_HR_Data[[#This Row],[Email]], Mapping[Email_Discarded], Mapping[Email_Correction]), LOWER(TRIM(tbl_HR_Data[[#This Row],[Email]])))</f>
        <v>user@domain.com</v>
      </c>
      <c r="Q14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47" t="str" cm="1">
        <f t="array" ref="R147">_xlfn.REDUCE(Q147, {"-","/","_","\","(",")"}, _xlfn.LAMBDA(_xlpm.txt,_xlpm.itm, SUBSTITUTE(_xlpm.txt, _xlpm.itm, "")))</f>
        <v>1234567890</v>
      </c>
      <c r="S147" s="3">
        <f>IFERROR(_xlfn.XLOOKUP(tbl_HR_Data[[#This Row],[Joining Date]], Mapping[Joining_Discarded], Mapping[Joining_Correction]), VALUE(tbl_HR_Data[[#This Row],[Joining Date]]))</f>
        <v>43195</v>
      </c>
      <c r="T147" t="str">
        <f>TEXT(tbl_HR_Data[[#This Row],[Joining Date]], "mmm")</f>
        <v>Apr</v>
      </c>
      <c r="U147" t="str">
        <f>TEXT(tbl_HR_Data[[#This Row],[Joining Date]], "ddd")</f>
        <v>Thu</v>
      </c>
    </row>
    <row r="148" spans="1:21" x14ac:dyDescent="0.35">
      <c r="A148" t="s">
        <v>107</v>
      </c>
      <c r="B148">
        <v>0</v>
      </c>
      <c r="C148">
        <v>65000</v>
      </c>
      <c r="D148" t="s">
        <v>18</v>
      </c>
      <c r="E148" t="s">
        <v>19</v>
      </c>
      <c r="F148" t="s">
        <v>13</v>
      </c>
      <c r="G148" s="3">
        <v>43195</v>
      </c>
      <c r="H148" t="str">
        <f>TEXT(tbl_HR_Data[[#This Row],[Joining Date]], "mmm")</f>
        <v>Apr</v>
      </c>
      <c r="I148" t="s">
        <v>92</v>
      </c>
      <c r="J148" t="s">
        <v>41</v>
      </c>
      <c r="K148" t="s">
        <v>77</v>
      </c>
      <c r="L148" t="s">
        <v>77</v>
      </c>
      <c r="M148">
        <f>IFERROR( _xlfn.XLOOKUP(TRIM(tbl_HR_Data[[#This Row],[Age]]),#REF!,#REF!), VALUE(TRIM(tbl_HR_Data[[#This Row],[Age]])))</f>
        <v>0</v>
      </c>
      <c r="N148" t="str">
        <f>IFERROR(_xlfn.XLOOKUP(tbl_HR_Data[[#This Row],[Gender]], Mapping[Gender _Discarded], Mapping[Gender_Correction]), PROPER(TRIM(tbl_HR_Data[[#This Row],[Gender]])))</f>
        <v>Female</v>
      </c>
      <c r="O148" t="str">
        <f>TRIM(tbl_HR_Data[[#This Row],[Position]])</f>
        <v>Manager</v>
      </c>
      <c r="P148" t="str">
        <f>IFERROR(_xlfn.XLOOKUP(tbl_HR_Data[[#This Row],[Email]], Mapping[Email_Discarded], Mapping[Email_Correction]), LOWER(TRIM(tbl_HR_Data[[#This Row],[Email]])))</f>
        <v>not provided</v>
      </c>
      <c r="Q14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48" t="str" cm="1">
        <f t="array" ref="R148">_xlfn.REDUCE(Q148, {"-","/","_","\","(",")"}, _xlfn.LAMBDA(_xlpm.txt,_xlpm.itm, SUBSTITUTE(_xlpm.txt, _xlpm.itm, "")))</f>
        <v>Not Provided</v>
      </c>
      <c r="S148" s="3">
        <f>IFERROR(_xlfn.XLOOKUP(tbl_HR_Data[[#This Row],[Joining Date]], Mapping[Joining_Discarded], Mapping[Joining_Correction]), VALUE(tbl_HR_Data[[#This Row],[Joining Date]]))</f>
        <v>43195</v>
      </c>
      <c r="T148" t="str">
        <f>TEXT(tbl_HR_Data[[#This Row],[Joining Date]], "mmm")</f>
        <v>Apr</v>
      </c>
      <c r="U148" t="str">
        <f>TEXT(tbl_HR_Data[[#This Row],[Joining Date]], "ddd")</f>
        <v>Thu</v>
      </c>
    </row>
    <row r="149" spans="1:21" x14ac:dyDescent="0.35">
      <c r="A149" t="s">
        <v>104</v>
      </c>
      <c r="B149">
        <v>40</v>
      </c>
      <c r="C149">
        <v>65000</v>
      </c>
      <c r="D149" t="s">
        <v>36</v>
      </c>
      <c r="E149" t="s">
        <v>26</v>
      </c>
      <c r="F149" t="s">
        <v>20</v>
      </c>
      <c r="G149" s="3">
        <v>43195</v>
      </c>
      <c r="H149" t="str">
        <f>TEXT(tbl_HR_Data[[#This Row],[Joining Date]], "mmm")</f>
        <v>Apr</v>
      </c>
      <c r="I149" t="s">
        <v>92</v>
      </c>
      <c r="J149" t="s">
        <v>14</v>
      </c>
      <c r="K149" t="s">
        <v>32</v>
      </c>
      <c r="L149" t="s">
        <v>88</v>
      </c>
      <c r="M149">
        <f>IFERROR( _xlfn.XLOOKUP(TRIM(tbl_HR_Data[[#This Row],[Age]]),#REF!,#REF!), VALUE(TRIM(tbl_HR_Data[[#This Row],[Age]])))</f>
        <v>40</v>
      </c>
      <c r="N149" t="str">
        <f>IFERROR(_xlfn.XLOOKUP(tbl_HR_Data[[#This Row],[Gender]], Mapping[Gender _Discarded], Mapping[Gender_Correction]), PROPER(TRIM(tbl_HR_Data[[#This Row],[Gender]])))</f>
        <v>Other</v>
      </c>
      <c r="O149" t="str">
        <f>TRIM(tbl_HR_Data[[#This Row],[Position]])</f>
        <v>Director</v>
      </c>
      <c r="P149" t="str">
        <f>IFERROR(_xlfn.XLOOKUP(tbl_HR_Data[[#This Row],[Email]], Mapping[Email_Discarded], Mapping[Email_Correction]), LOWER(TRIM(tbl_HR_Data[[#This Row],[Email]])))</f>
        <v>name@company.org</v>
      </c>
      <c r="Q14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149" t="str" cm="1">
        <f t="array" ref="R149">_xlfn.REDUCE(Q149, {"-","/","_","\","(",")"}, _xlfn.LAMBDA(_xlpm.txt,_xlpm.itm, SUBSTITUTE(_xlpm.txt, _xlpm.itm, "")))</f>
        <v>0987654321</v>
      </c>
      <c r="S149" s="3">
        <f>IFERROR(_xlfn.XLOOKUP(tbl_HR_Data[[#This Row],[Joining Date]], Mapping[Joining_Discarded], Mapping[Joining_Correction]), VALUE(tbl_HR_Data[[#This Row],[Joining Date]]))</f>
        <v>43195</v>
      </c>
      <c r="T149" t="str">
        <f>TEXT(tbl_HR_Data[[#This Row],[Joining Date]], "mmm")</f>
        <v>Apr</v>
      </c>
      <c r="U149" t="str">
        <f>TEXT(tbl_HR_Data[[#This Row],[Joining Date]], "ddd")</f>
        <v>Thu</v>
      </c>
    </row>
    <row r="150" spans="1:21" x14ac:dyDescent="0.35">
      <c r="A150" t="s">
        <v>101</v>
      </c>
      <c r="B150">
        <v>30</v>
      </c>
      <c r="C150">
        <v>50000</v>
      </c>
      <c r="D150" t="s">
        <v>11</v>
      </c>
      <c r="E150" t="s">
        <v>19</v>
      </c>
      <c r="F150" t="s">
        <v>43</v>
      </c>
      <c r="G150" s="3">
        <v>43195</v>
      </c>
      <c r="H150" t="str">
        <f>TEXT(tbl_HR_Data[[#This Row],[Joining Date]], "mmm")</f>
        <v>Apr</v>
      </c>
      <c r="I150" t="s">
        <v>92</v>
      </c>
      <c r="J150" t="s">
        <v>41</v>
      </c>
      <c r="K150" t="s">
        <v>77</v>
      </c>
      <c r="L150" t="s">
        <v>88</v>
      </c>
      <c r="M150">
        <f>IFERROR( _xlfn.XLOOKUP(TRIM(tbl_HR_Data[[#This Row],[Age]]),#REF!,#REF!), VALUE(TRIM(tbl_HR_Data[[#This Row],[Age]])))</f>
        <v>30</v>
      </c>
      <c r="N150" t="str">
        <f>IFERROR(_xlfn.XLOOKUP(tbl_HR_Data[[#This Row],[Gender]], Mapping[Gender _Discarded], Mapping[Gender_Correction]), PROPER(TRIM(tbl_HR_Data[[#This Row],[Gender]])))</f>
        <v>Male</v>
      </c>
      <c r="O150" t="str">
        <f>TRIM(tbl_HR_Data[[#This Row],[Position]])</f>
        <v>Assistant</v>
      </c>
      <c r="P150" t="str">
        <f>IFERROR(_xlfn.XLOOKUP(tbl_HR_Data[[#This Row],[Email]], Mapping[Email_Discarded], Mapping[Email_Correction]), LOWER(TRIM(tbl_HR_Data[[#This Row],[Email]])))</f>
        <v>not provided</v>
      </c>
      <c r="Q15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150" t="str" cm="1">
        <f t="array" ref="R150">_xlfn.REDUCE(Q150, {"-","/","_","\","(",")"}, _xlfn.LAMBDA(_xlpm.txt,_xlpm.itm, SUBSTITUTE(_xlpm.txt, _xlpm.itm, "")))</f>
        <v>0987654321</v>
      </c>
      <c r="S150" s="3">
        <f>IFERROR(_xlfn.XLOOKUP(tbl_HR_Data[[#This Row],[Joining Date]], Mapping[Joining_Discarded], Mapping[Joining_Correction]), VALUE(tbl_HR_Data[[#This Row],[Joining Date]]))</f>
        <v>43195</v>
      </c>
      <c r="T150" t="str">
        <f>TEXT(tbl_HR_Data[[#This Row],[Joining Date]], "mmm")</f>
        <v>Apr</v>
      </c>
      <c r="U150" t="str">
        <f>TEXT(tbl_HR_Data[[#This Row],[Joining Date]], "ddd")</f>
        <v>Thu</v>
      </c>
    </row>
    <row r="151" spans="1:21" x14ac:dyDescent="0.35">
      <c r="A151" t="s">
        <v>102</v>
      </c>
      <c r="B151">
        <v>50</v>
      </c>
      <c r="C151">
        <v>0</v>
      </c>
      <c r="D151" t="s">
        <v>18</v>
      </c>
      <c r="E151" t="s">
        <v>19</v>
      </c>
      <c r="F151" t="s">
        <v>39</v>
      </c>
      <c r="G151" s="3">
        <v>43195</v>
      </c>
      <c r="H151" t="str">
        <f>TEXT(tbl_HR_Data[[#This Row],[Joining Date]], "mmm")</f>
        <v>Apr</v>
      </c>
      <c r="I151" t="s">
        <v>92</v>
      </c>
      <c r="J151" t="s">
        <v>41</v>
      </c>
      <c r="K151" t="s">
        <v>15</v>
      </c>
      <c r="L151" t="s">
        <v>77</v>
      </c>
      <c r="M151">
        <f>IFERROR( _xlfn.XLOOKUP(TRIM(tbl_HR_Data[[#This Row],[Age]]),#REF!,#REF!), VALUE(TRIM(tbl_HR_Data[[#This Row],[Age]])))</f>
        <v>50</v>
      </c>
      <c r="N151" t="str">
        <f>IFERROR(_xlfn.XLOOKUP(tbl_HR_Data[[#This Row],[Gender]], Mapping[Gender _Discarded], Mapping[Gender_Correction]), PROPER(TRIM(tbl_HR_Data[[#This Row],[Gender]])))</f>
        <v>Female</v>
      </c>
      <c r="O151" t="str">
        <f>TRIM(tbl_HR_Data[[#This Row],[Position]])</f>
        <v>Clerk</v>
      </c>
      <c r="P151" t="str">
        <f>IFERROR(_xlfn.XLOOKUP(tbl_HR_Data[[#This Row],[Email]], Mapping[Email_Discarded], Mapping[Email_Correction]), LOWER(TRIM(tbl_HR_Data[[#This Row],[Email]])))</f>
        <v>email@example.com</v>
      </c>
      <c r="Q15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51" t="str" cm="1">
        <f t="array" ref="R151">_xlfn.REDUCE(Q151, {"-","/","_","\","(",")"}, _xlfn.LAMBDA(_xlpm.txt,_xlpm.itm, SUBSTITUTE(_xlpm.txt, _xlpm.itm, "")))</f>
        <v>Not Provided</v>
      </c>
      <c r="S151" s="3">
        <f>IFERROR(_xlfn.XLOOKUP(tbl_HR_Data[[#This Row],[Joining Date]], Mapping[Joining_Discarded], Mapping[Joining_Correction]), VALUE(tbl_HR_Data[[#This Row],[Joining Date]]))</f>
        <v>43195</v>
      </c>
      <c r="T151" t="str">
        <f>TEXT(tbl_HR_Data[[#This Row],[Joining Date]], "mmm")</f>
        <v>Apr</v>
      </c>
      <c r="U151" t="str">
        <f>TEXT(tbl_HR_Data[[#This Row],[Joining Date]], "ddd")</f>
        <v>Thu</v>
      </c>
    </row>
    <row r="152" spans="1:21" x14ac:dyDescent="0.35">
      <c r="A152" t="s">
        <v>106</v>
      </c>
      <c r="B152">
        <v>0</v>
      </c>
      <c r="C152">
        <v>65000</v>
      </c>
      <c r="D152" t="s">
        <v>18</v>
      </c>
      <c r="E152" t="s">
        <v>30</v>
      </c>
      <c r="F152" t="s">
        <v>39</v>
      </c>
      <c r="G152" s="3">
        <v>43195</v>
      </c>
      <c r="H152" t="str">
        <f>TEXT(tbl_HR_Data[[#This Row],[Joining Date]], "mmm")</f>
        <v>Apr</v>
      </c>
      <c r="I152" t="s">
        <v>92</v>
      </c>
      <c r="J152" t="s">
        <v>21</v>
      </c>
      <c r="K152" t="s">
        <v>77</v>
      </c>
      <c r="L152" t="s">
        <v>89</v>
      </c>
      <c r="M152">
        <f>IFERROR( _xlfn.XLOOKUP(TRIM(tbl_HR_Data[[#This Row],[Age]]),#REF!,#REF!), VALUE(TRIM(tbl_HR_Data[[#This Row],[Age]])))</f>
        <v>0</v>
      </c>
      <c r="N152" t="str">
        <f>IFERROR(_xlfn.XLOOKUP(tbl_HR_Data[[#This Row],[Gender]], Mapping[Gender _Discarded], Mapping[Gender_Correction]), PROPER(TRIM(tbl_HR_Data[[#This Row],[Gender]])))</f>
        <v>Female</v>
      </c>
      <c r="O152" t="str">
        <f>TRIM(tbl_HR_Data[[#This Row],[Position]])</f>
        <v>Clerk</v>
      </c>
      <c r="P152" t="str">
        <f>IFERROR(_xlfn.XLOOKUP(tbl_HR_Data[[#This Row],[Email]], Mapping[Email_Discarded], Mapping[Email_Correction]), LOWER(TRIM(tbl_HR_Data[[#This Row],[Email]])))</f>
        <v>not provided</v>
      </c>
      <c r="Q15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152" t="str" cm="1">
        <f t="array" ref="R152">_xlfn.REDUCE(Q152, {"-","/","_","\","(",")"}, _xlfn.LAMBDA(_xlpm.txt,_xlpm.itm, SUBSTITUTE(_xlpm.txt, _xlpm.itm, "")))</f>
        <v>5555555555</v>
      </c>
      <c r="S152" s="3">
        <f>IFERROR(_xlfn.XLOOKUP(tbl_HR_Data[[#This Row],[Joining Date]], Mapping[Joining_Discarded], Mapping[Joining_Correction]), VALUE(tbl_HR_Data[[#This Row],[Joining Date]]))</f>
        <v>43195</v>
      </c>
      <c r="T152" t="str">
        <f>TEXT(tbl_HR_Data[[#This Row],[Joining Date]], "mmm")</f>
        <v>Apr</v>
      </c>
      <c r="U152" t="str">
        <f>TEXT(tbl_HR_Data[[#This Row],[Joining Date]], "ddd")</f>
        <v>Thu</v>
      </c>
    </row>
    <row r="153" spans="1:21" x14ac:dyDescent="0.35">
      <c r="A153" t="s">
        <v>107</v>
      </c>
      <c r="B153">
        <v>30</v>
      </c>
      <c r="C153">
        <v>65000</v>
      </c>
      <c r="D153" t="s">
        <v>18</v>
      </c>
      <c r="E153" t="s">
        <v>19</v>
      </c>
      <c r="F153" t="s">
        <v>44</v>
      </c>
      <c r="G153" s="3">
        <v>43195</v>
      </c>
      <c r="H153" t="str">
        <f>TEXT(tbl_HR_Data[[#This Row],[Joining Date]], "mmm")</f>
        <v>Apr</v>
      </c>
      <c r="I153" t="s">
        <v>92</v>
      </c>
      <c r="J153" t="s">
        <v>27</v>
      </c>
      <c r="K153" t="s">
        <v>15</v>
      </c>
      <c r="L153" t="s">
        <v>77</v>
      </c>
      <c r="M153">
        <f>IFERROR( _xlfn.XLOOKUP(TRIM(tbl_HR_Data[[#This Row],[Age]]),#REF!,#REF!), VALUE(TRIM(tbl_HR_Data[[#This Row],[Age]])))</f>
        <v>30</v>
      </c>
      <c r="N153" t="str">
        <f>IFERROR(_xlfn.XLOOKUP(tbl_HR_Data[[#This Row],[Gender]], Mapping[Gender _Discarded], Mapping[Gender_Correction]), PROPER(TRIM(tbl_HR_Data[[#This Row],[Gender]])))</f>
        <v>Female</v>
      </c>
      <c r="O153" t="str">
        <f>TRIM(tbl_HR_Data[[#This Row],[Position]])</f>
        <v>Analyst</v>
      </c>
      <c r="P153" t="str">
        <f>IFERROR(_xlfn.XLOOKUP(tbl_HR_Data[[#This Row],[Email]], Mapping[Email_Discarded], Mapping[Email_Correction]), LOWER(TRIM(tbl_HR_Data[[#This Row],[Email]])))</f>
        <v>email@example.com</v>
      </c>
      <c r="Q15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53" t="str" cm="1">
        <f t="array" ref="R153">_xlfn.REDUCE(Q153, {"-","/","_","\","(",")"}, _xlfn.LAMBDA(_xlpm.txt,_xlpm.itm, SUBSTITUTE(_xlpm.txt, _xlpm.itm, "")))</f>
        <v>Not Provided</v>
      </c>
      <c r="S153" s="3">
        <f>IFERROR(_xlfn.XLOOKUP(tbl_HR_Data[[#This Row],[Joining Date]], Mapping[Joining_Discarded], Mapping[Joining_Correction]), VALUE(tbl_HR_Data[[#This Row],[Joining Date]]))</f>
        <v>43195</v>
      </c>
      <c r="T153" t="str">
        <f>TEXT(tbl_HR_Data[[#This Row],[Joining Date]], "mmm")</f>
        <v>Apr</v>
      </c>
      <c r="U153" t="str">
        <f>TEXT(tbl_HR_Data[[#This Row],[Joining Date]], "ddd")</f>
        <v>Thu</v>
      </c>
    </row>
    <row r="154" spans="1:21" x14ac:dyDescent="0.35">
      <c r="A154" t="s">
        <v>107</v>
      </c>
      <c r="B154">
        <v>40</v>
      </c>
      <c r="C154">
        <v>0</v>
      </c>
      <c r="D154" t="s">
        <v>18</v>
      </c>
      <c r="E154" t="s">
        <v>19</v>
      </c>
      <c r="F154" t="s">
        <v>20</v>
      </c>
      <c r="G154" s="3">
        <v>43195</v>
      </c>
      <c r="H154" t="str">
        <f>TEXT(tbl_HR_Data[[#This Row],[Joining Date]], "mmm")</f>
        <v>Apr</v>
      </c>
      <c r="I154" t="s">
        <v>92</v>
      </c>
      <c r="J154" t="s">
        <v>27</v>
      </c>
      <c r="K154" t="s">
        <v>77</v>
      </c>
      <c r="L154" t="s">
        <v>77</v>
      </c>
      <c r="M154">
        <f>IFERROR( _xlfn.XLOOKUP(TRIM(tbl_HR_Data[[#This Row],[Age]]),#REF!,#REF!), VALUE(TRIM(tbl_HR_Data[[#This Row],[Age]])))</f>
        <v>40</v>
      </c>
      <c r="N154" t="str">
        <f>IFERROR(_xlfn.XLOOKUP(tbl_HR_Data[[#This Row],[Gender]], Mapping[Gender _Discarded], Mapping[Gender_Correction]), PROPER(TRIM(tbl_HR_Data[[#This Row],[Gender]])))</f>
        <v>Female</v>
      </c>
      <c r="O154" t="str">
        <f>TRIM(tbl_HR_Data[[#This Row],[Position]])</f>
        <v>Director</v>
      </c>
      <c r="P154" t="str">
        <f>IFERROR(_xlfn.XLOOKUP(tbl_HR_Data[[#This Row],[Email]], Mapping[Email_Discarded], Mapping[Email_Correction]), LOWER(TRIM(tbl_HR_Data[[#This Row],[Email]])))</f>
        <v>not provided</v>
      </c>
      <c r="Q15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54" t="str" cm="1">
        <f t="array" ref="R154">_xlfn.REDUCE(Q154, {"-","/","_","\","(",")"}, _xlfn.LAMBDA(_xlpm.txt,_xlpm.itm, SUBSTITUTE(_xlpm.txt, _xlpm.itm, "")))</f>
        <v>Not Provided</v>
      </c>
      <c r="S154" s="3">
        <f>IFERROR(_xlfn.XLOOKUP(tbl_HR_Data[[#This Row],[Joining Date]], Mapping[Joining_Discarded], Mapping[Joining_Correction]), VALUE(tbl_HR_Data[[#This Row],[Joining Date]]))</f>
        <v>43195</v>
      </c>
      <c r="T154" t="str">
        <f>TEXT(tbl_HR_Data[[#This Row],[Joining Date]], "mmm")</f>
        <v>Apr</v>
      </c>
      <c r="U154" t="str">
        <f>TEXT(tbl_HR_Data[[#This Row],[Joining Date]], "ddd")</f>
        <v>Thu</v>
      </c>
    </row>
    <row r="155" spans="1:21" x14ac:dyDescent="0.35">
      <c r="A155" t="s">
        <v>99</v>
      </c>
      <c r="B155">
        <v>0</v>
      </c>
      <c r="C155">
        <v>0</v>
      </c>
      <c r="D155" t="s">
        <v>11</v>
      </c>
      <c r="E155" t="s">
        <v>37</v>
      </c>
      <c r="F155" t="s">
        <v>39</v>
      </c>
      <c r="G155" s="3">
        <v>43195</v>
      </c>
      <c r="H155" t="str">
        <f>TEXT(tbl_HR_Data[[#This Row],[Joining Date]], "mmm")</f>
        <v>Apr</v>
      </c>
      <c r="I155" t="s">
        <v>92</v>
      </c>
      <c r="J155" t="s">
        <v>41</v>
      </c>
      <c r="K155" t="s">
        <v>77</v>
      </c>
      <c r="L155" t="s">
        <v>77</v>
      </c>
      <c r="M155">
        <f>IFERROR( _xlfn.XLOOKUP(TRIM(tbl_HR_Data[[#This Row],[Age]]),#REF!,#REF!), VALUE(TRIM(tbl_HR_Data[[#This Row],[Age]])))</f>
        <v>0</v>
      </c>
      <c r="N155" t="str">
        <f>IFERROR(_xlfn.XLOOKUP(tbl_HR_Data[[#This Row],[Gender]], Mapping[Gender _Discarded], Mapping[Gender_Correction]), PROPER(TRIM(tbl_HR_Data[[#This Row],[Gender]])))</f>
        <v>Male</v>
      </c>
      <c r="O155" t="str">
        <f>TRIM(tbl_HR_Data[[#This Row],[Position]])</f>
        <v>Clerk</v>
      </c>
      <c r="P155" t="str">
        <f>IFERROR(_xlfn.XLOOKUP(tbl_HR_Data[[#This Row],[Email]], Mapping[Email_Discarded], Mapping[Email_Correction]), LOWER(TRIM(tbl_HR_Data[[#This Row],[Email]])))</f>
        <v>not provided</v>
      </c>
      <c r="Q15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55" t="str" cm="1">
        <f t="array" ref="R155">_xlfn.REDUCE(Q155, {"-","/","_","\","(",")"}, _xlfn.LAMBDA(_xlpm.txt,_xlpm.itm, SUBSTITUTE(_xlpm.txt, _xlpm.itm, "")))</f>
        <v>Not Provided</v>
      </c>
      <c r="S155" s="3">
        <f>IFERROR(_xlfn.XLOOKUP(tbl_HR_Data[[#This Row],[Joining Date]], Mapping[Joining_Discarded], Mapping[Joining_Correction]), VALUE(tbl_HR_Data[[#This Row],[Joining Date]]))</f>
        <v>43195</v>
      </c>
      <c r="T155" t="str">
        <f>TEXT(tbl_HR_Data[[#This Row],[Joining Date]], "mmm")</f>
        <v>Apr</v>
      </c>
      <c r="U155" t="str">
        <f>TEXT(tbl_HR_Data[[#This Row],[Joining Date]], "ddd")</f>
        <v>Thu</v>
      </c>
    </row>
    <row r="156" spans="1:21" x14ac:dyDescent="0.35">
      <c r="A156" t="s">
        <v>104</v>
      </c>
      <c r="B156">
        <v>0</v>
      </c>
      <c r="C156">
        <v>55000</v>
      </c>
      <c r="D156" t="s">
        <v>36</v>
      </c>
      <c r="E156" t="s">
        <v>26</v>
      </c>
      <c r="F156" t="s">
        <v>43</v>
      </c>
      <c r="G156" s="3">
        <v>43195</v>
      </c>
      <c r="H156" t="str">
        <f>TEXT(tbl_HR_Data[[#This Row],[Joining Date]], "mmm")</f>
        <v>Apr</v>
      </c>
      <c r="I156" t="s">
        <v>92</v>
      </c>
      <c r="J156" t="s">
        <v>27</v>
      </c>
      <c r="K156" t="s">
        <v>77</v>
      </c>
      <c r="L156" t="s">
        <v>77</v>
      </c>
      <c r="M156">
        <f>IFERROR( _xlfn.XLOOKUP(TRIM(tbl_HR_Data[[#This Row],[Age]]),#REF!,#REF!), VALUE(TRIM(tbl_HR_Data[[#This Row],[Age]])))</f>
        <v>0</v>
      </c>
      <c r="N156" t="str">
        <f>IFERROR(_xlfn.XLOOKUP(tbl_HR_Data[[#This Row],[Gender]], Mapping[Gender _Discarded], Mapping[Gender_Correction]), PROPER(TRIM(tbl_HR_Data[[#This Row],[Gender]])))</f>
        <v>Other</v>
      </c>
      <c r="O156" t="str">
        <f>TRIM(tbl_HR_Data[[#This Row],[Position]])</f>
        <v>Assistant</v>
      </c>
      <c r="P156" t="str">
        <f>IFERROR(_xlfn.XLOOKUP(tbl_HR_Data[[#This Row],[Email]], Mapping[Email_Discarded], Mapping[Email_Correction]), LOWER(TRIM(tbl_HR_Data[[#This Row],[Email]])))</f>
        <v>not provided</v>
      </c>
      <c r="Q15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56" t="str" cm="1">
        <f t="array" ref="R156">_xlfn.REDUCE(Q156, {"-","/","_","\","(",")"}, _xlfn.LAMBDA(_xlpm.txt,_xlpm.itm, SUBSTITUTE(_xlpm.txt, _xlpm.itm, "")))</f>
        <v>Not Provided</v>
      </c>
      <c r="S156" s="3">
        <f>IFERROR(_xlfn.XLOOKUP(tbl_HR_Data[[#This Row],[Joining Date]], Mapping[Joining_Discarded], Mapping[Joining_Correction]), VALUE(tbl_HR_Data[[#This Row],[Joining Date]]))</f>
        <v>43195</v>
      </c>
      <c r="T156" t="str">
        <f>TEXT(tbl_HR_Data[[#This Row],[Joining Date]], "mmm")</f>
        <v>Apr</v>
      </c>
      <c r="U156" t="str">
        <f>TEXT(tbl_HR_Data[[#This Row],[Joining Date]], "ddd")</f>
        <v>Thu</v>
      </c>
    </row>
    <row r="157" spans="1:21" x14ac:dyDescent="0.35">
      <c r="A157" t="s">
        <v>100</v>
      </c>
      <c r="B157">
        <v>25</v>
      </c>
      <c r="C157">
        <v>50000</v>
      </c>
      <c r="D157" t="s">
        <v>18</v>
      </c>
      <c r="E157" t="s">
        <v>37</v>
      </c>
      <c r="F157" t="s">
        <v>43</v>
      </c>
      <c r="G157" s="3">
        <v>43195</v>
      </c>
      <c r="H157" t="str">
        <f>TEXT(tbl_HR_Data[[#This Row],[Joining Date]], "mmm")</f>
        <v>Apr</v>
      </c>
      <c r="I157" t="s">
        <v>92</v>
      </c>
      <c r="J157" t="s">
        <v>14</v>
      </c>
      <c r="K157" t="s">
        <v>15</v>
      </c>
      <c r="L157" t="s">
        <v>87</v>
      </c>
      <c r="M157">
        <f>IFERROR( _xlfn.XLOOKUP(TRIM(tbl_HR_Data[[#This Row],[Age]]),#REF!,#REF!), VALUE(TRIM(tbl_HR_Data[[#This Row],[Age]])))</f>
        <v>25</v>
      </c>
      <c r="N157" t="str">
        <f>IFERROR(_xlfn.XLOOKUP(tbl_HR_Data[[#This Row],[Gender]], Mapping[Gender _Discarded], Mapping[Gender_Correction]), PROPER(TRIM(tbl_HR_Data[[#This Row],[Gender]])))</f>
        <v>Female</v>
      </c>
      <c r="O157" t="str">
        <f>TRIM(tbl_HR_Data[[#This Row],[Position]])</f>
        <v>Assistant</v>
      </c>
      <c r="P157" t="str">
        <f>IFERROR(_xlfn.XLOOKUP(tbl_HR_Data[[#This Row],[Email]], Mapping[Email_Discarded], Mapping[Email_Correction]), LOWER(TRIM(tbl_HR_Data[[#This Row],[Email]])))</f>
        <v>email@example.com</v>
      </c>
      <c r="Q15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57" t="str" cm="1">
        <f t="array" ref="R157">_xlfn.REDUCE(Q157, {"-","/","_","\","(",")"}, _xlfn.LAMBDA(_xlpm.txt,_xlpm.itm, SUBSTITUTE(_xlpm.txt, _xlpm.itm, "")))</f>
        <v>1234567890</v>
      </c>
      <c r="S157" s="3">
        <f>IFERROR(_xlfn.XLOOKUP(tbl_HR_Data[[#This Row],[Joining Date]], Mapping[Joining_Discarded], Mapping[Joining_Correction]), VALUE(tbl_HR_Data[[#This Row],[Joining Date]]))</f>
        <v>43195</v>
      </c>
      <c r="T157" t="str">
        <f>TEXT(tbl_HR_Data[[#This Row],[Joining Date]], "mmm")</f>
        <v>Apr</v>
      </c>
      <c r="U157" t="str">
        <f>TEXT(tbl_HR_Data[[#This Row],[Joining Date]], "ddd")</f>
        <v>Thu</v>
      </c>
    </row>
    <row r="158" spans="1:21" x14ac:dyDescent="0.35">
      <c r="A158" t="s">
        <v>106</v>
      </c>
      <c r="B158">
        <v>30</v>
      </c>
      <c r="C158">
        <v>50000</v>
      </c>
      <c r="D158" t="s">
        <v>11</v>
      </c>
      <c r="E158" t="s">
        <v>19</v>
      </c>
      <c r="F158" t="s">
        <v>13</v>
      </c>
      <c r="G158" s="3">
        <v>43195</v>
      </c>
      <c r="H158" t="str">
        <f>TEXT(tbl_HR_Data[[#This Row],[Joining Date]], "mmm")</f>
        <v>Apr</v>
      </c>
      <c r="I158" t="s">
        <v>92</v>
      </c>
      <c r="J158" t="s">
        <v>14</v>
      </c>
      <c r="K158" t="s">
        <v>22</v>
      </c>
      <c r="L158" t="s">
        <v>87</v>
      </c>
      <c r="M158">
        <f>IFERROR( _xlfn.XLOOKUP(TRIM(tbl_HR_Data[[#This Row],[Age]]),#REF!,#REF!), VALUE(TRIM(tbl_HR_Data[[#This Row],[Age]])))</f>
        <v>30</v>
      </c>
      <c r="N158" t="str">
        <f>IFERROR(_xlfn.XLOOKUP(tbl_HR_Data[[#This Row],[Gender]], Mapping[Gender _Discarded], Mapping[Gender_Correction]), PROPER(TRIM(tbl_HR_Data[[#This Row],[Gender]])))</f>
        <v>Male</v>
      </c>
      <c r="O158" t="str">
        <f>TRIM(tbl_HR_Data[[#This Row],[Position]])</f>
        <v>Manager</v>
      </c>
      <c r="P158" t="str">
        <f>IFERROR(_xlfn.XLOOKUP(tbl_HR_Data[[#This Row],[Email]], Mapping[Email_Discarded], Mapping[Email_Correction]), LOWER(TRIM(tbl_HR_Data[[#This Row],[Email]])))</f>
        <v>user@domain.com</v>
      </c>
      <c r="Q15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58" t="str" cm="1">
        <f t="array" ref="R158">_xlfn.REDUCE(Q158, {"-","/","_","\","(",")"}, _xlfn.LAMBDA(_xlpm.txt,_xlpm.itm, SUBSTITUTE(_xlpm.txt, _xlpm.itm, "")))</f>
        <v>1234567890</v>
      </c>
      <c r="S158" s="3">
        <f>IFERROR(_xlfn.XLOOKUP(tbl_HR_Data[[#This Row],[Joining Date]], Mapping[Joining_Discarded], Mapping[Joining_Correction]), VALUE(tbl_HR_Data[[#This Row],[Joining Date]]))</f>
        <v>43195</v>
      </c>
      <c r="T158" t="str">
        <f>TEXT(tbl_HR_Data[[#This Row],[Joining Date]], "mmm")</f>
        <v>Apr</v>
      </c>
      <c r="U158" t="str">
        <f>TEXT(tbl_HR_Data[[#This Row],[Joining Date]], "ddd")</f>
        <v>Thu</v>
      </c>
    </row>
    <row r="159" spans="1:21" x14ac:dyDescent="0.35">
      <c r="A159" t="s">
        <v>105</v>
      </c>
      <c r="B159">
        <v>40</v>
      </c>
      <c r="C159">
        <v>65000</v>
      </c>
      <c r="D159" t="s">
        <v>11</v>
      </c>
      <c r="E159" t="s">
        <v>12</v>
      </c>
      <c r="F159" t="s">
        <v>43</v>
      </c>
      <c r="G159" s="3">
        <v>43195</v>
      </c>
      <c r="H159" t="str">
        <f>TEXT(tbl_HR_Data[[#This Row],[Joining Date]], "mmm")</f>
        <v>Apr</v>
      </c>
      <c r="I159" t="s">
        <v>92</v>
      </c>
      <c r="J159" t="s">
        <v>21</v>
      </c>
      <c r="K159" t="s">
        <v>77</v>
      </c>
      <c r="L159" t="s">
        <v>87</v>
      </c>
      <c r="M159">
        <f>IFERROR( _xlfn.XLOOKUP(TRIM(tbl_HR_Data[[#This Row],[Age]]),#REF!,#REF!), VALUE(TRIM(tbl_HR_Data[[#This Row],[Age]])))</f>
        <v>40</v>
      </c>
      <c r="N159" t="str">
        <f>IFERROR(_xlfn.XLOOKUP(tbl_HR_Data[[#This Row],[Gender]], Mapping[Gender _Discarded], Mapping[Gender_Correction]), PROPER(TRIM(tbl_HR_Data[[#This Row],[Gender]])))</f>
        <v>Male</v>
      </c>
      <c r="O159" t="str">
        <f>TRIM(tbl_HR_Data[[#This Row],[Position]])</f>
        <v>Assistant</v>
      </c>
      <c r="P159" t="str">
        <f>IFERROR(_xlfn.XLOOKUP(tbl_HR_Data[[#This Row],[Email]], Mapping[Email_Discarded], Mapping[Email_Correction]), LOWER(TRIM(tbl_HR_Data[[#This Row],[Email]])))</f>
        <v>not provided</v>
      </c>
      <c r="Q15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59" t="str" cm="1">
        <f t="array" ref="R159">_xlfn.REDUCE(Q159, {"-","/","_","\","(",")"}, _xlfn.LAMBDA(_xlpm.txt,_xlpm.itm, SUBSTITUTE(_xlpm.txt, _xlpm.itm, "")))</f>
        <v>1234567890</v>
      </c>
      <c r="S159" s="3">
        <f>IFERROR(_xlfn.XLOOKUP(tbl_HR_Data[[#This Row],[Joining Date]], Mapping[Joining_Discarded], Mapping[Joining_Correction]), VALUE(tbl_HR_Data[[#This Row],[Joining Date]]))</f>
        <v>43195</v>
      </c>
      <c r="T159" t="str">
        <f>TEXT(tbl_HR_Data[[#This Row],[Joining Date]], "mmm")</f>
        <v>Apr</v>
      </c>
      <c r="U159" t="str">
        <f>TEXT(tbl_HR_Data[[#This Row],[Joining Date]], "ddd")</f>
        <v>Thu</v>
      </c>
    </row>
    <row r="160" spans="1:21" x14ac:dyDescent="0.35">
      <c r="A160" t="s">
        <v>107</v>
      </c>
      <c r="B160">
        <v>35</v>
      </c>
      <c r="C160">
        <v>70000</v>
      </c>
      <c r="D160" t="s">
        <v>36</v>
      </c>
      <c r="E160" t="s">
        <v>37</v>
      </c>
      <c r="F160" t="s">
        <v>43</v>
      </c>
      <c r="G160" s="3">
        <v>43195</v>
      </c>
      <c r="H160" t="str">
        <f>TEXT(tbl_HR_Data[[#This Row],[Joining Date]], "mmm")</f>
        <v>Apr</v>
      </c>
      <c r="I160" t="s">
        <v>92</v>
      </c>
      <c r="J160" t="s">
        <v>41</v>
      </c>
      <c r="K160" t="s">
        <v>32</v>
      </c>
      <c r="L160" t="s">
        <v>77</v>
      </c>
      <c r="M160">
        <f>IFERROR( _xlfn.XLOOKUP(TRIM(tbl_HR_Data[[#This Row],[Age]]),#REF!,#REF!), VALUE(TRIM(tbl_HR_Data[[#This Row],[Age]])))</f>
        <v>35</v>
      </c>
      <c r="N160" t="str">
        <f>IFERROR(_xlfn.XLOOKUP(tbl_HR_Data[[#This Row],[Gender]], Mapping[Gender _Discarded], Mapping[Gender_Correction]), PROPER(TRIM(tbl_HR_Data[[#This Row],[Gender]])))</f>
        <v>Other</v>
      </c>
      <c r="O160" t="str">
        <f>TRIM(tbl_HR_Data[[#This Row],[Position]])</f>
        <v>Assistant</v>
      </c>
      <c r="P160" t="str">
        <f>IFERROR(_xlfn.XLOOKUP(tbl_HR_Data[[#This Row],[Email]], Mapping[Email_Discarded], Mapping[Email_Correction]), LOWER(TRIM(tbl_HR_Data[[#This Row],[Email]])))</f>
        <v>name@company.org</v>
      </c>
      <c r="Q16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60" t="str" cm="1">
        <f t="array" ref="R160">_xlfn.REDUCE(Q160, {"-","/","_","\","(",")"}, _xlfn.LAMBDA(_xlpm.txt,_xlpm.itm, SUBSTITUTE(_xlpm.txt, _xlpm.itm, "")))</f>
        <v>Not Provided</v>
      </c>
      <c r="S160" s="3">
        <f>IFERROR(_xlfn.XLOOKUP(tbl_HR_Data[[#This Row],[Joining Date]], Mapping[Joining_Discarded], Mapping[Joining_Correction]), VALUE(tbl_HR_Data[[#This Row],[Joining Date]]))</f>
        <v>43195</v>
      </c>
      <c r="T160" t="str">
        <f>TEXT(tbl_HR_Data[[#This Row],[Joining Date]], "mmm")</f>
        <v>Apr</v>
      </c>
      <c r="U160" t="str">
        <f>TEXT(tbl_HR_Data[[#This Row],[Joining Date]], "ddd")</f>
        <v>Thu</v>
      </c>
    </row>
    <row r="161" spans="1:21" x14ac:dyDescent="0.35">
      <c r="A161" t="s">
        <v>102</v>
      </c>
      <c r="B161">
        <v>50</v>
      </c>
      <c r="C161">
        <v>55000</v>
      </c>
      <c r="D161" t="s">
        <v>18</v>
      </c>
      <c r="E161" t="s">
        <v>30</v>
      </c>
      <c r="F161" t="s">
        <v>39</v>
      </c>
      <c r="G161" s="3">
        <v>43195</v>
      </c>
      <c r="H161" t="str">
        <f>TEXT(tbl_HR_Data[[#This Row],[Joining Date]], "mmm")</f>
        <v>Apr</v>
      </c>
      <c r="I161" t="s">
        <v>92</v>
      </c>
      <c r="J161" t="s">
        <v>21</v>
      </c>
      <c r="K161" t="s">
        <v>32</v>
      </c>
      <c r="L161" t="s">
        <v>87</v>
      </c>
      <c r="M161">
        <f>IFERROR( _xlfn.XLOOKUP(TRIM(tbl_HR_Data[[#This Row],[Age]]),#REF!,#REF!), VALUE(TRIM(tbl_HR_Data[[#This Row],[Age]])))</f>
        <v>50</v>
      </c>
      <c r="N161" t="str">
        <f>IFERROR(_xlfn.XLOOKUP(tbl_HR_Data[[#This Row],[Gender]], Mapping[Gender _Discarded], Mapping[Gender_Correction]), PROPER(TRIM(tbl_HR_Data[[#This Row],[Gender]])))</f>
        <v>Female</v>
      </c>
      <c r="O161" t="str">
        <f>TRIM(tbl_HR_Data[[#This Row],[Position]])</f>
        <v>Clerk</v>
      </c>
      <c r="P161" t="str">
        <f>IFERROR(_xlfn.XLOOKUP(tbl_HR_Data[[#This Row],[Email]], Mapping[Email_Discarded], Mapping[Email_Correction]), LOWER(TRIM(tbl_HR_Data[[#This Row],[Email]])))</f>
        <v>name@company.org</v>
      </c>
      <c r="Q16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61" t="str" cm="1">
        <f t="array" ref="R161">_xlfn.REDUCE(Q161, {"-","/","_","\","(",")"}, _xlfn.LAMBDA(_xlpm.txt,_xlpm.itm, SUBSTITUTE(_xlpm.txt, _xlpm.itm, "")))</f>
        <v>1234567890</v>
      </c>
      <c r="S161" s="3">
        <f>IFERROR(_xlfn.XLOOKUP(tbl_HR_Data[[#This Row],[Joining Date]], Mapping[Joining_Discarded], Mapping[Joining_Correction]), VALUE(tbl_HR_Data[[#This Row],[Joining Date]]))</f>
        <v>43195</v>
      </c>
      <c r="T161" t="str">
        <f>TEXT(tbl_HR_Data[[#This Row],[Joining Date]], "mmm")</f>
        <v>Apr</v>
      </c>
      <c r="U161" t="str">
        <f>TEXT(tbl_HR_Data[[#This Row],[Joining Date]], "ddd")</f>
        <v>Thu</v>
      </c>
    </row>
    <row r="162" spans="1:21" x14ac:dyDescent="0.35">
      <c r="A162" t="s">
        <v>105</v>
      </c>
      <c r="B162">
        <v>40</v>
      </c>
      <c r="C162">
        <v>60000</v>
      </c>
      <c r="D162" t="s">
        <v>18</v>
      </c>
      <c r="E162" t="s">
        <v>12</v>
      </c>
      <c r="F162" t="s">
        <v>13</v>
      </c>
      <c r="G162" s="3">
        <v>43195</v>
      </c>
      <c r="H162" t="str">
        <f>TEXT(tbl_HR_Data[[#This Row],[Joining Date]], "mmm")</f>
        <v>Apr</v>
      </c>
      <c r="I162" t="s">
        <v>92</v>
      </c>
      <c r="J162" t="s">
        <v>31</v>
      </c>
      <c r="K162" t="s">
        <v>32</v>
      </c>
      <c r="L162" t="s">
        <v>77</v>
      </c>
      <c r="M162">
        <f>IFERROR( _xlfn.XLOOKUP(TRIM(tbl_HR_Data[[#This Row],[Age]]),#REF!,#REF!), VALUE(TRIM(tbl_HR_Data[[#This Row],[Age]])))</f>
        <v>40</v>
      </c>
      <c r="N162" t="str">
        <f>IFERROR(_xlfn.XLOOKUP(tbl_HR_Data[[#This Row],[Gender]], Mapping[Gender _Discarded], Mapping[Gender_Correction]), PROPER(TRIM(tbl_HR_Data[[#This Row],[Gender]])))</f>
        <v>Female</v>
      </c>
      <c r="O162" t="str">
        <f>TRIM(tbl_HR_Data[[#This Row],[Position]])</f>
        <v>Manager</v>
      </c>
      <c r="P162" t="str">
        <f>IFERROR(_xlfn.XLOOKUP(tbl_HR_Data[[#This Row],[Email]], Mapping[Email_Discarded], Mapping[Email_Correction]), LOWER(TRIM(tbl_HR_Data[[#This Row],[Email]])))</f>
        <v>name@company.org</v>
      </c>
      <c r="Q16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62" t="str" cm="1">
        <f t="array" ref="R162">_xlfn.REDUCE(Q162, {"-","/","_","\","(",")"}, _xlfn.LAMBDA(_xlpm.txt,_xlpm.itm, SUBSTITUTE(_xlpm.txt, _xlpm.itm, "")))</f>
        <v>Not Provided</v>
      </c>
      <c r="S162" s="3">
        <f>IFERROR(_xlfn.XLOOKUP(tbl_HR_Data[[#This Row],[Joining Date]], Mapping[Joining_Discarded], Mapping[Joining_Correction]), VALUE(tbl_HR_Data[[#This Row],[Joining Date]]))</f>
        <v>43195</v>
      </c>
      <c r="T162" t="str">
        <f>TEXT(tbl_HR_Data[[#This Row],[Joining Date]], "mmm")</f>
        <v>Apr</v>
      </c>
      <c r="U162" t="str">
        <f>TEXT(tbl_HR_Data[[#This Row],[Joining Date]], "ddd")</f>
        <v>Thu</v>
      </c>
    </row>
    <row r="163" spans="1:21" x14ac:dyDescent="0.35">
      <c r="A163" t="s">
        <v>101</v>
      </c>
      <c r="B163">
        <v>25</v>
      </c>
      <c r="C163">
        <v>65000</v>
      </c>
      <c r="D163" t="s">
        <v>18</v>
      </c>
      <c r="E163" t="s">
        <v>37</v>
      </c>
      <c r="F163" t="s">
        <v>43</v>
      </c>
      <c r="G163" s="3">
        <v>43195</v>
      </c>
      <c r="H163" t="str">
        <f>TEXT(tbl_HR_Data[[#This Row],[Joining Date]], "mmm")</f>
        <v>Apr</v>
      </c>
      <c r="I163" t="s">
        <v>92</v>
      </c>
      <c r="J163" t="s">
        <v>27</v>
      </c>
      <c r="K163" t="s">
        <v>22</v>
      </c>
      <c r="L163" t="s">
        <v>77</v>
      </c>
      <c r="M163">
        <f>IFERROR( _xlfn.XLOOKUP(TRIM(tbl_HR_Data[[#This Row],[Age]]),#REF!,#REF!), VALUE(TRIM(tbl_HR_Data[[#This Row],[Age]])))</f>
        <v>25</v>
      </c>
      <c r="N163" t="str">
        <f>IFERROR(_xlfn.XLOOKUP(tbl_HR_Data[[#This Row],[Gender]], Mapping[Gender _Discarded], Mapping[Gender_Correction]), PROPER(TRIM(tbl_HR_Data[[#This Row],[Gender]])))</f>
        <v>Female</v>
      </c>
      <c r="O163" t="str">
        <f>TRIM(tbl_HR_Data[[#This Row],[Position]])</f>
        <v>Assistant</v>
      </c>
      <c r="P163" t="str">
        <f>IFERROR(_xlfn.XLOOKUP(tbl_HR_Data[[#This Row],[Email]], Mapping[Email_Discarded], Mapping[Email_Correction]), LOWER(TRIM(tbl_HR_Data[[#This Row],[Email]])))</f>
        <v>user@domain.com</v>
      </c>
      <c r="Q16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63" t="str" cm="1">
        <f t="array" ref="R163">_xlfn.REDUCE(Q163, {"-","/","_","\","(",")"}, _xlfn.LAMBDA(_xlpm.txt,_xlpm.itm, SUBSTITUTE(_xlpm.txt, _xlpm.itm, "")))</f>
        <v>Not Provided</v>
      </c>
      <c r="S163" s="3">
        <f>IFERROR(_xlfn.XLOOKUP(tbl_HR_Data[[#This Row],[Joining Date]], Mapping[Joining_Discarded], Mapping[Joining_Correction]), VALUE(tbl_HR_Data[[#This Row],[Joining Date]]))</f>
        <v>43195</v>
      </c>
      <c r="T163" t="str">
        <f>TEXT(tbl_HR_Data[[#This Row],[Joining Date]], "mmm")</f>
        <v>Apr</v>
      </c>
      <c r="U163" t="str">
        <f>TEXT(tbl_HR_Data[[#This Row],[Joining Date]], "ddd")</f>
        <v>Thu</v>
      </c>
    </row>
    <row r="164" spans="1:21" x14ac:dyDescent="0.35">
      <c r="A164" t="s">
        <v>102</v>
      </c>
      <c r="B164">
        <v>50</v>
      </c>
      <c r="C164">
        <v>50000</v>
      </c>
      <c r="D164" t="s">
        <v>11</v>
      </c>
      <c r="E164" t="s">
        <v>30</v>
      </c>
      <c r="F164" t="s">
        <v>44</v>
      </c>
      <c r="G164" s="3">
        <v>43195</v>
      </c>
      <c r="H164" t="str">
        <f>TEXT(tbl_HR_Data[[#This Row],[Joining Date]], "mmm")</f>
        <v>Apr</v>
      </c>
      <c r="I164" t="s">
        <v>92</v>
      </c>
      <c r="J164" t="s">
        <v>27</v>
      </c>
      <c r="K164" t="s">
        <v>15</v>
      </c>
      <c r="L164" t="s">
        <v>87</v>
      </c>
      <c r="M164">
        <f>IFERROR( _xlfn.XLOOKUP(TRIM(tbl_HR_Data[[#This Row],[Age]]),#REF!,#REF!), VALUE(TRIM(tbl_HR_Data[[#This Row],[Age]])))</f>
        <v>50</v>
      </c>
      <c r="N164" t="str">
        <f>IFERROR(_xlfn.XLOOKUP(tbl_HR_Data[[#This Row],[Gender]], Mapping[Gender _Discarded], Mapping[Gender_Correction]), PROPER(TRIM(tbl_HR_Data[[#This Row],[Gender]])))</f>
        <v>Male</v>
      </c>
      <c r="O164" t="str">
        <f>TRIM(tbl_HR_Data[[#This Row],[Position]])</f>
        <v>Analyst</v>
      </c>
      <c r="P164" t="str">
        <f>IFERROR(_xlfn.XLOOKUP(tbl_HR_Data[[#This Row],[Email]], Mapping[Email_Discarded], Mapping[Email_Correction]), LOWER(TRIM(tbl_HR_Data[[#This Row],[Email]])))</f>
        <v>email@example.com</v>
      </c>
      <c r="Q16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64" t="str" cm="1">
        <f t="array" ref="R164">_xlfn.REDUCE(Q164, {"-","/","_","\","(",")"}, _xlfn.LAMBDA(_xlpm.txt,_xlpm.itm, SUBSTITUTE(_xlpm.txt, _xlpm.itm, "")))</f>
        <v>1234567890</v>
      </c>
      <c r="S164" s="3">
        <f>IFERROR(_xlfn.XLOOKUP(tbl_HR_Data[[#This Row],[Joining Date]], Mapping[Joining_Discarded], Mapping[Joining_Correction]), VALUE(tbl_HR_Data[[#This Row],[Joining Date]]))</f>
        <v>43195</v>
      </c>
      <c r="T164" t="str">
        <f>TEXT(tbl_HR_Data[[#This Row],[Joining Date]], "mmm")</f>
        <v>Apr</v>
      </c>
      <c r="U164" t="str">
        <f>TEXT(tbl_HR_Data[[#This Row],[Joining Date]], "ddd")</f>
        <v>Thu</v>
      </c>
    </row>
    <row r="165" spans="1:21" x14ac:dyDescent="0.35">
      <c r="A165" t="s">
        <v>105</v>
      </c>
      <c r="B165">
        <v>35</v>
      </c>
      <c r="C165">
        <v>0</v>
      </c>
      <c r="D165" t="s">
        <v>11</v>
      </c>
      <c r="E165" t="s">
        <v>26</v>
      </c>
      <c r="F165" t="s">
        <v>20</v>
      </c>
      <c r="G165" s="3">
        <v>43195</v>
      </c>
      <c r="H165" t="str">
        <f>TEXT(tbl_HR_Data[[#This Row],[Joining Date]], "mmm")</f>
        <v>Apr</v>
      </c>
      <c r="I165" t="s">
        <v>92</v>
      </c>
      <c r="J165" t="s">
        <v>27</v>
      </c>
      <c r="K165" t="s">
        <v>77</v>
      </c>
      <c r="L165" t="s">
        <v>77</v>
      </c>
      <c r="M165">
        <f>IFERROR( _xlfn.XLOOKUP(TRIM(tbl_HR_Data[[#This Row],[Age]]),#REF!,#REF!), VALUE(TRIM(tbl_HR_Data[[#This Row],[Age]])))</f>
        <v>35</v>
      </c>
      <c r="N165" t="str">
        <f>IFERROR(_xlfn.XLOOKUP(tbl_HR_Data[[#This Row],[Gender]], Mapping[Gender _Discarded], Mapping[Gender_Correction]), PROPER(TRIM(tbl_HR_Data[[#This Row],[Gender]])))</f>
        <v>Male</v>
      </c>
      <c r="O165" t="str">
        <f>TRIM(tbl_HR_Data[[#This Row],[Position]])</f>
        <v>Director</v>
      </c>
      <c r="P165" t="str">
        <f>IFERROR(_xlfn.XLOOKUP(tbl_HR_Data[[#This Row],[Email]], Mapping[Email_Discarded], Mapping[Email_Correction]), LOWER(TRIM(tbl_HR_Data[[#This Row],[Email]])))</f>
        <v>not provided</v>
      </c>
      <c r="Q16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65" t="str" cm="1">
        <f t="array" ref="R165">_xlfn.REDUCE(Q165, {"-","/","_","\","(",")"}, _xlfn.LAMBDA(_xlpm.txt,_xlpm.itm, SUBSTITUTE(_xlpm.txt, _xlpm.itm, "")))</f>
        <v>Not Provided</v>
      </c>
      <c r="S165" s="3">
        <f>IFERROR(_xlfn.XLOOKUP(tbl_HR_Data[[#This Row],[Joining Date]], Mapping[Joining_Discarded], Mapping[Joining_Correction]), VALUE(tbl_HR_Data[[#This Row],[Joining Date]]))</f>
        <v>43195</v>
      </c>
      <c r="T165" t="str">
        <f>TEXT(tbl_HR_Data[[#This Row],[Joining Date]], "mmm")</f>
        <v>Apr</v>
      </c>
      <c r="U165" t="str">
        <f>TEXT(tbl_HR_Data[[#This Row],[Joining Date]], "ddd")</f>
        <v>Thu</v>
      </c>
    </row>
    <row r="166" spans="1:21" x14ac:dyDescent="0.35">
      <c r="A166" t="s">
        <v>101</v>
      </c>
      <c r="B166">
        <v>30</v>
      </c>
      <c r="C166">
        <v>50000</v>
      </c>
      <c r="D166" t="s">
        <v>11</v>
      </c>
      <c r="E166" t="s">
        <v>19</v>
      </c>
      <c r="F166" t="s">
        <v>13</v>
      </c>
      <c r="G166" s="3">
        <v>43195</v>
      </c>
      <c r="H166" t="str">
        <f>TEXT(tbl_HR_Data[[#This Row],[Joining Date]], "mmm")</f>
        <v>Apr</v>
      </c>
      <c r="I166" t="s">
        <v>92</v>
      </c>
      <c r="J166" t="s">
        <v>27</v>
      </c>
      <c r="K166" t="s">
        <v>77</v>
      </c>
      <c r="L166" t="s">
        <v>87</v>
      </c>
      <c r="M166">
        <f>IFERROR( _xlfn.XLOOKUP(TRIM(tbl_HR_Data[[#This Row],[Age]]),#REF!,#REF!), VALUE(TRIM(tbl_HR_Data[[#This Row],[Age]])))</f>
        <v>30</v>
      </c>
      <c r="N166" t="str">
        <f>IFERROR(_xlfn.XLOOKUP(tbl_HR_Data[[#This Row],[Gender]], Mapping[Gender _Discarded], Mapping[Gender_Correction]), PROPER(TRIM(tbl_HR_Data[[#This Row],[Gender]])))</f>
        <v>Male</v>
      </c>
      <c r="O166" t="str">
        <f>TRIM(tbl_HR_Data[[#This Row],[Position]])</f>
        <v>Manager</v>
      </c>
      <c r="P166" t="str">
        <f>IFERROR(_xlfn.XLOOKUP(tbl_HR_Data[[#This Row],[Email]], Mapping[Email_Discarded], Mapping[Email_Correction]), LOWER(TRIM(tbl_HR_Data[[#This Row],[Email]])))</f>
        <v>not provided</v>
      </c>
      <c r="Q16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66" t="str" cm="1">
        <f t="array" ref="R166">_xlfn.REDUCE(Q166, {"-","/","_","\","(",")"}, _xlfn.LAMBDA(_xlpm.txt,_xlpm.itm, SUBSTITUTE(_xlpm.txt, _xlpm.itm, "")))</f>
        <v>1234567890</v>
      </c>
      <c r="S166" s="3">
        <f>IFERROR(_xlfn.XLOOKUP(tbl_HR_Data[[#This Row],[Joining Date]], Mapping[Joining_Discarded], Mapping[Joining_Correction]), VALUE(tbl_HR_Data[[#This Row],[Joining Date]]))</f>
        <v>43195</v>
      </c>
      <c r="T166" t="str">
        <f>TEXT(tbl_HR_Data[[#This Row],[Joining Date]], "mmm")</f>
        <v>Apr</v>
      </c>
      <c r="U166" t="str">
        <f>TEXT(tbl_HR_Data[[#This Row],[Joining Date]], "ddd")</f>
        <v>Thu</v>
      </c>
    </row>
    <row r="167" spans="1:21" x14ac:dyDescent="0.35">
      <c r="A167" t="s">
        <v>106</v>
      </c>
      <c r="B167">
        <v>40</v>
      </c>
      <c r="C167">
        <v>55000</v>
      </c>
      <c r="D167" t="s">
        <v>18</v>
      </c>
      <c r="E167" t="s">
        <v>37</v>
      </c>
      <c r="F167" t="s">
        <v>39</v>
      </c>
      <c r="G167" s="3">
        <v>43195</v>
      </c>
      <c r="H167" t="str">
        <f>TEXT(tbl_HR_Data[[#This Row],[Joining Date]], "mmm")</f>
        <v>Apr</v>
      </c>
      <c r="I167" t="s">
        <v>92</v>
      </c>
      <c r="J167" t="s">
        <v>27</v>
      </c>
      <c r="K167" t="s">
        <v>32</v>
      </c>
      <c r="L167" t="s">
        <v>87</v>
      </c>
      <c r="M167">
        <f>IFERROR( _xlfn.XLOOKUP(TRIM(tbl_HR_Data[[#This Row],[Age]]),#REF!,#REF!), VALUE(TRIM(tbl_HR_Data[[#This Row],[Age]])))</f>
        <v>40</v>
      </c>
      <c r="N167" t="str">
        <f>IFERROR(_xlfn.XLOOKUP(tbl_HR_Data[[#This Row],[Gender]], Mapping[Gender _Discarded], Mapping[Gender_Correction]), PROPER(TRIM(tbl_HR_Data[[#This Row],[Gender]])))</f>
        <v>Female</v>
      </c>
      <c r="O167" t="str">
        <f>TRIM(tbl_HR_Data[[#This Row],[Position]])</f>
        <v>Clerk</v>
      </c>
      <c r="P167" t="str">
        <f>IFERROR(_xlfn.XLOOKUP(tbl_HR_Data[[#This Row],[Email]], Mapping[Email_Discarded], Mapping[Email_Correction]), LOWER(TRIM(tbl_HR_Data[[#This Row],[Email]])))</f>
        <v>name@company.org</v>
      </c>
      <c r="Q16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67" t="str" cm="1">
        <f t="array" ref="R167">_xlfn.REDUCE(Q167, {"-","/","_","\","(",")"}, _xlfn.LAMBDA(_xlpm.txt,_xlpm.itm, SUBSTITUTE(_xlpm.txt, _xlpm.itm, "")))</f>
        <v>1234567890</v>
      </c>
      <c r="S167" s="3">
        <f>IFERROR(_xlfn.XLOOKUP(tbl_HR_Data[[#This Row],[Joining Date]], Mapping[Joining_Discarded], Mapping[Joining_Correction]), VALUE(tbl_HR_Data[[#This Row],[Joining Date]]))</f>
        <v>43195</v>
      </c>
      <c r="T167" t="str">
        <f>TEXT(tbl_HR_Data[[#This Row],[Joining Date]], "mmm")</f>
        <v>Apr</v>
      </c>
      <c r="U167" t="str">
        <f>TEXT(tbl_HR_Data[[#This Row],[Joining Date]], "ddd")</f>
        <v>Thu</v>
      </c>
    </row>
    <row r="168" spans="1:21" x14ac:dyDescent="0.35">
      <c r="A168" t="s">
        <v>105</v>
      </c>
      <c r="B168">
        <v>25</v>
      </c>
      <c r="C168">
        <v>0</v>
      </c>
      <c r="D168" t="s">
        <v>11</v>
      </c>
      <c r="E168" t="s">
        <v>12</v>
      </c>
      <c r="F168" t="s">
        <v>20</v>
      </c>
      <c r="G168" s="3">
        <v>43195</v>
      </c>
      <c r="H168" t="str">
        <f>TEXT(tbl_HR_Data[[#This Row],[Joining Date]], "mmm")</f>
        <v>Apr</v>
      </c>
      <c r="I168" t="s">
        <v>92</v>
      </c>
      <c r="J168" t="s">
        <v>27</v>
      </c>
      <c r="K168" t="s">
        <v>22</v>
      </c>
      <c r="L168" t="s">
        <v>88</v>
      </c>
      <c r="M168">
        <f>IFERROR( _xlfn.XLOOKUP(TRIM(tbl_HR_Data[[#This Row],[Age]]),#REF!,#REF!), VALUE(TRIM(tbl_HR_Data[[#This Row],[Age]])))</f>
        <v>25</v>
      </c>
      <c r="N168" t="str">
        <f>IFERROR(_xlfn.XLOOKUP(tbl_HR_Data[[#This Row],[Gender]], Mapping[Gender _Discarded], Mapping[Gender_Correction]), PROPER(TRIM(tbl_HR_Data[[#This Row],[Gender]])))</f>
        <v>Male</v>
      </c>
      <c r="O168" t="str">
        <f>TRIM(tbl_HR_Data[[#This Row],[Position]])</f>
        <v>Director</v>
      </c>
      <c r="P168" t="str">
        <f>IFERROR(_xlfn.XLOOKUP(tbl_HR_Data[[#This Row],[Email]], Mapping[Email_Discarded], Mapping[Email_Correction]), LOWER(TRIM(tbl_HR_Data[[#This Row],[Email]])))</f>
        <v>user@domain.com</v>
      </c>
      <c r="Q16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168" t="str" cm="1">
        <f t="array" ref="R168">_xlfn.REDUCE(Q168, {"-","/","_","\","(",")"}, _xlfn.LAMBDA(_xlpm.txt,_xlpm.itm, SUBSTITUTE(_xlpm.txt, _xlpm.itm, "")))</f>
        <v>0987654321</v>
      </c>
      <c r="S168" s="3">
        <f>IFERROR(_xlfn.XLOOKUP(tbl_HR_Data[[#This Row],[Joining Date]], Mapping[Joining_Discarded], Mapping[Joining_Correction]), VALUE(tbl_HR_Data[[#This Row],[Joining Date]]))</f>
        <v>43195</v>
      </c>
      <c r="T168" t="str">
        <f>TEXT(tbl_HR_Data[[#This Row],[Joining Date]], "mmm")</f>
        <v>Apr</v>
      </c>
      <c r="U168" t="str">
        <f>TEXT(tbl_HR_Data[[#This Row],[Joining Date]], "ddd")</f>
        <v>Thu</v>
      </c>
    </row>
    <row r="169" spans="1:21" x14ac:dyDescent="0.35">
      <c r="A169" t="s">
        <v>103</v>
      </c>
      <c r="B169">
        <v>0</v>
      </c>
      <c r="C169">
        <v>60000</v>
      </c>
      <c r="D169" t="s">
        <v>36</v>
      </c>
      <c r="E169" t="s">
        <v>37</v>
      </c>
      <c r="F169" t="s">
        <v>44</v>
      </c>
      <c r="G169" s="3">
        <v>43195</v>
      </c>
      <c r="H169" t="str">
        <f>TEXT(tbl_HR_Data[[#This Row],[Joining Date]], "mmm")</f>
        <v>Apr</v>
      </c>
      <c r="I169" t="s">
        <v>92</v>
      </c>
      <c r="J169" t="s">
        <v>14</v>
      </c>
      <c r="K169" t="s">
        <v>77</v>
      </c>
      <c r="L169" t="s">
        <v>87</v>
      </c>
      <c r="M169">
        <f>IFERROR( _xlfn.XLOOKUP(TRIM(tbl_HR_Data[[#This Row],[Age]]),#REF!,#REF!), VALUE(TRIM(tbl_HR_Data[[#This Row],[Age]])))</f>
        <v>0</v>
      </c>
      <c r="N169" t="str">
        <f>IFERROR(_xlfn.XLOOKUP(tbl_HR_Data[[#This Row],[Gender]], Mapping[Gender _Discarded], Mapping[Gender_Correction]), PROPER(TRIM(tbl_HR_Data[[#This Row],[Gender]])))</f>
        <v>Other</v>
      </c>
      <c r="O169" t="str">
        <f>TRIM(tbl_HR_Data[[#This Row],[Position]])</f>
        <v>Analyst</v>
      </c>
      <c r="P169" t="str">
        <f>IFERROR(_xlfn.XLOOKUP(tbl_HR_Data[[#This Row],[Email]], Mapping[Email_Discarded], Mapping[Email_Correction]), LOWER(TRIM(tbl_HR_Data[[#This Row],[Email]])))</f>
        <v>not provided</v>
      </c>
      <c r="Q16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69" t="str" cm="1">
        <f t="array" ref="R169">_xlfn.REDUCE(Q169, {"-","/","_","\","(",")"}, _xlfn.LAMBDA(_xlpm.txt,_xlpm.itm, SUBSTITUTE(_xlpm.txt, _xlpm.itm, "")))</f>
        <v>1234567890</v>
      </c>
      <c r="S169" s="3">
        <f>IFERROR(_xlfn.XLOOKUP(tbl_HR_Data[[#This Row],[Joining Date]], Mapping[Joining_Discarded], Mapping[Joining_Correction]), VALUE(tbl_HR_Data[[#This Row],[Joining Date]]))</f>
        <v>43195</v>
      </c>
      <c r="T169" t="str">
        <f>TEXT(tbl_HR_Data[[#This Row],[Joining Date]], "mmm")</f>
        <v>Apr</v>
      </c>
      <c r="U169" t="str">
        <f>TEXT(tbl_HR_Data[[#This Row],[Joining Date]], "ddd")</f>
        <v>Thu</v>
      </c>
    </row>
    <row r="170" spans="1:21" x14ac:dyDescent="0.35">
      <c r="A170" t="s">
        <v>107</v>
      </c>
      <c r="B170">
        <v>25</v>
      </c>
      <c r="C170">
        <v>70000</v>
      </c>
      <c r="D170" t="s">
        <v>36</v>
      </c>
      <c r="E170" t="s">
        <v>12</v>
      </c>
      <c r="F170" t="s">
        <v>43</v>
      </c>
      <c r="G170" s="3">
        <v>43195</v>
      </c>
      <c r="H170" t="str">
        <f>TEXT(tbl_HR_Data[[#This Row],[Joining Date]], "mmm")</f>
        <v>Apr</v>
      </c>
      <c r="I170" t="s">
        <v>92</v>
      </c>
      <c r="J170" t="s">
        <v>21</v>
      </c>
      <c r="K170" t="s">
        <v>77</v>
      </c>
      <c r="L170" t="s">
        <v>77</v>
      </c>
      <c r="M170">
        <f>IFERROR( _xlfn.XLOOKUP(TRIM(tbl_HR_Data[[#This Row],[Age]]),#REF!,#REF!), VALUE(TRIM(tbl_HR_Data[[#This Row],[Age]])))</f>
        <v>25</v>
      </c>
      <c r="N170" t="str">
        <f>IFERROR(_xlfn.XLOOKUP(tbl_HR_Data[[#This Row],[Gender]], Mapping[Gender _Discarded], Mapping[Gender_Correction]), PROPER(TRIM(tbl_HR_Data[[#This Row],[Gender]])))</f>
        <v>Other</v>
      </c>
      <c r="O170" t="str">
        <f>TRIM(tbl_HR_Data[[#This Row],[Position]])</f>
        <v>Assistant</v>
      </c>
      <c r="P170" t="str">
        <f>IFERROR(_xlfn.XLOOKUP(tbl_HR_Data[[#This Row],[Email]], Mapping[Email_Discarded], Mapping[Email_Correction]), LOWER(TRIM(tbl_HR_Data[[#This Row],[Email]])))</f>
        <v>not provided</v>
      </c>
      <c r="Q17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70" t="str" cm="1">
        <f t="array" ref="R170">_xlfn.REDUCE(Q170, {"-","/","_","\","(",")"}, _xlfn.LAMBDA(_xlpm.txt,_xlpm.itm, SUBSTITUTE(_xlpm.txt, _xlpm.itm, "")))</f>
        <v>Not Provided</v>
      </c>
      <c r="S170" s="3">
        <f>IFERROR(_xlfn.XLOOKUP(tbl_HR_Data[[#This Row],[Joining Date]], Mapping[Joining_Discarded], Mapping[Joining_Correction]), VALUE(tbl_HR_Data[[#This Row],[Joining Date]]))</f>
        <v>43195</v>
      </c>
      <c r="T170" t="str">
        <f>TEXT(tbl_HR_Data[[#This Row],[Joining Date]], "mmm")</f>
        <v>Apr</v>
      </c>
      <c r="U170" t="str">
        <f>TEXT(tbl_HR_Data[[#This Row],[Joining Date]], "ddd")</f>
        <v>Thu</v>
      </c>
    </row>
    <row r="171" spans="1:21" x14ac:dyDescent="0.35">
      <c r="A171" t="s">
        <v>99</v>
      </c>
      <c r="B171">
        <v>40</v>
      </c>
      <c r="C171">
        <v>60000</v>
      </c>
      <c r="D171" t="s">
        <v>36</v>
      </c>
      <c r="E171" t="s">
        <v>30</v>
      </c>
      <c r="F171" t="s">
        <v>39</v>
      </c>
      <c r="G171" s="3">
        <v>43195</v>
      </c>
      <c r="H171" t="str">
        <f>TEXT(tbl_HR_Data[[#This Row],[Joining Date]], "mmm")</f>
        <v>Apr</v>
      </c>
      <c r="I171" t="s">
        <v>92</v>
      </c>
      <c r="J171" t="s">
        <v>27</v>
      </c>
      <c r="K171" t="s">
        <v>77</v>
      </c>
      <c r="L171" t="s">
        <v>77</v>
      </c>
      <c r="M171">
        <f>IFERROR( _xlfn.XLOOKUP(TRIM(tbl_HR_Data[[#This Row],[Age]]),#REF!,#REF!), VALUE(TRIM(tbl_HR_Data[[#This Row],[Age]])))</f>
        <v>40</v>
      </c>
      <c r="N171" t="str">
        <f>IFERROR(_xlfn.XLOOKUP(tbl_HR_Data[[#This Row],[Gender]], Mapping[Gender _Discarded], Mapping[Gender_Correction]), PROPER(TRIM(tbl_HR_Data[[#This Row],[Gender]])))</f>
        <v>Other</v>
      </c>
      <c r="O171" t="str">
        <f>TRIM(tbl_HR_Data[[#This Row],[Position]])</f>
        <v>Clerk</v>
      </c>
      <c r="P171" t="str">
        <f>IFERROR(_xlfn.XLOOKUP(tbl_HR_Data[[#This Row],[Email]], Mapping[Email_Discarded], Mapping[Email_Correction]), LOWER(TRIM(tbl_HR_Data[[#This Row],[Email]])))</f>
        <v>not provided</v>
      </c>
      <c r="Q17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71" t="str" cm="1">
        <f t="array" ref="R171">_xlfn.REDUCE(Q171, {"-","/","_","\","(",")"}, _xlfn.LAMBDA(_xlpm.txt,_xlpm.itm, SUBSTITUTE(_xlpm.txt, _xlpm.itm, "")))</f>
        <v>Not Provided</v>
      </c>
      <c r="S171" s="3">
        <f>IFERROR(_xlfn.XLOOKUP(tbl_HR_Data[[#This Row],[Joining Date]], Mapping[Joining_Discarded], Mapping[Joining_Correction]), VALUE(tbl_HR_Data[[#This Row],[Joining Date]]))</f>
        <v>43195</v>
      </c>
      <c r="T171" t="str">
        <f>TEXT(tbl_HR_Data[[#This Row],[Joining Date]], "mmm")</f>
        <v>Apr</v>
      </c>
      <c r="U171" t="str">
        <f>TEXT(tbl_HR_Data[[#This Row],[Joining Date]], "ddd")</f>
        <v>Thu</v>
      </c>
    </row>
    <row r="172" spans="1:21" x14ac:dyDescent="0.35">
      <c r="A172" t="s">
        <v>102</v>
      </c>
      <c r="B172">
        <v>0</v>
      </c>
      <c r="C172">
        <v>65000</v>
      </c>
      <c r="D172" t="s">
        <v>18</v>
      </c>
      <c r="E172" t="s">
        <v>30</v>
      </c>
      <c r="F172" t="s">
        <v>44</v>
      </c>
      <c r="G172" s="3">
        <v>43195</v>
      </c>
      <c r="H172" t="str">
        <f>TEXT(tbl_HR_Data[[#This Row],[Joining Date]], "mmm")</f>
        <v>Apr</v>
      </c>
      <c r="I172" t="s">
        <v>92</v>
      </c>
      <c r="J172" t="s">
        <v>31</v>
      </c>
      <c r="K172" t="s">
        <v>32</v>
      </c>
      <c r="L172" t="s">
        <v>89</v>
      </c>
      <c r="M172">
        <f>IFERROR( _xlfn.XLOOKUP(TRIM(tbl_HR_Data[[#This Row],[Age]]),#REF!,#REF!), VALUE(TRIM(tbl_HR_Data[[#This Row],[Age]])))</f>
        <v>0</v>
      </c>
      <c r="N172" t="str">
        <f>IFERROR(_xlfn.XLOOKUP(tbl_HR_Data[[#This Row],[Gender]], Mapping[Gender _Discarded], Mapping[Gender_Correction]), PROPER(TRIM(tbl_HR_Data[[#This Row],[Gender]])))</f>
        <v>Female</v>
      </c>
      <c r="O172" t="str">
        <f>TRIM(tbl_HR_Data[[#This Row],[Position]])</f>
        <v>Analyst</v>
      </c>
      <c r="P172" t="str">
        <f>IFERROR(_xlfn.XLOOKUP(tbl_HR_Data[[#This Row],[Email]], Mapping[Email_Discarded], Mapping[Email_Correction]), LOWER(TRIM(tbl_HR_Data[[#This Row],[Email]])))</f>
        <v>name@company.org</v>
      </c>
      <c r="Q17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172" t="str" cm="1">
        <f t="array" ref="R172">_xlfn.REDUCE(Q172, {"-","/","_","\","(",")"}, _xlfn.LAMBDA(_xlpm.txt,_xlpm.itm, SUBSTITUTE(_xlpm.txt, _xlpm.itm, "")))</f>
        <v>5555555555</v>
      </c>
      <c r="S172" s="3">
        <f>IFERROR(_xlfn.XLOOKUP(tbl_HR_Data[[#This Row],[Joining Date]], Mapping[Joining_Discarded], Mapping[Joining_Correction]), VALUE(tbl_HR_Data[[#This Row],[Joining Date]]))</f>
        <v>43195</v>
      </c>
      <c r="T172" t="str">
        <f>TEXT(tbl_HR_Data[[#This Row],[Joining Date]], "mmm")</f>
        <v>Apr</v>
      </c>
      <c r="U172" t="str">
        <f>TEXT(tbl_HR_Data[[#This Row],[Joining Date]], "ddd")</f>
        <v>Thu</v>
      </c>
    </row>
    <row r="173" spans="1:21" x14ac:dyDescent="0.35">
      <c r="A173" t="s">
        <v>102</v>
      </c>
      <c r="B173">
        <v>50</v>
      </c>
      <c r="C173">
        <v>65000</v>
      </c>
      <c r="D173" t="s">
        <v>18</v>
      </c>
      <c r="E173" t="s">
        <v>37</v>
      </c>
      <c r="F173" t="s">
        <v>44</v>
      </c>
      <c r="G173" s="3">
        <v>43195</v>
      </c>
      <c r="H173" t="str">
        <f>TEXT(tbl_HR_Data[[#This Row],[Joining Date]], "mmm")</f>
        <v>Apr</v>
      </c>
      <c r="I173" t="s">
        <v>92</v>
      </c>
      <c r="J173" t="s">
        <v>21</v>
      </c>
      <c r="K173" t="s">
        <v>15</v>
      </c>
      <c r="L173" t="s">
        <v>87</v>
      </c>
      <c r="M173">
        <f>IFERROR( _xlfn.XLOOKUP(TRIM(tbl_HR_Data[[#This Row],[Age]]),#REF!,#REF!), VALUE(TRIM(tbl_HR_Data[[#This Row],[Age]])))</f>
        <v>50</v>
      </c>
      <c r="N173" t="str">
        <f>IFERROR(_xlfn.XLOOKUP(tbl_HR_Data[[#This Row],[Gender]], Mapping[Gender _Discarded], Mapping[Gender_Correction]), PROPER(TRIM(tbl_HR_Data[[#This Row],[Gender]])))</f>
        <v>Female</v>
      </c>
      <c r="O173" t="str">
        <f>TRIM(tbl_HR_Data[[#This Row],[Position]])</f>
        <v>Analyst</v>
      </c>
      <c r="P173" t="str">
        <f>IFERROR(_xlfn.XLOOKUP(tbl_HR_Data[[#This Row],[Email]], Mapping[Email_Discarded], Mapping[Email_Correction]), LOWER(TRIM(tbl_HR_Data[[#This Row],[Email]])))</f>
        <v>email@example.com</v>
      </c>
      <c r="Q17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73" t="str" cm="1">
        <f t="array" ref="R173">_xlfn.REDUCE(Q173, {"-","/","_","\","(",")"}, _xlfn.LAMBDA(_xlpm.txt,_xlpm.itm, SUBSTITUTE(_xlpm.txt, _xlpm.itm, "")))</f>
        <v>1234567890</v>
      </c>
      <c r="S173" s="3">
        <f>IFERROR(_xlfn.XLOOKUP(tbl_HR_Data[[#This Row],[Joining Date]], Mapping[Joining_Discarded], Mapping[Joining_Correction]), VALUE(tbl_HR_Data[[#This Row],[Joining Date]]))</f>
        <v>43195</v>
      </c>
      <c r="T173" t="str">
        <f>TEXT(tbl_HR_Data[[#This Row],[Joining Date]], "mmm")</f>
        <v>Apr</v>
      </c>
      <c r="U173" t="str">
        <f>TEXT(tbl_HR_Data[[#This Row],[Joining Date]], "ddd")</f>
        <v>Thu</v>
      </c>
    </row>
    <row r="174" spans="1:21" x14ac:dyDescent="0.35">
      <c r="A174" t="s">
        <v>108</v>
      </c>
      <c r="B174">
        <v>40</v>
      </c>
      <c r="C174">
        <v>0</v>
      </c>
      <c r="D174" t="s">
        <v>11</v>
      </c>
      <c r="E174" t="s">
        <v>19</v>
      </c>
      <c r="F174" t="s">
        <v>13</v>
      </c>
      <c r="G174" s="3">
        <v>43195</v>
      </c>
      <c r="H174" t="str">
        <f>TEXT(tbl_HR_Data[[#This Row],[Joining Date]], "mmm")</f>
        <v>Apr</v>
      </c>
      <c r="I174" t="s">
        <v>92</v>
      </c>
      <c r="J174" t="s">
        <v>14</v>
      </c>
      <c r="K174" t="s">
        <v>15</v>
      </c>
      <c r="L174" t="s">
        <v>88</v>
      </c>
      <c r="M174">
        <f>IFERROR( _xlfn.XLOOKUP(TRIM(tbl_HR_Data[[#This Row],[Age]]),#REF!,#REF!), VALUE(TRIM(tbl_HR_Data[[#This Row],[Age]])))</f>
        <v>40</v>
      </c>
      <c r="N174" t="str">
        <f>IFERROR(_xlfn.XLOOKUP(tbl_HR_Data[[#This Row],[Gender]], Mapping[Gender _Discarded], Mapping[Gender_Correction]), PROPER(TRIM(tbl_HR_Data[[#This Row],[Gender]])))</f>
        <v>Male</v>
      </c>
      <c r="O174" t="str">
        <f>TRIM(tbl_HR_Data[[#This Row],[Position]])</f>
        <v>Manager</v>
      </c>
      <c r="P174" t="str">
        <f>IFERROR(_xlfn.XLOOKUP(tbl_HR_Data[[#This Row],[Email]], Mapping[Email_Discarded], Mapping[Email_Correction]), LOWER(TRIM(tbl_HR_Data[[#This Row],[Email]])))</f>
        <v>email@example.com</v>
      </c>
      <c r="Q17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174" t="str" cm="1">
        <f t="array" ref="R174">_xlfn.REDUCE(Q174, {"-","/","_","\","(",")"}, _xlfn.LAMBDA(_xlpm.txt,_xlpm.itm, SUBSTITUTE(_xlpm.txt, _xlpm.itm, "")))</f>
        <v>0987654321</v>
      </c>
      <c r="S174" s="3">
        <f>IFERROR(_xlfn.XLOOKUP(tbl_HR_Data[[#This Row],[Joining Date]], Mapping[Joining_Discarded], Mapping[Joining_Correction]), VALUE(tbl_HR_Data[[#This Row],[Joining Date]]))</f>
        <v>43195</v>
      </c>
      <c r="T174" t="str">
        <f>TEXT(tbl_HR_Data[[#This Row],[Joining Date]], "mmm")</f>
        <v>Apr</v>
      </c>
      <c r="U174" t="str">
        <f>TEXT(tbl_HR_Data[[#This Row],[Joining Date]], "ddd")</f>
        <v>Thu</v>
      </c>
    </row>
    <row r="175" spans="1:21" x14ac:dyDescent="0.35">
      <c r="A175" t="s">
        <v>101</v>
      </c>
      <c r="B175">
        <v>30</v>
      </c>
      <c r="C175">
        <v>65000</v>
      </c>
      <c r="D175" t="s">
        <v>36</v>
      </c>
      <c r="E175" t="s">
        <v>12</v>
      </c>
      <c r="F175" t="s">
        <v>20</v>
      </c>
      <c r="G175" s="3">
        <v>43195</v>
      </c>
      <c r="H175" t="str">
        <f>TEXT(tbl_HR_Data[[#This Row],[Joining Date]], "mmm")</f>
        <v>Apr</v>
      </c>
      <c r="I175" t="s">
        <v>92</v>
      </c>
      <c r="J175" t="s">
        <v>41</v>
      </c>
      <c r="K175" t="s">
        <v>32</v>
      </c>
      <c r="L175" t="s">
        <v>89</v>
      </c>
      <c r="M175">
        <f>IFERROR( _xlfn.XLOOKUP(TRIM(tbl_HR_Data[[#This Row],[Age]]),#REF!,#REF!), VALUE(TRIM(tbl_HR_Data[[#This Row],[Age]])))</f>
        <v>30</v>
      </c>
      <c r="N175" t="str">
        <f>IFERROR(_xlfn.XLOOKUP(tbl_HR_Data[[#This Row],[Gender]], Mapping[Gender _Discarded], Mapping[Gender_Correction]), PROPER(TRIM(tbl_HR_Data[[#This Row],[Gender]])))</f>
        <v>Other</v>
      </c>
      <c r="O175" t="str">
        <f>TRIM(tbl_HR_Data[[#This Row],[Position]])</f>
        <v>Director</v>
      </c>
      <c r="P175" t="str">
        <f>IFERROR(_xlfn.XLOOKUP(tbl_HR_Data[[#This Row],[Email]], Mapping[Email_Discarded], Mapping[Email_Correction]), LOWER(TRIM(tbl_HR_Data[[#This Row],[Email]])))</f>
        <v>name@company.org</v>
      </c>
      <c r="Q17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175" t="str" cm="1">
        <f t="array" ref="R175">_xlfn.REDUCE(Q175, {"-","/","_","\","(",")"}, _xlfn.LAMBDA(_xlpm.txt,_xlpm.itm, SUBSTITUTE(_xlpm.txt, _xlpm.itm, "")))</f>
        <v>5555555555</v>
      </c>
      <c r="S175" s="3">
        <f>IFERROR(_xlfn.XLOOKUP(tbl_HR_Data[[#This Row],[Joining Date]], Mapping[Joining_Discarded], Mapping[Joining_Correction]), VALUE(tbl_HR_Data[[#This Row],[Joining Date]]))</f>
        <v>43195</v>
      </c>
      <c r="T175" t="str">
        <f>TEXT(tbl_HR_Data[[#This Row],[Joining Date]], "mmm")</f>
        <v>Apr</v>
      </c>
      <c r="U175" t="str">
        <f>TEXT(tbl_HR_Data[[#This Row],[Joining Date]], "ddd")</f>
        <v>Thu</v>
      </c>
    </row>
    <row r="176" spans="1:21" x14ac:dyDescent="0.35">
      <c r="A176" t="s">
        <v>102</v>
      </c>
      <c r="B176">
        <v>35</v>
      </c>
      <c r="C176">
        <v>65000</v>
      </c>
      <c r="D176" t="s">
        <v>18</v>
      </c>
      <c r="E176" t="s">
        <v>30</v>
      </c>
      <c r="F176" t="s">
        <v>39</v>
      </c>
      <c r="G176" s="3">
        <v>43195</v>
      </c>
      <c r="H176" t="str">
        <f>TEXT(tbl_HR_Data[[#This Row],[Joining Date]], "mmm")</f>
        <v>Apr</v>
      </c>
      <c r="I176" t="s">
        <v>92</v>
      </c>
      <c r="J176" t="s">
        <v>41</v>
      </c>
      <c r="K176" t="s">
        <v>22</v>
      </c>
      <c r="L176" t="s">
        <v>77</v>
      </c>
      <c r="M176">
        <f>IFERROR( _xlfn.XLOOKUP(TRIM(tbl_HR_Data[[#This Row],[Age]]),#REF!,#REF!), VALUE(TRIM(tbl_HR_Data[[#This Row],[Age]])))</f>
        <v>35</v>
      </c>
      <c r="N176" t="str">
        <f>IFERROR(_xlfn.XLOOKUP(tbl_HR_Data[[#This Row],[Gender]], Mapping[Gender _Discarded], Mapping[Gender_Correction]), PROPER(TRIM(tbl_HR_Data[[#This Row],[Gender]])))</f>
        <v>Female</v>
      </c>
      <c r="O176" t="str">
        <f>TRIM(tbl_HR_Data[[#This Row],[Position]])</f>
        <v>Clerk</v>
      </c>
      <c r="P176" t="str">
        <f>IFERROR(_xlfn.XLOOKUP(tbl_HR_Data[[#This Row],[Email]], Mapping[Email_Discarded], Mapping[Email_Correction]), LOWER(TRIM(tbl_HR_Data[[#This Row],[Email]])))</f>
        <v>user@domain.com</v>
      </c>
      <c r="Q17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76" t="str" cm="1">
        <f t="array" ref="R176">_xlfn.REDUCE(Q176, {"-","/","_","\","(",")"}, _xlfn.LAMBDA(_xlpm.txt,_xlpm.itm, SUBSTITUTE(_xlpm.txt, _xlpm.itm, "")))</f>
        <v>Not Provided</v>
      </c>
      <c r="S176" s="3">
        <f>IFERROR(_xlfn.XLOOKUP(tbl_HR_Data[[#This Row],[Joining Date]], Mapping[Joining_Discarded], Mapping[Joining_Correction]), VALUE(tbl_HR_Data[[#This Row],[Joining Date]]))</f>
        <v>43195</v>
      </c>
      <c r="T176" t="str">
        <f>TEXT(tbl_HR_Data[[#This Row],[Joining Date]], "mmm")</f>
        <v>Apr</v>
      </c>
      <c r="U176" t="str">
        <f>TEXT(tbl_HR_Data[[#This Row],[Joining Date]], "ddd")</f>
        <v>Thu</v>
      </c>
    </row>
    <row r="177" spans="1:21" x14ac:dyDescent="0.35">
      <c r="A177" t="s">
        <v>106</v>
      </c>
      <c r="B177">
        <v>35</v>
      </c>
      <c r="C177">
        <v>60000</v>
      </c>
      <c r="D177" t="s">
        <v>36</v>
      </c>
      <c r="E177" t="s">
        <v>19</v>
      </c>
      <c r="F177" t="s">
        <v>20</v>
      </c>
      <c r="G177" s="3">
        <v>43195</v>
      </c>
      <c r="H177" t="str">
        <f>TEXT(tbl_HR_Data[[#This Row],[Joining Date]], "mmm")</f>
        <v>Apr</v>
      </c>
      <c r="I177" t="s">
        <v>92</v>
      </c>
      <c r="J177" t="s">
        <v>31</v>
      </c>
      <c r="K177" t="s">
        <v>32</v>
      </c>
      <c r="L177" t="s">
        <v>87</v>
      </c>
      <c r="M177">
        <f>IFERROR( _xlfn.XLOOKUP(TRIM(tbl_HR_Data[[#This Row],[Age]]),#REF!,#REF!), VALUE(TRIM(tbl_HR_Data[[#This Row],[Age]])))</f>
        <v>35</v>
      </c>
      <c r="N177" t="str">
        <f>IFERROR(_xlfn.XLOOKUP(tbl_HR_Data[[#This Row],[Gender]], Mapping[Gender _Discarded], Mapping[Gender_Correction]), PROPER(TRIM(tbl_HR_Data[[#This Row],[Gender]])))</f>
        <v>Other</v>
      </c>
      <c r="O177" t="str">
        <f>TRIM(tbl_HR_Data[[#This Row],[Position]])</f>
        <v>Director</v>
      </c>
      <c r="P177" t="str">
        <f>IFERROR(_xlfn.XLOOKUP(tbl_HR_Data[[#This Row],[Email]], Mapping[Email_Discarded], Mapping[Email_Correction]), LOWER(TRIM(tbl_HR_Data[[#This Row],[Email]])))</f>
        <v>name@company.org</v>
      </c>
      <c r="Q17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77" t="str" cm="1">
        <f t="array" ref="R177">_xlfn.REDUCE(Q177, {"-","/","_","\","(",")"}, _xlfn.LAMBDA(_xlpm.txt,_xlpm.itm, SUBSTITUTE(_xlpm.txt, _xlpm.itm, "")))</f>
        <v>1234567890</v>
      </c>
      <c r="S177" s="3">
        <f>IFERROR(_xlfn.XLOOKUP(tbl_HR_Data[[#This Row],[Joining Date]], Mapping[Joining_Discarded], Mapping[Joining_Correction]), VALUE(tbl_HR_Data[[#This Row],[Joining Date]]))</f>
        <v>43195</v>
      </c>
      <c r="T177" t="str">
        <f>TEXT(tbl_HR_Data[[#This Row],[Joining Date]], "mmm")</f>
        <v>Apr</v>
      </c>
      <c r="U177" t="str">
        <f>TEXT(tbl_HR_Data[[#This Row],[Joining Date]], "ddd")</f>
        <v>Thu</v>
      </c>
    </row>
    <row r="178" spans="1:21" x14ac:dyDescent="0.35">
      <c r="A178" t="s">
        <v>104</v>
      </c>
      <c r="B178">
        <v>50</v>
      </c>
      <c r="C178">
        <v>0</v>
      </c>
      <c r="D178" t="s">
        <v>11</v>
      </c>
      <c r="E178" t="s">
        <v>37</v>
      </c>
      <c r="F178" t="s">
        <v>39</v>
      </c>
      <c r="G178" s="3">
        <v>43195</v>
      </c>
      <c r="H178" t="str">
        <f>TEXT(tbl_HR_Data[[#This Row],[Joining Date]], "mmm")</f>
        <v>Apr</v>
      </c>
      <c r="I178" t="s">
        <v>92</v>
      </c>
      <c r="J178" t="s">
        <v>31</v>
      </c>
      <c r="K178" t="s">
        <v>15</v>
      </c>
      <c r="L178" t="s">
        <v>87</v>
      </c>
      <c r="M178">
        <f>IFERROR( _xlfn.XLOOKUP(TRIM(tbl_HR_Data[[#This Row],[Age]]),#REF!,#REF!), VALUE(TRIM(tbl_HR_Data[[#This Row],[Age]])))</f>
        <v>50</v>
      </c>
      <c r="N178" t="str">
        <f>IFERROR(_xlfn.XLOOKUP(tbl_HR_Data[[#This Row],[Gender]], Mapping[Gender _Discarded], Mapping[Gender_Correction]), PROPER(TRIM(tbl_HR_Data[[#This Row],[Gender]])))</f>
        <v>Male</v>
      </c>
      <c r="O178" t="str">
        <f>TRIM(tbl_HR_Data[[#This Row],[Position]])</f>
        <v>Clerk</v>
      </c>
      <c r="P178" t="str">
        <f>IFERROR(_xlfn.XLOOKUP(tbl_HR_Data[[#This Row],[Email]], Mapping[Email_Discarded], Mapping[Email_Correction]), LOWER(TRIM(tbl_HR_Data[[#This Row],[Email]])))</f>
        <v>email@example.com</v>
      </c>
      <c r="Q17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78" t="str" cm="1">
        <f t="array" ref="R178">_xlfn.REDUCE(Q178, {"-","/","_","\","(",")"}, _xlfn.LAMBDA(_xlpm.txt,_xlpm.itm, SUBSTITUTE(_xlpm.txt, _xlpm.itm, "")))</f>
        <v>1234567890</v>
      </c>
      <c r="S178" s="3">
        <f>IFERROR(_xlfn.XLOOKUP(tbl_HR_Data[[#This Row],[Joining Date]], Mapping[Joining_Discarded], Mapping[Joining_Correction]), VALUE(tbl_HR_Data[[#This Row],[Joining Date]]))</f>
        <v>43195</v>
      </c>
      <c r="T178" t="str">
        <f>TEXT(tbl_HR_Data[[#This Row],[Joining Date]], "mmm")</f>
        <v>Apr</v>
      </c>
      <c r="U178" t="str">
        <f>TEXT(tbl_HR_Data[[#This Row],[Joining Date]], "ddd")</f>
        <v>Thu</v>
      </c>
    </row>
    <row r="179" spans="1:21" x14ac:dyDescent="0.35">
      <c r="A179" t="s">
        <v>102</v>
      </c>
      <c r="B179">
        <v>40</v>
      </c>
      <c r="C179">
        <v>55000</v>
      </c>
      <c r="D179" t="s">
        <v>11</v>
      </c>
      <c r="E179" t="s">
        <v>37</v>
      </c>
      <c r="F179" t="s">
        <v>43</v>
      </c>
      <c r="G179" s="3">
        <v>43195</v>
      </c>
      <c r="H179" t="str">
        <f>TEXT(tbl_HR_Data[[#This Row],[Joining Date]], "mmm")</f>
        <v>Apr</v>
      </c>
      <c r="I179" t="s">
        <v>92</v>
      </c>
      <c r="J179" t="s">
        <v>41</v>
      </c>
      <c r="K179" t="s">
        <v>77</v>
      </c>
      <c r="L179" t="s">
        <v>77</v>
      </c>
      <c r="M179">
        <f>IFERROR( _xlfn.XLOOKUP(TRIM(tbl_HR_Data[[#This Row],[Age]]),#REF!,#REF!), VALUE(TRIM(tbl_HR_Data[[#This Row],[Age]])))</f>
        <v>40</v>
      </c>
      <c r="N179" t="str">
        <f>IFERROR(_xlfn.XLOOKUP(tbl_HR_Data[[#This Row],[Gender]], Mapping[Gender _Discarded], Mapping[Gender_Correction]), PROPER(TRIM(tbl_HR_Data[[#This Row],[Gender]])))</f>
        <v>Male</v>
      </c>
      <c r="O179" t="str">
        <f>TRIM(tbl_HR_Data[[#This Row],[Position]])</f>
        <v>Assistant</v>
      </c>
      <c r="P179" t="str">
        <f>IFERROR(_xlfn.XLOOKUP(tbl_HR_Data[[#This Row],[Email]], Mapping[Email_Discarded], Mapping[Email_Correction]), LOWER(TRIM(tbl_HR_Data[[#This Row],[Email]])))</f>
        <v>not provided</v>
      </c>
      <c r="Q17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79" t="str" cm="1">
        <f t="array" ref="R179">_xlfn.REDUCE(Q179, {"-","/","_","\","(",")"}, _xlfn.LAMBDA(_xlpm.txt,_xlpm.itm, SUBSTITUTE(_xlpm.txt, _xlpm.itm, "")))</f>
        <v>Not Provided</v>
      </c>
      <c r="S179" s="3">
        <f>IFERROR(_xlfn.XLOOKUP(tbl_HR_Data[[#This Row],[Joining Date]], Mapping[Joining_Discarded], Mapping[Joining_Correction]), VALUE(tbl_HR_Data[[#This Row],[Joining Date]]))</f>
        <v>43195</v>
      </c>
      <c r="T179" t="str">
        <f>TEXT(tbl_HR_Data[[#This Row],[Joining Date]], "mmm")</f>
        <v>Apr</v>
      </c>
      <c r="U179" t="str">
        <f>TEXT(tbl_HR_Data[[#This Row],[Joining Date]], "ddd")</f>
        <v>Thu</v>
      </c>
    </row>
    <row r="180" spans="1:21" x14ac:dyDescent="0.35">
      <c r="A180" t="s">
        <v>106</v>
      </c>
      <c r="B180">
        <v>35</v>
      </c>
      <c r="C180">
        <v>60000</v>
      </c>
      <c r="D180" t="s">
        <v>11</v>
      </c>
      <c r="E180" t="s">
        <v>12</v>
      </c>
      <c r="F180" t="s">
        <v>39</v>
      </c>
      <c r="G180" s="3">
        <v>43195</v>
      </c>
      <c r="H180" t="str">
        <f>TEXT(tbl_HR_Data[[#This Row],[Joining Date]], "mmm")</f>
        <v>Apr</v>
      </c>
      <c r="I180" t="s">
        <v>92</v>
      </c>
      <c r="J180" t="s">
        <v>21</v>
      </c>
      <c r="K180" t="s">
        <v>15</v>
      </c>
      <c r="L180" t="s">
        <v>87</v>
      </c>
      <c r="M180">
        <f>IFERROR( _xlfn.XLOOKUP(TRIM(tbl_HR_Data[[#This Row],[Age]]),#REF!,#REF!), VALUE(TRIM(tbl_HR_Data[[#This Row],[Age]])))</f>
        <v>35</v>
      </c>
      <c r="N180" t="str">
        <f>IFERROR(_xlfn.XLOOKUP(tbl_HR_Data[[#This Row],[Gender]], Mapping[Gender _Discarded], Mapping[Gender_Correction]), PROPER(TRIM(tbl_HR_Data[[#This Row],[Gender]])))</f>
        <v>Male</v>
      </c>
      <c r="O180" t="str">
        <f>TRIM(tbl_HR_Data[[#This Row],[Position]])</f>
        <v>Clerk</v>
      </c>
      <c r="P180" t="str">
        <f>IFERROR(_xlfn.XLOOKUP(tbl_HR_Data[[#This Row],[Email]], Mapping[Email_Discarded], Mapping[Email_Correction]), LOWER(TRIM(tbl_HR_Data[[#This Row],[Email]])))</f>
        <v>email@example.com</v>
      </c>
      <c r="Q18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80" t="str" cm="1">
        <f t="array" ref="R180">_xlfn.REDUCE(Q180, {"-","/","_","\","(",")"}, _xlfn.LAMBDA(_xlpm.txt,_xlpm.itm, SUBSTITUTE(_xlpm.txt, _xlpm.itm, "")))</f>
        <v>1234567890</v>
      </c>
      <c r="S180" s="3">
        <f>IFERROR(_xlfn.XLOOKUP(tbl_HR_Data[[#This Row],[Joining Date]], Mapping[Joining_Discarded], Mapping[Joining_Correction]), VALUE(tbl_HR_Data[[#This Row],[Joining Date]]))</f>
        <v>43195</v>
      </c>
      <c r="T180" t="str">
        <f>TEXT(tbl_HR_Data[[#This Row],[Joining Date]], "mmm")</f>
        <v>Apr</v>
      </c>
      <c r="U180" t="str">
        <f>TEXT(tbl_HR_Data[[#This Row],[Joining Date]], "ddd")</f>
        <v>Thu</v>
      </c>
    </row>
    <row r="181" spans="1:21" x14ac:dyDescent="0.35">
      <c r="A181" t="s">
        <v>103</v>
      </c>
      <c r="B181">
        <v>50</v>
      </c>
      <c r="C181">
        <v>60000</v>
      </c>
      <c r="D181" t="s">
        <v>36</v>
      </c>
      <c r="E181" t="s">
        <v>30</v>
      </c>
      <c r="F181" t="s">
        <v>20</v>
      </c>
      <c r="G181" s="3">
        <v>43195</v>
      </c>
      <c r="H181" t="str">
        <f>TEXT(tbl_HR_Data[[#This Row],[Joining Date]], "mmm")</f>
        <v>Apr</v>
      </c>
      <c r="I181" t="s">
        <v>92</v>
      </c>
      <c r="J181" t="s">
        <v>31</v>
      </c>
      <c r="K181" t="s">
        <v>77</v>
      </c>
      <c r="L181" t="s">
        <v>77</v>
      </c>
      <c r="M181">
        <f>IFERROR( _xlfn.XLOOKUP(TRIM(tbl_HR_Data[[#This Row],[Age]]),#REF!,#REF!), VALUE(TRIM(tbl_HR_Data[[#This Row],[Age]])))</f>
        <v>50</v>
      </c>
      <c r="N181" t="str">
        <f>IFERROR(_xlfn.XLOOKUP(tbl_HR_Data[[#This Row],[Gender]], Mapping[Gender _Discarded], Mapping[Gender_Correction]), PROPER(TRIM(tbl_HR_Data[[#This Row],[Gender]])))</f>
        <v>Other</v>
      </c>
      <c r="O181" t="str">
        <f>TRIM(tbl_HR_Data[[#This Row],[Position]])</f>
        <v>Director</v>
      </c>
      <c r="P181" t="str">
        <f>IFERROR(_xlfn.XLOOKUP(tbl_HR_Data[[#This Row],[Email]], Mapping[Email_Discarded], Mapping[Email_Correction]), LOWER(TRIM(tbl_HR_Data[[#This Row],[Email]])))</f>
        <v>not provided</v>
      </c>
      <c r="Q18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81" t="str" cm="1">
        <f t="array" ref="R181">_xlfn.REDUCE(Q181, {"-","/","_","\","(",")"}, _xlfn.LAMBDA(_xlpm.txt,_xlpm.itm, SUBSTITUTE(_xlpm.txt, _xlpm.itm, "")))</f>
        <v>Not Provided</v>
      </c>
      <c r="S181" s="3">
        <f>IFERROR(_xlfn.XLOOKUP(tbl_HR_Data[[#This Row],[Joining Date]], Mapping[Joining_Discarded], Mapping[Joining_Correction]), VALUE(tbl_HR_Data[[#This Row],[Joining Date]]))</f>
        <v>43195</v>
      </c>
      <c r="T181" t="str">
        <f>TEXT(tbl_HR_Data[[#This Row],[Joining Date]], "mmm")</f>
        <v>Apr</v>
      </c>
      <c r="U181" t="str">
        <f>TEXT(tbl_HR_Data[[#This Row],[Joining Date]], "ddd")</f>
        <v>Thu</v>
      </c>
    </row>
    <row r="182" spans="1:21" x14ac:dyDescent="0.35">
      <c r="A182" t="s">
        <v>100</v>
      </c>
      <c r="B182">
        <v>30</v>
      </c>
      <c r="C182">
        <v>60000</v>
      </c>
      <c r="D182" t="s">
        <v>18</v>
      </c>
      <c r="E182" t="s">
        <v>12</v>
      </c>
      <c r="F182" t="s">
        <v>20</v>
      </c>
      <c r="G182" s="3">
        <v>43195</v>
      </c>
      <c r="H182" t="str">
        <f>TEXT(tbl_HR_Data[[#This Row],[Joining Date]], "mmm")</f>
        <v>Apr</v>
      </c>
      <c r="I182" t="s">
        <v>92</v>
      </c>
      <c r="J182" t="s">
        <v>21</v>
      </c>
      <c r="K182" t="s">
        <v>77</v>
      </c>
      <c r="L182" t="s">
        <v>87</v>
      </c>
      <c r="M182">
        <f>IFERROR( _xlfn.XLOOKUP(TRIM(tbl_HR_Data[[#This Row],[Age]]),#REF!,#REF!), VALUE(TRIM(tbl_HR_Data[[#This Row],[Age]])))</f>
        <v>30</v>
      </c>
      <c r="N182" t="str">
        <f>IFERROR(_xlfn.XLOOKUP(tbl_HR_Data[[#This Row],[Gender]], Mapping[Gender _Discarded], Mapping[Gender_Correction]), PROPER(TRIM(tbl_HR_Data[[#This Row],[Gender]])))</f>
        <v>Female</v>
      </c>
      <c r="O182" t="str">
        <f>TRIM(tbl_HR_Data[[#This Row],[Position]])</f>
        <v>Director</v>
      </c>
      <c r="P182" t="str">
        <f>IFERROR(_xlfn.XLOOKUP(tbl_HR_Data[[#This Row],[Email]], Mapping[Email_Discarded], Mapping[Email_Correction]), LOWER(TRIM(tbl_HR_Data[[#This Row],[Email]])))</f>
        <v>not provided</v>
      </c>
      <c r="Q18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82" t="str" cm="1">
        <f t="array" ref="R182">_xlfn.REDUCE(Q182, {"-","/","_","\","(",")"}, _xlfn.LAMBDA(_xlpm.txt,_xlpm.itm, SUBSTITUTE(_xlpm.txt, _xlpm.itm, "")))</f>
        <v>1234567890</v>
      </c>
      <c r="S182" s="3">
        <f>IFERROR(_xlfn.XLOOKUP(tbl_HR_Data[[#This Row],[Joining Date]], Mapping[Joining_Discarded], Mapping[Joining_Correction]), VALUE(tbl_HR_Data[[#This Row],[Joining Date]]))</f>
        <v>43195</v>
      </c>
      <c r="T182" t="str">
        <f>TEXT(tbl_HR_Data[[#This Row],[Joining Date]], "mmm")</f>
        <v>Apr</v>
      </c>
      <c r="U182" t="str">
        <f>TEXT(tbl_HR_Data[[#This Row],[Joining Date]], "ddd")</f>
        <v>Thu</v>
      </c>
    </row>
    <row r="183" spans="1:21" x14ac:dyDescent="0.35">
      <c r="A183" t="s">
        <v>107</v>
      </c>
      <c r="B183">
        <v>40</v>
      </c>
      <c r="C183">
        <v>55000</v>
      </c>
      <c r="D183" t="s">
        <v>11</v>
      </c>
      <c r="E183" t="s">
        <v>30</v>
      </c>
      <c r="F183" t="s">
        <v>20</v>
      </c>
      <c r="G183" s="3">
        <v>43195</v>
      </c>
      <c r="H183" t="str">
        <f>TEXT(tbl_HR_Data[[#This Row],[Joining Date]], "mmm")</f>
        <v>Apr</v>
      </c>
      <c r="I183" t="s">
        <v>92</v>
      </c>
      <c r="J183" t="s">
        <v>14</v>
      </c>
      <c r="K183" t="s">
        <v>77</v>
      </c>
      <c r="L183" t="s">
        <v>77</v>
      </c>
      <c r="M183">
        <f>IFERROR( _xlfn.XLOOKUP(TRIM(tbl_HR_Data[[#This Row],[Age]]),#REF!,#REF!), VALUE(TRIM(tbl_HR_Data[[#This Row],[Age]])))</f>
        <v>40</v>
      </c>
      <c r="N183" t="str">
        <f>IFERROR(_xlfn.XLOOKUP(tbl_HR_Data[[#This Row],[Gender]], Mapping[Gender _Discarded], Mapping[Gender_Correction]), PROPER(TRIM(tbl_HR_Data[[#This Row],[Gender]])))</f>
        <v>Male</v>
      </c>
      <c r="O183" t="str">
        <f>TRIM(tbl_HR_Data[[#This Row],[Position]])</f>
        <v>Director</v>
      </c>
      <c r="P183" t="str">
        <f>IFERROR(_xlfn.XLOOKUP(tbl_HR_Data[[#This Row],[Email]], Mapping[Email_Discarded], Mapping[Email_Correction]), LOWER(TRIM(tbl_HR_Data[[#This Row],[Email]])))</f>
        <v>not provided</v>
      </c>
      <c r="Q18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83" t="str" cm="1">
        <f t="array" ref="R183">_xlfn.REDUCE(Q183, {"-","/","_","\","(",")"}, _xlfn.LAMBDA(_xlpm.txt,_xlpm.itm, SUBSTITUTE(_xlpm.txt, _xlpm.itm, "")))</f>
        <v>Not Provided</v>
      </c>
      <c r="S183" s="3">
        <f>IFERROR(_xlfn.XLOOKUP(tbl_HR_Data[[#This Row],[Joining Date]], Mapping[Joining_Discarded], Mapping[Joining_Correction]), VALUE(tbl_HR_Data[[#This Row],[Joining Date]]))</f>
        <v>43195</v>
      </c>
      <c r="T183" t="str">
        <f>TEXT(tbl_HR_Data[[#This Row],[Joining Date]], "mmm")</f>
        <v>Apr</v>
      </c>
      <c r="U183" t="str">
        <f>TEXT(tbl_HR_Data[[#This Row],[Joining Date]], "ddd")</f>
        <v>Thu</v>
      </c>
    </row>
    <row r="184" spans="1:21" x14ac:dyDescent="0.35">
      <c r="A184" t="s">
        <v>99</v>
      </c>
      <c r="B184">
        <v>30</v>
      </c>
      <c r="C184">
        <v>50000</v>
      </c>
      <c r="D184" t="s">
        <v>18</v>
      </c>
      <c r="E184" t="s">
        <v>37</v>
      </c>
      <c r="F184" t="s">
        <v>43</v>
      </c>
      <c r="G184" s="3">
        <v>43195</v>
      </c>
      <c r="H184" t="str">
        <f>TEXT(tbl_HR_Data[[#This Row],[Joining Date]], "mmm")</f>
        <v>Apr</v>
      </c>
      <c r="I184" t="s">
        <v>92</v>
      </c>
      <c r="J184" t="s">
        <v>31</v>
      </c>
      <c r="K184" t="s">
        <v>77</v>
      </c>
      <c r="L184" t="s">
        <v>87</v>
      </c>
      <c r="M184">
        <f>IFERROR( _xlfn.XLOOKUP(TRIM(tbl_HR_Data[[#This Row],[Age]]),#REF!,#REF!), VALUE(TRIM(tbl_HR_Data[[#This Row],[Age]])))</f>
        <v>30</v>
      </c>
      <c r="N184" t="str">
        <f>IFERROR(_xlfn.XLOOKUP(tbl_HR_Data[[#This Row],[Gender]], Mapping[Gender _Discarded], Mapping[Gender_Correction]), PROPER(TRIM(tbl_HR_Data[[#This Row],[Gender]])))</f>
        <v>Female</v>
      </c>
      <c r="O184" t="str">
        <f>TRIM(tbl_HR_Data[[#This Row],[Position]])</f>
        <v>Assistant</v>
      </c>
      <c r="P184" t="str">
        <f>IFERROR(_xlfn.XLOOKUP(tbl_HR_Data[[#This Row],[Email]], Mapping[Email_Discarded], Mapping[Email_Correction]), LOWER(TRIM(tbl_HR_Data[[#This Row],[Email]])))</f>
        <v>not provided</v>
      </c>
      <c r="Q18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84" t="str" cm="1">
        <f t="array" ref="R184">_xlfn.REDUCE(Q184, {"-","/","_","\","(",")"}, _xlfn.LAMBDA(_xlpm.txt,_xlpm.itm, SUBSTITUTE(_xlpm.txt, _xlpm.itm, "")))</f>
        <v>1234567890</v>
      </c>
      <c r="S184" s="3">
        <f>IFERROR(_xlfn.XLOOKUP(tbl_HR_Data[[#This Row],[Joining Date]], Mapping[Joining_Discarded], Mapping[Joining_Correction]), VALUE(tbl_HR_Data[[#This Row],[Joining Date]]))</f>
        <v>43195</v>
      </c>
      <c r="T184" t="str">
        <f>TEXT(tbl_HR_Data[[#This Row],[Joining Date]], "mmm")</f>
        <v>Apr</v>
      </c>
      <c r="U184" t="str">
        <f>TEXT(tbl_HR_Data[[#This Row],[Joining Date]], "ddd")</f>
        <v>Thu</v>
      </c>
    </row>
    <row r="185" spans="1:21" x14ac:dyDescent="0.35">
      <c r="A185" t="s">
        <v>103</v>
      </c>
      <c r="B185">
        <v>35</v>
      </c>
      <c r="C185">
        <v>65000</v>
      </c>
      <c r="D185" t="s">
        <v>18</v>
      </c>
      <c r="E185" t="s">
        <v>12</v>
      </c>
      <c r="F185" t="s">
        <v>20</v>
      </c>
      <c r="G185" s="3">
        <v>43195</v>
      </c>
      <c r="H185" t="str">
        <f>TEXT(tbl_HR_Data[[#This Row],[Joining Date]], "mmm")</f>
        <v>Apr</v>
      </c>
      <c r="I185" t="s">
        <v>92</v>
      </c>
      <c r="J185" t="s">
        <v>21</v>
      </c>
      <c r="K185" t="s">
        <v>77</v>
      </c>
      <c r="L185" t="s">
        <v>77</v>
      </c>
      <c r="M185">
        <f>IFERROR( _xlfn.XLOOKUP(TRIM(tbl_HR_Data[[#This Row],[Age]]),#REF!,#REF!), VALUE(TRIM(tbl_HR_Data[[#This Row],[Age]])))</f>
        <v>35</v>
      </c>
      <c r="N185" t="str">
        <f>IFERROR(_xlfn.XLOOKUP(tbl_HR_Data[[#This Row],[Gender]], Mapping[Gender _Discarded], Mapping[Gender_Correction]), PROPER(TRIM(tbl_HR_Data[[#This Row],[Gender]])))</f>
        <v>Female</v>
      </c>
      <c r="O185" t="str">
        <f>TRIM(tbl_HR_Data[[#This Row],[Position]])</f>
        <v>Director</v>
      </c>
      <c r="P185" t="str">
        <f>IFERROR(_xlfn.XLOOKUP(tbl_HR_Data[[#This Row],[Email]], Mapping[Email_Discarded], Mapping[Email_Correction]), LOWER(TRIM(tbl_HR_Data[[#This Row],[Email]])))</f>
        <v>not provided</v>
      </c>
      <c r="Q18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85" t="str" cm="1">
        <f t="array" ref="R185">_xlfn.REDUCE(Q185, {"-","/","_","\","(",")"}, _xlfn.LAMBDA(_xlpm.txt,_xlpm.itm, SUBSTITUTE(_xlpm.txt, _xlpm.itm, "")))</f>
        <v>Not Provided</v>
      </c>
      <c r="S185" s="3">
        <f>IFERROR(_xlfn.XLOOKUP(tbl_HR_Data[[#This Row],[Joining Date]], Mapping[Joining_Discarded], Mapping[Joining_Correction]), VALUE(tbl_HR_Data[[#This Row],[Joining Date]]))</f>
        <v>43195</v>
      </c>
      <c r="T185" t="str">
        <f>TEXT(tbl_HR_Data[[#This Row],[Joining Date]], "mmm")</f>
        <v>Apr</v>
      </c>
      <c r="U185" t="str">
        <f>TEXT(tbl_HR_Data[[#This Row],[Joining Date]], "ddd")</f>
        <v>Thu</v>
      </c>
    </row>
    <row r="186" spans="1:21" x14ac:dyDescent="0.35">
      <c r="A186" t="s">
        <v>101</v>
      </c>
      <c r="B186">
        <v>50</v>
      </c>
      <c r="C186">
        <v>70000</v>
      </c>
      <c r="D186" t="s">
        <v>11</v>
      </c>
      <c r="E186" t="s">
        <v>30</v>
      </c>
      <c r="F186" t="s">
        <v>43</v>
      </c>
      <c r="G186" s="3">
        <v>43195</v>
      </c>
      <c r="H186" t="str">
        <f>TEXT(tbl_HR_Data[[#This Row],[Joining Date]], "mmm")</f>
        <v>Apr</v>
      </c>
      <c r="I186" t="s">
        <v>92</v>
      </c>
      <c r="J186" t="s">
        <v>14</v>
      </c>
      <c r="K186" t="s">
        <v>77</v>
      </c>
      <c r="L186" t="s">
        <v>89</v>
      </c>
      <c r="M186">
        <f>IFERROR( _xlfn.XLOOKUP(TRIM(tbl_HR_Data[[#This Row],[Age]]),#REF!,#REF!), VALUE(TRIM(tbl_HR_Data[[#This Row],[Age]])))</f>
        <v>50</v>
      </c>
      <c r="N186" t="str">
        <f>IFERROR(_xlfn.XLOOKUP(tbl_HR_Data[[#This Row],[Gender]], Mapping[Gender _Discarded], Mapping[Gender_Correction]), PROPER(TRIM(tbl_HR_Data[[#This Row],[Gender]])))</f>
        <v>Male</v>
      </c>
      <c r="O186" t="str">
        <f>TRIM(tbl_HR_Data[[#This Row],[Position]])</f>
        <v>Assistant</v>
      </c>
      <c r="P186" t="str">
        <f>IFERROR(_xlfn.XLOOKUP(tbl_HR_Data[[#This Row],[Email]], Mapping[Email_Discarded], Mapping[Email_Correction]), LOWER(TRIM(tbl_HR_Data[[#This Row],[Email]])))</f>
        <v>not provided</v>
      </c>
      <c r="Q18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186" t="str" cm="1">
        <f t="array" ref="R186">_xlfn.REDUCE(Q186, {"-","/","_","\","(",")"}, _xlfn.LAMBDA(_xlpm.txt,_xlpm.itm, SUBSTITUTE(_xlpm.txt, _xlpm.itm, "")))</f>
        <v>5555555555</v>
      </c>
      <c r="S186" s="3">
        <f>IFERROR(_xlfn.XLOOKUP(tbl_HR_Data[[#This Row],[Joining Date]], Mapping[Joining_Discarded], Mapping[Joining_Correction]), VALUE(tbl_HR_Data[[#This Row],[Joining Date]]))</f>
        <v>43195</v>
      </c>
      <c r="T186" t="str">
        <f>TEXT(tbl_HR_Data[[#This Row],[Joining Date]], "mmm")</f>
        <v>Apr</v>
      </c>
      <c r="U186" t="str">
        <f>TEXT(tbl_HR_Data[[#This Row],[Joining Date]], "ddd")</f>
        <v>Thu</v>
      </c>
    </row>
    <row r="187" spans="1:21" x14ac:dyDescent="0.35">
      <c r="A187" t="s">
        <v>104</v>
      </c>
      <c r="B187">
        <v>30</v>
      </c>
      <c r="C187">
        <v>60000</v>
      </c>
      <c r="D187" t="s">
        <v>11</v>
      </c>
      <c r="E187" t="s">
        <v>19</v>
      </c>
      <c r="F187" t="s">
        <v>20</v>
      </c>
      <c r="G187" s="3">
        <v>43195</v>
      </c>
      <c r="H187" t="str">
        <f>TEXT(tbl_HR_Data[[#This Row],[Joining Date]], "mmm")</f>
        <v>Apr</v>
      </c>
      <c r="I187" t="s">
        <v>92</v>
      </c>
      <c r="J187" t="s">
        <v>27</v>
      </c>
      <c r="K187" t="s">
        <v>15</v>
      </c>
      <c r="L187" t="s">
        <v>77</v>
      </c>
      <c r="M187">
        <f>IFERROR( _xlfn.XLOOKUP(TRIM(tbl_HR_Data[[#This Row],[Age]]),#REF!,#REF!), VALUE(TRIM(tbl_HR_Data[[#This Row],[Age]])))</f>
        <v>30</v>
      </c>
      <c r="N187" t="str">
        <f>IFERROR(_xlfn.XLOOKUP(tbl_HR_Data[[#This Row],[Gender]], Mapping[Gender _Discarded], Mapping[Gender_Correction]), PROPER(TRIM(tbl_HR_Data[[#This Row],[Gender]])))</f>
        <v>Male</v>
      </c>
      <c r="O187" t="str">
        <f>TRIM(tbl_HR_Data[[#This Row],[Position]])</f>
        <v>Director</v>
      </c>
      <c r="P187" t="str">
        <f>IFERROR(_xlfn.XLOOKUP(tbl_HR_Data[[#This Row],[Email]], Mapping[Email_Discarded], Mapping[Email_Correction]), LOWER(TRIM(tbl_HR_Data[[#This Row],[Email]])))</f>
        <v>email@example.com</v>
      </c>
      <c r="Q18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87" t="str" cm="1">
        <f t="array" ref="R187">_xlfn.REDUCE(Q187, {"-","/","_","\","(",")"}, _xlfn.LAMBDA(_xlpm.txt,_xlpm.itm, SUBSTITUTE(_xlpm.txt, _xlpm.itm, "")))</f>
        <v>Not Provided</v>
      </c>
      <c r="S187" s="3">
        <f>IFERROR(_xlfn.XLOOKUP(tbl_HR_Data[[#This Row],[Joining Date]], Mapping[Joining_Discarded], Mapping[Joining_Correction]), VALUE(tbl_HR_Data[[#This Row],[Joining Date]]))</f>
        <v>43195</v>
      </c>
      <c r="T187" t="str">
        <f>TEXT(tbl_HR_Data[[#This Row],[Joining Date]], "mmm")</f>
        <v>Apr</v>
      </c>
      <c r="U187" t="str">
        <f>TEXT(tbl_HR_Data[[#This Row],[Joining Date]], "ddd")</f>
        <v>Thu</v>
      </c>
    </row>
    <row r="188" spans="1:21" x14ac:dyDescent="0.35">
      <c r="A188" t="s">
        <v>105</v>
      </c>
      <c r="B188">
        <v>0</v>
      </c>
      <c r="C188">
        <v>50000</v>
      </c>
      <c r="D188" t="s">
        <v>11</v>
      </c>
      <c r="E188" t="s">
        <v>37</v>
      </c>
      <c r="F188" t="s">
        <v>39</v>
      </c>
      <c r="G188" s="3">
        <v>43477</v>
      </c>
      <c r="H188" t="str">
        <f>TEXT(tbl_HR_Data[[#This Row],[Joining Date]], "mmm")</f>
        <v>Jan</v>
      </c>
      <c r="I188" t="s">
        <v>93</v>
      </c>
      <c r="J188" t="s">
        <v>41</v>
      </c>
      <c r="K188" t="s">
        <v>77</v>
      </c>
      <c r="L188" t="s">
        <v>87</v>
      </c>
      <c r="M188">
        <f>IFERROR( _xlfn.XLOOKUP(TRIM(tbl_HR_Data[[#This Row],[Age]]),#REF!,#REF!), VALUE(TRIM(tbl_HR_Data[[#This Row],[Age]])))</f>
        <v>0</v>
      </c>
      <c r="N188" t="str">
        <f>IFERROR(_xlfn.XLOOKUP(tbl_HR_Data[[#This Row],[Gender]], Mapping[Gender _Discarded], Mapping[Gender_Correction]), PROPER(TRIM(tbl_HR_Data[[#This Row],[Gender]])))</f>
        <v>Male</v>
      </c>
      <c r="O188" t="str">
        <f>TRIM(tbl_HR_Data[[#This Row],[Position]])</f>
        <v>Clerk</v>
      </c>
      <c r="P188" t="str">
        <f>IFERROR(_xlfn.XLOOKUP(tbl_HR_Data[[#This Row],[Email]], Mapping[Email_Discarded], Mapping[Email_Correction]), LOWER(TRIM(tbl_HR_Data[[#This Row],[Email]])))</f>
        <v>not provided</v>
      </c>
      <c r="Q18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88" t="str" cm="1">
        <f t="array" ref="R188">_xlfn.REDUCE(Q188, {"-","/","_","\","(",")"}, _xlfn.LAMBDA(_xlpm.txt,_xlpm.itm, SUBSTITUTE(_xlpm.txt, _xlpm.itm, "")))</f>
        <v>1234567890</v>
      </c>
      <c r="S188" s="3">
        <f>IFERROR(_xlfn.XLOOKUP(tbl_HR_Data[[#This Row],[Joining Date]], Mapping[Joining_Discarded], Mapping[Joining_Correction]), VALUE(tbl_HR_Data[[#This Row],[Joining Date]]))</f>
        <v>43477</v>
      </c>
      <c r="T188" t="str">
        <f>TEXT(tbl_HR_Data[[#This Row],[Joining Date]], "mmm")</f>
        <v>Jan</v>
      </c>
      <c r="U188" t="str">
        <f>TEXT(tbl_HR_Data[[#This Row],[Joining Date]], "ddd")</f>
        <v>Sat</v>
      </c>
    </row>
    <row r="189" spans="1:21" x14ac:dyDescent="0.35">
      <c r="A189" t="s">
        <v>107</v>
      </c>
      <c r="B189">
        <v>30</v>
      </c>
      <c r="C189">
        <v>70000</v>
      </c>
      <c r="D189" t="s">
        <v>11</v>
      </c>
      <c r="E189" t="s">
        <v>37</v>
      </c>
      <c r="F189" t="s">
        <v>44</v>
      </c>
      <c r="G189" s="3">
        <v>43477</v>
      </c>
      <c r="H189" t="str">
        <f>TEXT(tbl_HR_Data[[#This Row],[Joining Date]], "mmm")</f>
        <v>Jan</v>
      </c>
      <c r="I189" t="s">
        <v>93</v>
      </c>
      <c r="J189" t="s">
        <v>41</v>
      </c>
      <c r="K189" t="s">
        <v>77</v>
      </c>
      <c r="L189" t="s">
        <v>87</v>
      </c>
      <c r="M189">
        <f>IFERROR( _xlfn.XLOOKUP(TRIM(tbl_HR_Data[[#This Row],[Age]]),#REF!,#REF!), VALUE(TRIM(tbl_HR_Data[[#This Row],[Age]])))</f>
        <v>30</v>
      </c>
      <c r="N189" t="str">
        <f>IFERROR(_xlfn.XLOOKUP(tbl_HR_Data[[#This Row],[Gender]], Mapping[Gender _Discarded], Mapping[Gender_Correction]), PROPER(TRIM(tbl_HR_Data[[#This Row],[Gender]])))</f>
        <v>Male</v>
      </c>
      <c r="O189" t="str">
        <f>TRIM(tbl_HR_Data[[#This Row],[Position]])</f>
        <v>Analyst</v>
      </c>
      <c r="P189" t="str">
        <f>IFERROR(_xlfn.XLOOKUP(tbl_HR_Data[[#This Row],[Email]], Mapping[Email_Discarded], Mapping[Email_Correction]), LOWER(TRIM(tbl_HR_Data[[#This Row],[Email]])))</f>
        <v>not provided</v>
      </c>
      <c r="Q18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89" t="str" cm="1">
        <f t="array" ref="R189">_xlfn.REDUCE(Q189, {"-","/","_","\","(",")"}, _xlfn.LAMBDA(_xlpm.txt,_xlpm.itm, SUBSTITUTE(_xlpm.txt, _xlpm.itm, "")))</f>
        <v>1234567890</v>
      </c>
      <c r="S189" s="3">
        <f>IFERROR(_xlfn.XLOOKUP(tbl_HR_Data[[#This Row],[Joining Date]], Mapping[Joining_Discarded], Mapping[Joining_Correction]), VALUE(tbl_HR_Data[[#This Row],[Joining Date]]))</f>
        <v>43477</v>
      </c>
      <c r="T189" t="str">
        <f>TEXT(tbl_HR_Data[[#This Row],[Joining Date]], "mmm")</f>
        <v>Jan</v>
      </c>
      <c r="U189" t="str">
        <f>TEXT(tbl_HR_Data[[#This Row],[Joining Date]], "ddd")</f>
        <v>Sat</v>
      </c>
    </row>
    <row r="190" spans="1:21" x14ac:dyDescent="0.35">
      <c r="A190" t="s">
        <v>107</v>
      </c>
      <c r="B190">
        <v>50</v>
      </c>
      <c r="C190">
        <v>65000</v>
      </c>
      <c r="D190" t="s">
        <v>11</v>
      </c>
      <c r="E190" t="s">
        <v>12</v>
      </c>
      <c r="F190" t="s">
        <v>43</v>
      </c>
      <c r="G190" s="3">
        <v>43477</v>
      </c>
      <c r="H190" t="str">
        <f>TEXT(tbl_HR_Data[[#This Row],[Joining Date]], "mmm")</f>
        <v>Jan</v>
      </c>
      <c r="I190" t="s">
        <v>93</v>
      </c>
      <c r="J190" t="s">
        <v>27</v>
      </c>
      <c r="K190" t="s">
        <v>77</v>
      </c>
      <c r="L190" t="s">
        <v>89</v>
      </c>
      <c r="M190">
        <f>IFERROR( _xlfn.XLOOKUP(TRIM(tbl_HR_Data[[#This Row],[Age]]),#REF!,#REF!), VALUE(TRIM(tbl_HR_Data[[#This Row],[Age]])))</f>
        <v>50</v>
      </c>
      <c r="N190" t="str">
        <f>IFERROR(_xlfn.XLOOKUP(tbl_HR_Data[[#This Row],[Gender]], Mapping[Gender _Discarded], Mapping[Gender_Correction]), PROPER(TRIM(tbl_HR_Data[[#This Row],[Gender]])))</f>
        <v>Male</v>
      </c>
      <c r="O190" t="str">
        <f>TRIM(tbl_HR_Data[[#This Row],[Position]])</f>
        <v>Assistant</v>
      </c>
      <c r="P190" t="str">
        <f>IFERROR(_xlfn.XLOOKUP(tbl_HR_Data[[#This Row],[Email]], Mapping[Email_Discarded], Mapping[Email_Correction]), LOWER(TRIM(tbl_HR_Data[[#This Row],[Email]])))</f>
        <v>not provided</v>
      </c>
      <c r="Q19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190" t="str" cm="1">
        <f t="array" ref="R190">_xlfn.REDUCE(Q190, {"-","/","_","\","(",")"}, _xlfn.LAMBDA(_xlpm.txt,_xlpm.itm, SUBSTITUTE(_xlpm.txt, _xlpm.itm, "")))</f>
        <v>5555555555</v>
      </c>
      <c r="S190" s="3">
        <f>IFERROR(_xlfn.XLOOKUP(tbl_HR_Data[[#This Row],[Joining Date]], Mapping[Joining_Discarded], Mapping[Joining_Correction]), VALUE(tbl_HR_Data[[#This Row],[Joining Date]]))</f>
        <v>43477</v>
      </c>
      <c r="T190" t="str">
        <f>TEXT(tbl_HR_Data[[#This Row],[Joining Date]], "mmm")</f>
        <v>Jan</v>
      </c>
      <c r="U190" t="str">
        <f>TEXT(tbl_HR_Data[[#This Row],[Joining Date]], "ddd")</f>
        <v>Sat</v>
      </c>
    </row>
    <row r="191" spans="1:21" x14ac:dyDescent="0.35">
      <c r="A191" t="s">
        <v>104</v>
      </c>
      <c r="B191">
        <v>25</v>
      </c>
      <c r="C191">
        <v>55000</v>
      </c>
      <c r="D191" t="s">
        <v>18</v>
      </c>
      <c r="E191" t="s">
        <v>19</v>
      </c>
      <c r="F191" t="s">
        <v>13</v>
      </c>
      <c r="G191" s="3">
        <v>43477</v>
      </c>
      <c r="H191" t="str">
        <f>TEXT(tbl_HR_Data[[#This Row],[Joining Date]], "mmm")</f>
        <v>Jan</v>
      </c>
      <c r="I191" t="s">
        <v>93</v>
      </c>
      <c r="J191" t="s">
        <v>41</v>
      </c>
      <c r="K191" t="s">
        <v>32</v>
      </c>
      <c r="L191" t="s">
        <v>88</v>
      </c>
      <c r="M191">
        <f>IFERROR( _xlfn.XLOOKUP(TRIM(tbl_HR_Data[[#This Row],[Age]]),#REF!,#REF!), VALUE(TRIM(tbl_HR_Data[[#This Row],[Age]])))</f>
        <v>25</v>
      </c>
      <c r="N191" t="str">
        <f>IFERROR(_xlfn.XLOOKUP(tbl_HR_Data[[#This Row],[Gender]], Mapping[Gender _Discarded], Mapping[Gender_Correction]), PROPER(TRIM(tbl_HR_Data[[#This Row],[Gender]])))</f>
        <v>Female</v>
      </c>
      <c r="O191" t="str">
        <f>TRIM(tbl_HR_Data[[#This Row],[Position]])</f>
        <v>Manager</v>
      </c>
      <c r="P191" t="str">
        <f>IFERROR(_xlfn.XLOOKUP(tbl_HR_Data[[#This Row],[Email]], Mapping[Email_Discarded], Mapping[Email_Correction]), LOWER(TRIM(tbl_HR_Data[[#This Row],[Email]])))</f>
        <v>name@company.org</v>
      </c>
      <c r="Q19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191" t="str" cm="1">
        <f t="array" ref="R191">_xlfn.REDUCE(Q191, {"-","/","_","\","(",")"}, _xlfn.LAMBDA(_xlpm.txt,_xlpm.itm, SUBSTITUTE(_xlpm.txt, _xlpm.itm, "")))</f>
        <v>0987654321</v>
      </c>
      <c r="S191" s="3">
        <f>IFERROR(_xlfn.XLOOKUP(tbl_HR_Data[[#This Row],[Joining Date]], Mapping[Joining_Discarded], Mapping[Joining_Correction]), VALUE(tbl_HR_Data[[#This Row],[Joining Date]]))</f>
        <v>43477</v>
      </c>
      <c r="T191" t="str">
        <f>TEXT(tbl_HR_Data[[#This Row],[Joining Date]], "mmm")</f>
        <v>Jan</v>
      </c>
      <c r="U191" t="str">
        <f>TEXT(tbl_HR_Data[[#This Row],[Joining Date]], "ddd")</f>
        <v>Sat</v>
      </c>
    </row>
    <row r="192" spans="1:21" x14ac:dyDescent="0.35">
      <c r="A192" t="s">
        <v>105</v>
      </c>
      <c r="B192">
        <v>25</v>
      </c>
      <c r="C192">
        <v>70000</v>
      </c>
      <c r="D192" t="s">
        <v>18</v>
      </c>
      <c r="E192" t="s">
        <v>19</v>
      </c>
      <c r="F192" t="s">
        <v>39</v>
      </c>
      <c r="G192" s="3">
        <v>43477</v>
      </c>
      <c r="H192" t="str">
        <f>TEXT(tbl_HR_Data[[#This Row],[Joining Date]], "mmm")</f>
        <v>Jan</v>
      </c>
      <c r="I192" t="s">
        <v>93</v>
      </c>
      <c r="J192" t="s">
        <v>41</v>
      </c>
      <c r="K192" t="s">
        <v>77</v>
      </c>
      <c r="L192" t="s">
        <v>77</v>
      </c>
      <c r="M192">
        <f>IFERROR( _xlfn.XLOOKUP(TRIM(tbl_HR_Data[[#This Row],[Age]]),#REF!,#REF!), VALUE(TRIM(tbl_HR_Data[[#This Row],[Age]])))</f>
        <v>25</v>
      </c>
      <c r="N192" t="str">
        <f>IFERROR(_xlfn.XLOOKUP(tbl_HR_Data[[#This Row],[Gender]], Mapping[Gender _Discarded], Mapping[Gender_Correction]), PROPER(TRIM(tbl_HR_Data[[#This Row],[Gender]])))</f>
        <v>Female</v>
      </c>
      <c r="O192" t="str">
        <f>TRIM(tbl_HR_Data[[#This Row],[Position]])</f>
        <v>Clerk</v>
      </c>
      <c r="P192" t="str">
        <f>IFERROR(_xlfn.XLOOKUP(tbl_HR_Data[[#This Row],[Email]], Mapping[Email_Discarded], Mapping[Email_Correction]), LOWER(TRIM(tbl_HR_Data[[#This Row],[Email]])))</f>
        <v>not provided</v>
      </c>
      <c r="Q19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92" t="str" cm="1">
        <f t="array" ref="R192">_xlfn.REDUCE(Q192, {"-","/","_","\","(",")"}, _xlfn.LAMBDA(_xlpm.txt,_xlpm.itm, SUBSTITUTE(_xlpm.txt, _xlpm.itm, "")))</f>
        <v>Not Provided</v>
      </c>
      <c r="S192" s="3">
        <f>IFERROR(_xlfn.XLOOKUP(tbl_HR_Data[[#This Row],[Joining Date]], Mapping[Joining_Discarded], Mapping[Joining_Correction]), VALUE(tbl_HR_Data[[#This Row],[Joining Date]]))</f>
        <v>43477</v>
      </c>
      <c r="T192" t="str">
        <f>TEXT(tbl_HR_Data[[#This Row],[Joining Date]], "mmm")</f>
        <v>Jan</v>
      </c>
      <c r="U192" t="str">
        <f>TEXT(tbl_HR_Data[[#This Row],[Joining Date]], "ddd")</f>
        <v>Sat</v>
      </c>
    </row>
    <row r="193" spans="1:21" x14ac:dyDescent="0.35">
      <c r="A193" t="s">
        <v>108</v>
      </c>
      <c r="B193">
        <v>30</v>
      </c>
      <c r="C193">
        <v>55000</v>
      </c>
      <c r="D193" t="s">
        <v>11</v>
      </c>
      <c r="E193" t="s">
        <v>12</v>
      </c>
      <c r="F193" t="s">
        <v>44</v>
      </c>
      <c r="G193" s="3">
        <v>43477</v>
      </c>
      <c r="H193" t="str">
        <f>TEXT(tbl_HR_Data[[#This Row],[Joining Date]], "mmm")</f>
        <v>Jan</v>
      </c>
      <c r="I193" t="s">
        <v>93</v>
      </c>
      <c r="J193" t="s">
        <v>41</v>
      </c>
      <c r="K193" t="s">
        <v>22</v>
      </c>
      <c r="L193" t="s">
        <v>87</v>
      </c>
      <c r="M193">
        <f>IFERROR( _xlfn.XLOOKUP(TRIM(tbl_HR_Data[[#This Row],[Age]]),#REF!,#REF!), VALUE(TRIM(tbl_HR_Data[[#This Row],[Age]])))</f>
        <v>30</v>
      </c>
      <c r="N193" t="str">
        <f>IFERROR(_xlfn.XLOOKUP(tbl_HR_Data[[#This Row],[Gender]], Mapping[Gender _Discarded], Mapping[Gender_Correction]), PROPER(TRIM(tbl_HR_Data[[#This Row],[Gender]])))</f>
        <v>Male</v>
      </c>
      <c r="O193" t="str">
        <f>TRIM(tbl_HR_Data[[#This Row],[Position]])</f>
        <v>Analyst</v>
      </c>
      <c r="P193" t="str">
        <f>IFERROR(_xlfn.XLOOKUP(tbl_HR_Data[[#This Row],[Email]], Mapping[Email_Discarded], Mapping[Email_Correction]), LOWER(TRIM(tbl_HR_Data[[#This Row],[Email]])))</f>
        <v>user@domain.com</v>
      </c>
      <c r="Q19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193" t="str" cm="1">
        <f t="array" ref="R193">_xlfn.REDUCE(Q193, {"-","/","_","\","(",")"}, _xlfn.LAMBDA(_xlpm.txt,_xlpm.itm, SUBSTITUTE(_xlpm.txt, _xlpm.itm, "")))</f>
        <v>1234567890</v>
      </c>
      <c r="S193" s="3">
        <f>IFERROR(_xlfn.XLOOKUP(tbl_HR_Data[[#This Row],[Joining Date]], Mapping[Joining_Discarded], Mapping[Joining_Correction]), VALUE(tbl_HR_Data[[#This Row],[Joining Date]]))</f>
        <v>43477</v>
      </c>
      <c r="T193" t="str">
        <f>TEXT(tbl_HR_Data[[#This Row],[Joining Date]], "mmm")</f>
        <v>Jan</v>
      </c>
      <c r="U193" t="str">
        <f>TEXT(tbl_HR_Data[[#This Row],[Joining Date]], "ddd")</f>
        <v>Sat</v>
      </c>
    </row>
    <row r="194" spans="1:21" x14ac:dyDescent="0.35">
      <c r="A194" t="s">
        <v>108</v>
      </c>
      <c r="B194">
        <v>40</v>
      </c>
      <c r="C194">
        <v>50000</v>
      </c>
      <c r="D194" t="s">
        <v>18</v>
      </c>
      <c r="E194" t="s">
        <v>19</v>
      </c>
      <c r="F194" t="s">
        <v>20</v>
      </c>
      <c r="G194" s="3">
        <v>43477</v>
      </c>
      <c r="H194" t="str">
        <f>TEXT(tbl_HR_Data[[#This Row],[Joining Date]], "mmm")</f>
        <v>Jan</v>
      </c>
      <c r="I194" t="s">
        <v>93</v>
      </c>
      <c r="J194" t="s">
        <v>27</v>
      </c>
      <c r="K194" t="s">
        <v>32</v>
      </c>
      <c r="L194" t="s">
        <v>88</v>
      </c>
      <c r="M194">
        <f>IFERROR( _xlfn.XLOOKUP(TRIM(tbl_HR_Data[[#This Row],[Age]]),#REF!,#REF!), VALUE(TRIM(tbl_HR_Data[[#This Row],[Age]])))</f>
        <v>40</v>
      </c>
      <c r="N194" t="str">
        <f>IFERROR(_xlfn.XLOOKUP(tbl_HR_Data[[#This Row],[Gender]], Mapping[Gender _Discarded], Mapping[Gender_Correction]), PROPER(TRIM(tbl_HR_Data[[#This Row],[Gender]])))</f>
        <v>Female</v>
      </c>
      <c r="O194" t="str">
        <f>TRIM(tbl_HR_Data[[#This Row],[Position]])</f>
        <v>Director</v>
      </c>
      <c r="P194" t="str">
        <f>IFERROR(_xlfn.XLOOKUP(tbl_HR_Data[[#This Row],[Email]], Mapping[Email_Discarded], Mapping[Email_Correction]), LOWER(TRIM(tbl_HR_Data[[#This Row],[Email]])))</f>
        <v>name@company.org</v>
      </c>
      <c r="Q19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194" t="str" cm="1">
        <f t="array" ref="R194">_xlfn.REDUCE(Q194, {"-","/","_","\","(",")"}, _xlfn.LAMBDA(_xlpm.txt,_xlpm.itm, SUBSTITUTE(_xlpm.txt, _xlpm.itm, "")))</f>
        <v>0987654321</v>
      </c>
      <c r="S194" s="3">
        <f>IFERROR(_xlfn.XLOOKUP(tbl_HR_Data[[#This Row],[Joining Date]], Mapping[Joining_Discarded], Mapping[Joining_Correction]), VALUE(tbl_HR_Data[[#This Row],[Joining Date]]))</f>
        <v>43477</v>
      </c>
      <c r="T194" t="str">
        <f>TEXT(tbl_HR_Data[[#This Row],[Joining Date]], "mmm")</f>
        <v>Jan</v>
      </c>
      <c r="U194" t="str">
        <f>TEXT(tbl_HR_Data[[#This Row],[Joining Date]], "ddd")</f>
        <v>Sat</v>
      </c>
    </row>
    <row r="195" spans="1:21" x14ac:dyDescent="0.35">
      <c r="A195" t="s">
        <v>107</v>
      </c>
      <c r="B195">
        <v>30</v>
      </c>
      <c r="C195">
        <v>0</v>
      </c>
      <c r="D195" t="s">
        <v>11</v>
      </c>
      <c r="E195" t="s">
        <v>26</v>
      </c>
      <c r="F195" t="s">
        <v>43</v>
      </c>
      <c r="G195" s="3">
        <v>43477</v>
      </c>
      <c r="H195" t="str">
        <f>TEXT(tbl_HR_Data[[#This Row],[Joining Date]], "mmm")</f>
        <v>Jan</v>
      </c>
      <c r="I195" t="s">
        <v>93</v>
      </c>
      <c r="J195" t="s">
        <v>21</v>
      </c>
      <c r="K195" t="s">
        <v>22</v>
      </c>
      <c r="L195" t="s">
        <v>88</v>
      </c>
      <c r="M195">
        <f>IFERROR( _xlfn.XLOOKUP(TRIM(tbl_HR_Data[[#This Row],[Age]]),#REF!,#REF!), VALUE(TRIM(tbl_HR_Data[[#This Row],[Age]])))</f>
        <v>30</v>
      </c>
      <c r="N195" t="str">
        <f>IFERROR(_xlfn.XLOOKUP(tbl_HR_Data[[#This Row],[Gender]], Mapping[Gender _Discarded], Mapping[Gender_Correction]), PROPER(TRIM(tbl_HR_Data[[#This Row],[Gender]])))</f>
        <v>Male</v>
      </c>
      <c r="O195" t="str">
        <f>TRIM(tbl_HR_Data[[#This Row],[Position]])</f>
        <v>Assistant</v>
      </c>
      <c r="P195" t="str">
        <f>IFERROR(_xlfn.XLOOKUP(tbl_HR_Data[[#This Row],[Email]], Mapping[Email_Discarded], Mapping[Email_Correction]), LOWER(TRIM(tbl_HR_Data[[#This Row],[Email]])))</f>
        <v>user@domain.com</v>
      </c>
      <c r="Q19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195" t="str" cm="1">
        <f t="array" ref="R195">_xlfn.REDUCE(Q195, {"-","/","_","\","(",")"}, _xlfn.LAMBDA(_xlpm.txt,_xlpm.itm, SUBSTITUTE(_xlpm.txt, _xlpm.itm, "")))</f>
        <v>0987654321</v>
      </c>
      <c r="S195" s="3">
        <f>IFERROR(_xlfn.XLOOKUP(tbl_HR_Data[[#This Row],[Joining Date]], Mapping[Joining_Discarded], Mapping[Joining_Correction]), VALUE(tbl_HR_Data[[#This Row],[Joining Date]]))</f>
        <v>43477</v>
      </c>
      <c r="T195" t="str">
        <f>TEXT(tbl_HR_Data[[#This Row],[Joining Date]], "mmm")</f>
        <v>Jan</v>
      </c>
      <c r="U195" t="str">
        <f>TEXT(tbl_HR_Data[[#This Row],[Joining Date]], "ddd")</f>
        <v>Sat</v>
      </c>
    </row>
    <row r="196" spans="1:21" x14ac:dyDescent="0.35">
      <c r="A196" t="s">
        <v>101</v>
      </c>
      <c r="B196">
        <v>50</v>
      </c>
      <c r="C196">
        <v>70000</v>
      </c>
      <c r="D196" t="s">
        <v>18</v>
      </c>
      <c r="E196" t="s">
        <v>37</v>
      </c>
      <c r="F196" t="s">
        <v>13</v>
      </c>
      <c r="G196" s="3">
        <v>43477</v>
      </c>
      <c r="H196" t="str">
        <f>TEXT(tbl_HR_Data[[#This Row],[Joining Date]], "mmm")</f>
        <v>Jan</v>
      </c>
      <c r="I196" t="s">
        <v>93</v>
      </c>
      <c r="J196" t="s">
        <v>14</v>
      </c>
      <c r="K196" t="s">
        <v>77</v>
      </c>
      <c r="L196" t="s">
        <v>88</v>
      </c>
      <c r="M196">
        <f>IFERROR( _xlfn.XLOOKUP(TRIM(tbl_HR_Data[[#This Row],[Age]]),#REF!,#REF!), VALUE(TRIM(tbl_HR_Data[[#This Row],[Age]])))</f>
        <v>50</v>
      </c>
      <c r="N196" t="str">
        <f>IFERROR(_xlfn.XLOOKUP(tbl_HR_Data[[#This Row],[Gender]], Mapping[Gender _Discarded], Mapping[Gender_Correction]), PROPER(TRIM(tbl_HR_Data[[#This Row],[Gender]])))</f>
        <v>Female</v>
      </c>
      <c r="O196" t="str">
        <f>TRIM(tbl_HR_Data[[#This Row],[Position]])</f>
        <v>Manager</v>
      </c>
      <c r="P196" t="str">
        <f>IFERROR(_xlfn.XLOOKUP(tbl_HR_Data[[#This Row],[Email]], Mapping[Email_Discarded], Mapping[Email_Correction]), LOWER(TRIM(tbl_HR_Data[[#This Row],[Email]])))</f>
        <v>not provided</v>
      </c>
      <c r="Q19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196" t="str" cm="1">
        <f t="array" ref="R196">_xlfn.REDUCE(Q196, {"-","/","_","\","(",")"}, _xlfn.LAMBDA(_xlpm.txt,_xlpm.itm, SUBSTITUTE(_xlpm.txt, _xlpm.itm, "")))</f>
        <v>0987654321</v>
      </c>
      <c r="S196" s="3">
        <f>IFERROR(_xlfn.XLOOKUP(tbl_HR_Data[[#This Row],[Joining Date]], Mapping[Joining_Discarded], Mapping[Joining_Correction]), VALUE(tbl_HR_Data[[#This Row],[Joining Date]]))</f>
        <v>43477</v>
      </c>
      <c r="T196" t="str">
        <f>TEXT(tbl_HR_Data[[#This Row],[Joining Date]], "mmm")</f>
        <v>Jan</v>
      </c>
      <c r="U196" t="str">
        <f>TEXT(tbl_HR_Data[[#This Row],[Joining Date]], "ddd")</f>
        <v>Sat</v>
      </c>
    </row>
    <row r="197" spans="1:21" x14ac:dyDescent="0.35">
      <c r="A197" t="s">
        <v>101</v>
      </c>
      <c r="B197">
        <v>25</v>
      </c>
      <c r="C197">
        <v>0</v>
      </c>
      <c r="D197" t="s">
        <v>11</v>
      </c>
      <c r="E197" t="s">
        <v>26</v>
      </c>
      <c r="F197" t="s">
        <v>20</v>
      </c>
      <c r="G197" s="3">
        <v>43477</v>
      </c>
      <c r="H197" t="str">
        <f>TEXT(tbl_HR_Data[[#This Row],[Joining Date]], "mmm")</f>
        <v>Jan</v>
      </c>
      <c r="I197" t="s">
        <v>93</v>
      </c>
      <c r="J197" t="s">
        <v>21</v>
      </c>
      <c r="K197" t="s">
        <v>77</v>
      </c>
      <c r="L197" t="s">
        <v>77</v>
      </c>
      <c r="M197">
        <f>IFERROR( _xlfn.XLOOKUP(TRIM(tbl_HR_Data[[#This Row],[Age]]),#REF!,#REF!), VALUE(TRIM(tbl_HR_Data[[#This Row],[Age]])))</f>
        <v>25</v>
      </c>
      <c r="N197" t="str">
        <f>IFERROR(_xlfn.XLOOKUP(tbl_HR_Data[[#This Row],[Gender]], Mapping[Gender _Discarded], Mapping[Gender_Correction]), PROPER(TRIM(tbl_HR_Data[[#This Row],[Gender]])))</f>
        <v>Male</v>
      </c>
      <c r="O197" t="str">
        <f>TRIM(tbl_HR_Data[[#This Row],[Position]])</f>
        <v>Director</v>
      </c>
      <c r="P197" t="str">
        <f>IFERROR(_xlfn.XLOOKUP(tbl_HR_Data[[#This Row],[Email]], Mapping[Email_Discarded], Mapping[Email_Correction]), LOWER(TRIM(tbl_HR_Data[[#This Row],[Email]])))</f>
        <v>not provided</v>
      </c>
      <c r="Q19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97" t="str" cm="1">
        <f t="array" ref="R197">_xlfn.REDUCE(Q197, {"-","/","_","\","(",")"}, _xlfn.LAMBDA(_xlpm.txt,_xlpm.itm, SUBSTITUTE(_xlpm.txt, _xlpm.itm, "")))</f>
        <v>Not Provided</v>
      </c>
      <c r="S197" s="3">
        <f>IFERROR(_xlfn.XLOOKUP(tbl_HR_Data[[#This Row],[Joining Date]], Mapping[Joining_Discarded], Mapping[Joining_Correction]), VALUE(tbl_HR_Data[[#This Row],[Joining Date]]))</f>
        <v>43477</v>
      </c>
      <c r="T197" t="str">
        <f>TEXT(tbl_HR_Data[[#This Row],[Joining Date]], "mmm")</f>
        <v>Jan</v>
      </c>
      <c r="U197" t="str">
        <f>TEXT(tbl_HR_Data[[#This Row],[Joining Date]], "ddd")</f>
        <v>Sat</v>
      </c>
    </row>
    <row r="198" spans="1:21" x14ac:dyDescent="0.35">
      <c r="A198" t="s">
        <v>104</v>
      </c>
      <c r="B198">
        <v>35</v>
      </c>
      <c r="C198">
        <v>55000</v>
      </c>
      <c r="D198" t="s">
        <v>18</v>
      </c>
      <c r="E198" t="s">
        <v>37</v>
      </c>
      <c r="F198" t="s">
        <v>44</v>
      </c>
      <c r="G198" s="3">
        <v>43477</v>
      </c>
      <c r="H198" t="str">
        <f>TEXT(tbl_HR_Data[[#This Row],[Joining Date]], "mmm")</f>
        <v>Jan</v>
      </c>
      <c r="I198" t="s">
        <v>93</v>
      </c>
      <c r="J198" t="s">
        <v>31</v>
      </c>
      <c r="K198" t="s">
        <v>22</v>
      </c>
      <c r="L198" t="s">
        <v>77</v>
      </c>
      <c r="M198">
        <f>IFERROR( _xlfn.XLOOKUP(TRIM(tbl_HR_Data[[#This Row],[Age]]),#REF!,#REF!), VALUE(TRIM(tbl_HR_Data[[#This Row],[Age]])))</f>
        <v>35</v>
      </c>
      <c r="N198" t="str">
        <f>IFERROR(_xlfn.XLOOKUP(tbl_HR_Data[[#This Row],[Gender]], Mapping[Gender _Discarded], Mapping[Gender_Correction]), PROPER(TRIM(tbl_HR_Data[[#This Row],[Gender]])))</f>
        <v>Female</v>
      </c>
      <c r="O198" t="str">
        <f>TRIM(tbl_HR_Data[[#This Row],[Position]])</f>
        <v>Analyst</v>
      </c>
      <c r="P198" t="str">
        <f>IFERROR(_xlfn.XLOOKUP(tbl_HR_Data[[#This Row],[Email]], Mapping[Email_Discarded], Mapping[Email_Correction]), LOWER(TRIM(tbl_HR_Data[[#This Row],[Email]])))</f>
        <v>user@domain.com</v>
      </c>
      <c r="Q19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198" t="str" cm="1">
        <f t="array" ref="R198">_xlfn.REDUCE(Q198, {"-","/","_","\","(",")"}, _xlfn.LAMBDA(_xlpm.txt,_xlpm.itm, SUBSTITUTE(_xlpm.txt, _xlpm.itm, "")))</f>
        <v>Not Provided</v>
      </c>
      <c r="S198" s="3">
        <f>IFERROR(_xlfn.XLOOKUP(tbl_HR_Data[[#This Row],[Joining Date]], Mapping[Joining_Discarded], Mapping[Joining_Correction]), VALUE(tbl_HR_Data[[#This Row],[Joining Date]]))</f>
        <v>43477</v>
      </c>
      <c r="T198" t="str">
        <f>TEXT(tbl_HR_Data[[#This Row],[Joining Date]], "mmm")</f>
        <v>Jan</v>
      </c>
      <c r="U198" t="str">
        <f>TEXT(tbl_HR_Data[[#This Row],[Joining Date]], "ddd")</f>
        <v>Sat</v>
      </c>
    </row>
    <row r="199" spans="1:21" x14ac:dyDescent="0.35">
      <c r="A199" t="s">
        <v>101</v>
      </c>
      <c r="B199">
        <v>40</v>
      </c>
      <c r="C199">
        <v>70000</v>
      </c>
      <c r="D199" t="s">
        <v>36</v>
      </c>
      <c r="E199" t="s">
        <v>12</v>
      </c>
      <c r="F199" t="s">
        <v>44</v>
      </c>
      <c r="G199" s="3">
        <v>43477</v>
      </c>
      <c r="H199" t="str">
        <f>TEXT(tbl_HR_Data[[#This Row],[Joining Date]], "mmm")</f>
        <v>Jan</v>
      </c>
      <c r="I199" t="s">
        <v>93</v>
      </c>
      <c r="J199" t="s">
        <v>21</v>
      </c>
      <c r="K199" t="s">
        <v>22</v>
      </c>
      <c r="L199" t="s">
        <v>88</v>
      </c>
      <c r="M199">
        <f>IFERROR( _xlfn.XLOOKUP(TRIM(tbl_HR_Data[[#This Row],[Age]]),#REF!,#REF!), VALUE(TRIM(tbl_HR_Data[[#This Row],[Age]])))</f>
        <v>40</v>
      </c>
      <c r="N199" t="str">
        <f>IFERROR(_xlfn.XLOOKUP(tbl_HR_Data[[#This Row],[Gender]], Mapping[Gender _Discarded], Mapping[Gender_Correction]), PROPER(TRIM(tbl_HR_Data[[#This Row],[Gender]])))</f>
        <v>Other</v>
      </c>
      <c r="O199" t="str">
        <f>TRIM(tbl_HR_Data[[#This Row],[Position]])</f>
        <v>Analyst</v>
      </c>
      <c r="P199" t="str">
        <f>IFERROR(_xlfn.XLOOKUP(tbl_HR_Data[[#This Row],[Email]], Mapping[Email_Discarded], Mapping[Email_Correction]), LOWER(TRIM(tbl_HR_Data[[#This Row],[Email]])))</f>
        <v>user@domain.com</v>
      </c>
      <c r="Q19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199" t="str" cm="1">
        <f t="array" ref="R199">_xlfn.REDUCE(Q199, {"-","/","_","\","(",")"}, _xlfn.LAMBDA(_xlpm.txt,_xlpm.itm, SUBSTITUTE(_xlpm.txt, _xlpm.itm, "")))</f>
        <v>0987654321</v>
      </c>
      <c r="S199" s="3">
        <f>IFERROR(_xlfn.XLOOKUP(tbl_HR_Data[[#This Row],[Joining Date]], Mapping[Joining_Discarded], Mapping[Joining_Correction]), VALUE(tbl_HR_Data[[#This Row],[Joining Date]]))</f>
        <v>43477</v>
      </c>
      <c r="T199" t="str">
        <f>TEXT(tbl_HR_Data[[#This Row],[Joining Date]], "mmm")</f>
        <v>Jan</v>
      </c>
      <c r="U199" t="str">
        <f>TEXT(tbl_HR_Data[[#This Row],[Joining Date]], "ddd")</f>
        <v>Sat</v>
      </c>
    </row>
    <row r="200" spans="1:21" x14ac:dyDescent="0.35">
      <c r="A200" t="s">
        <v>104</v>
      </c>
      <c r="B200">
        <v>25</v>
      </c>
      <c r="C200">
        <v>70000</v>
      </c>
      <c r="D200" t="s">
        <v>18</v>
      </c>
      <c r="E200" t="s">
        <v>37</v>
      </c>
      <c r="F200" t="s">
        <v>13</v>
      </c>
      <c r="G200" s="3">
        <v>43477</v>
      </c>
      <c r="H200" t="str">
        <f>TEXT(tbl_HR_Data[[#This Row],[Joining Date]], "mmm")</f>
        <v>Jan</v>
      </c>
      <c r="I200" t="s">
        <v>93</v>
      </c>
      <c r="J200" t="s">
        <v>14</v>
      </c>
      <c r="K200" t="s">
        <v>22</v>
      </c>
      <c r="L200" t="s">
        <v>89</v>
      </c>
      <c r="M200">
        <f>IFERROR( _xlfn.XLOOKUP(TRIM(tbl_HR_Data[[#This Row],[Age]]),#REF!,#REF!), VALUE(TRIM(tbl_HR_Data[[#This Row],[Age]])))</f>
        <v>25</v>
      </c>
      <c r="N200" t="str">
        <f>IFERROR(_xlfn.XLOOKUP(tbl_HR_Data[[#This Row],[Gender]], Mapping[Gender _Discarded], Mapping[Gender_Correction]), PROPER(TRIM(tbl_HR_Data[[#This Row],[Gender]])))</f>
        <v>Female</v>
      </c>
      <c r="O200" t="str">
        <f>TRIM(tbl_HR_Data[[#This Row],[Position]])</f>
        <v>Manager</v>
      </c>
      <c r="P200" t="str">
        <f>IFERROR(_xlfn.XLOOKUP(tbl_HR_Data[[#This Row],[Email]], Mapping[Email_Discarded], Mapping[Email_Correction]), LOWER(TRIM(tbl_HR_Data[[#This Row],[Email]])))</f>
        <v>user@domain.com</v>
      </c>
      <c r="Q20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200" t="str" cm="1">
        <f t="array" ref="R200">_xlfn.REDUCE(Q200, {"-","/","_","\","(",")"}, _xlfn.LAMBDA(_xlpm.txt,_xlpm.itm, SUBSTITUTE(_xlpm.txt, _xlpm.itm, "")))</f>
        <v>5555555555</v>
      </c>
      <c r="S200" s="3">
        <f>IFERROR(_xlfn.XLOOKUP(tbl_HR_Data[[#This Row],[Joining Date]], Mapping[Joining_Discarded], Mapping[Joining_Correction]), VALUE(tbl_HR_Data[[#This Row],[Joining Date]]))</f>
        <v>43477</v>
      </c>
      <c r="T200" t="str">
        <f>TEXT(tbl_HR_Data[[#This Row],[Joining Date]], "mmm")</f>
        <v>Jan</v>
      </c>
      <c r="U200" t="str">
        <f>TEXT(tbl_HR_Data[[#This Row],[Joining Date]], "ddd")</f>
        <v>Sat</v>
      </c>
    </row>
    <row r="201" spans="1:21" x14ac:dyDescent="0.35">
      <c r="A201" t="s">
        <v>104</v>
      </c>
      <c r="B201">
        <v>50</v>
      </c>
      <c r="C201">
        <v>55000</v>
      </c>
      <c r="D201" t="s">
        <v>36</v>
      </c>
      <c r="E201" t="s">
        <v>26</v>
      </c>
      <c r="F201" t="s">
        <v>43</v>
      </c>
      <c r="G201" s="3">
        <v>43477</v>
      </c>
      <c r="H201" t="str">
        <f>TEXT(tbl_HR_Data[[#This Row],[Joining Date]], "mmm")</f>
        <v>Jan</v>
      </c>
      <c r="I201" t="s">
        <v>93</v>
      </c>
      <c r="J201" t="s">
        <v>21</v>
      </c>
      <c r="K201" t="s">
        <v>77</v>
      </c>
      <c r="L201" t="s">
        <v>77</v>
      </c>
      <c r="M201">
        <f>IFERROR( _xlfn.XLOOKUP(TRIM(tbl_HR_Data[[#This Row],[Age]]),#REF!,#REF!), VALUE(TRIM(tbl_HR_Data[[#This Row],[Age]])))</f>
        <v>50</v>
      </c>
      <c r="N201" t="str">
        <f>IFERROR(_xlfn.XLOOKUP(tbl_HR_Data[[#This Row],[Gender]], Mapping[Gender _Discarded], Mapping[Gender_Correction]), PROPER(TRIM(tbl_HR_Data[[#This Row],[Gender]])))</f>
        <v>Other</v>
      </c>
      <c r="O201" t="str">
        <f>TRIM(tbl_HR_Data[[#This Row],[Position]])</f>
        <v>Assistant</v>
      </c>
      <c r="P201" t="str">
        <f>IFERROR(_xlfn.XLOOKUP(tbl_HR_Data[[#This Row],[Email]], Mapping[Email_Discarded], Mapping[Email_Correction]), LOWER(TRIM(tbl_HR_Data[[#This Row],[Email]])))</f>
        <v>not provided</v>
      </c>
      <c r="Q20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01" t="str" cm="1">
        <f t="array" ref="R201">_xlfn.REDUCE(Q201, {"-","/","_","\","(",")"}, _xlfn.LAMBDA(_xlpm.txt,_xlpm.itm, SUBSTITUTE(_xlpm.txt, _xlpm.itm, "")))</f>
        <v>Not Provided</v>
      </c>
      <c r="S201" s="3">
        <f>IFERROR(_xlfn.XLOOKUP(tbl_HR_Data[[#This Row],[Joining Date]], Mapping[Joining_Discarded], Mapping[Joining_Correction]), VALUE(tbl_HR_Data[[#This Row],[Joining Date]]))</f>
        <v>43477</v>
      </c>
      <c r="T201" t="str">
        <f>TEXT(tbl_HR_Data[[#This Row],[Joining Date]], "mmm")</f>
        <v>Jan</v>
      </c>
      <c r="U201" t="str">
        <f>TEXT(tbl_HR_Data[[#This Row],[Joining Date]], "ddd")</f>
        <v>Sat</v>
      </c>
    </row>
    <row r="202" spans="1:21" x14ac:dyDescent="0.35">
      <c r="A202" t="s">
        <v>102</v>
      </c>
      <c r="B202">
        <v>0</v>
      </c>
      <c r="C202">
        <v>65000</v>
      </c>
      <c r="D202" t="s">
        <v>36</v>
      </c>
      <c r="E202" t="s">
        <v>19</v>
      </c>
      <c r="F202" t="s">
        <v>43</v>
      </c>
      <c r="G202" s="3">
        <v>43477</v>
      </c>
      <c r="H202" t="str">
        <f>TEXT(tbl_HR_Data[[#This Row],[Joining Date]], "mmm")</f>
        <v>Jan</v>
      </c>
      <c r="I202" t="s">
        <v>93</v>
      </c>
      <c r="J202" t="s">
        <v>31</v>
      </c>
      <c r="K202" t="s">
        <v>15</v>
      </c>
      <c r="L202" t="s">
        <v>77</v>
      </c>
      <c r="M202">
        <f>IFERROR( _xlfn.XLOOKUP(TRIM(tbl_HR_Data[[#This Row],[Age]]),#REF!,#REF!), VALUE(TRIM(tbl_HR_Data[[#This Row],[Age]])))</f>
        <v>0</v>
      </c>
      <c r="N202" t="str">
        <f>IFERROR(_xlfn.XLOOKUP(tbl_HR_Data[[#This Row],[Gender]], Mapping[Gender _Discarded], Mapping[Gender_Correction]), PROPER(TRIM(tbl_HR_Data[[#This Row],[Gender]])))</f>
        <v>Other</v>
      </c>
      <c r="O202" t="str">
        <f>TRIM(tbl_HR_Data[[#This Row],[Position]])</f>
        <v>Assistant</v>
      </c>
      <c r="P202" t="str">
        <f>IFERROR(_xlfn.XLOOKUP(tbl_HR_Data[[#This Row],[Email]], Mapping[Email_Discarded], Mapping[Email_Correction]), LOWER(TRIM(tbl_HR_Data[[#This Row],[Email]])))</f>
        <v>email@example.com</v>
      </c>
      <c r="Q20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02" t="str" cm="1">
        <f t="array" ref="R202">_xlfn.REDUCE(Q202, {"-","/","_","\","(",")"}, _xlfn.LAMBDA(_xlpm.txt,_xlpm.itm, SUBSTITUTE(_xlpm.txt, _xlpm.itm, "")))</f>
        <v>Not Provided</v>
      </c>
      <c r="S202" s="3">
        <f>IFERROR(_xlfn.XLOOKUP(tbl_HR_Data[[#This Row],[Joining Date]], Mapping[Joining_Discarded], Mapping[Joining_Correction]), VALUE(tbl_HR_Data[[#This Row],[Joining Date]]))</f>
        <v>43477</v>
      </c>
      <c r="T202" t="str">
        <f>TEXT(tbl_HR_Data[[#This Row],[Joining Date]], "mmm")</f>
        <v>Jan</v>
      </c>
      <c r="U202" t="str">
        <f>TEXT(tbl_HR_Data[[#This Row],[Joining Date]], "ddd")</f>
        <v>Sat</v>
      </c>
    </row>
    <row r="203" spans="1:21" x14ac:dyDescent="0.35">
      <c r="A203" t="s">
        <v>105</v>
      </c>
      <c r="B203">
        <v>35</v>
      </c>
      <c r="C203">
        <v>0</v>
      </c>
      <c r="D203" t="s">
        <v>36</v>
      </c>
      <c r="E203" t="s">
        <v>37</v>
      </c>
      <c r="F203" t="s">
        <v>43</v>
      </c>
      <c r="G203" s="3">
        <v>43477</v>
      </c>
      <c r="H203" t="str">
        <f>TEXT(tbl_HR_Data[[#This Row],[Joining Date]], "mmm")</f>
        <v>Jan</v>
      </c>
      <c r="I203" t="s">
        <v>93</v>
      </c>
      <c r="J203" t="s">
        <v>21</v>
      </c>
      <c r="K203" t="s">
        <v>22</v>
      </c>
      <c r="L203" t="s">
        <v>87</v>
      </c>
      <c r="M203">
        <f>IFERROR( _xlfn.XLOOKUP(TRIM(tbl_HR_Data[[#This Row],[Age]]),#REF!,#REF!), VALUE(TRIM(tbl_HR_Data[[#This Row],[Age]])))</f>
        <v>35</v>
      </c>
      <c r="N203" t="str">
        <f>IFERROR(_xlfn.XLOOKUP(tbl_HR_Data[[#This Row],[Gender]], Mapping[Gender _Discarded], Mapping[Gender_Correction]), PROPER(TRIM(tbl_HR_Data[[#This Row],[Gender]])))</f>
        <v>Other</v>
      </c>
      <c r="O203" t="str">
        <f>TRIM(tbl_HR_Data[[#This Row],[Position]])</f>
        <v>Assistant</v>
      </c>
      <c r="P203" t="str">
        <f>IFERROR(_xlfn.XLOOKUP(tbl_HR_Data[[#This Row],[Email]], Mapping[Email_Discarded], Mapping[Email_Correction]), LOWER(TRIM(tbl_HR_Data[[#This Row],[Email]])))</f>
        <v>user@domain.com</v>
      </c>
      <c r="Q20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03" t="str" cm="1">
        <f t="array" ref="R203">_xlfn.REDUCE(Q203, {"-","/","_","\","(",")"}, _xlfn.LAMBDA(_xlpm.txt,_xlpm.itm, SUBSTITUTE(_xlpm.txt, _xlpm.itm, "")))</f>
        <v>1234567890</v>
      </c>
      <c r="S203" s="3">
        <f>IFERROR(_xlfn.XLOOKUP(tbl_HR_Data[[#This Row],[Joining Date]], Mapping[Joining_Discarded], Mapping[Joining_Correction]), VALUE(tbl_HR_Data[[#This Row],[Joining Date]]))</f>
        <v>43477</v>
      </c>
      <c r="T203" t="str">
        <f>TEXT(tbl_HR_Data[[#This Row],[Joining Date]], "mmm")</f>
        <v>Jan</v>
      </c>
      <c r="U203" t="str">
        <f>TEXT(tbl_HR_Data[[#This Row],[Joining Date]], "ddd")</f>
        <v>Sat</v>
      </c>
    </row>
    <row r="204" spans="1:21" x14ac:dyDescent="0.35">
      <c r="A204" t="s">
        <v>99</v>
      </c>
      <c r="B204">
        <v>40</v>
      </c>
      <c r="C204">
        <v>60000</v>
      </c>
      <c r="D204" t="s">
        <v>18</v>
      </c>
      <c r="E204" t="s">
        <v>19</v>
      </c>
      <c r="F204" t="s">
        <v>39</v>
      </c>
      <c r="G204" s="3">
        <v>43477</v>
      </c>
      <c r="H204" t="str">
        <f>TEXT(tbl_HR_Data[[#This Row],[Joining Date]], "mmm")</f>
        <v>Jan</v>
      </c>
      <c r="I204" t="s">
        <v>93</v>
      </c>
      <c r="J204" t="s">
        <v>21</v>
      </c>
      <c r="K204" t="s">
        <v>77</v>
      </c>
      <c r="L204" t="s">
        <v>89</v>
      </c>
      <c r="M204">
        <f>IFERROR( _xlfn.XLOOKUP(TRIM(tbl_HR_Data[[#This Row],[Age]]),#REF!,#REF!), VALUE(TRIM(tbl_HR_Data[[#This Row],[Age]])))</f>
        <v>40</v>
      </c>
      <c r="N204" t="str">
        <f>IFERROR(_xlfn.XLOOKUP(tbl_HR_Data[[#This Row],[Gender]], Mapping[Gender _Discarded], Mapping[Gender_Correction]), PROPER(TRIM(tbl_HR_Data[[#This Row],[Gender]])))</f>
        <v>Female</v>
      </c>
      <c r="O204" t="str">
        <f>TRIM(tbl_HR_Data[[#This Row],[Position]])</f>
        <v>Clerk</v>
      </c>
      <c r="P204" t="str">
        <f>IFERROR(_xlfn.XLOOKUP(tbl_HR_Data[[#This Row],[Email]], Mapping[Email_Discarded], Mapping[Email_Correction]), LOWER(TRIM(tbl_HR_Data[[#This Row],[Email]])))</f>
        <v>not provided</v>
      </c>
      <c r="Q20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204" t="str" cm="1">
        <f t="array" ref="R204">_xlfn.REDUCE(Q204, {"-","/","_","\","(",")"}, _xlfn.LAMBDA(_xlpm.txt,_xlpm.itm, SUBSTITUTE(_xlpm.txt, _xlpm.itm, "")))</f>
        <v>5555555555</v>
      </c>
      <c r="S204" s="3">
        <f>IFERROR(_xlfn.XLOOKUP(tbl_HR_Data[[#This Row],[Joining Date]], Mapping[Joining_Discarded], Mapping[Joining_Correction]), VALUE(tbl_HR_Data[[#This Row],[Joining Date]]))</f>
        <v>43477</v>
      </c>
      <c r="T204" t="str">
        <f>TEXT(tbl_HR_Data[[#This Row],[Joining Date]], "mmm")</f>
        <v>Jan</v>
      </c>
      <c r="U204" t="str">
        <f>TEXT(tbl_HR_Data[[#This Row],[Joining Date]], "ddd")</f>
        <v>Sat</v>
      </c>
    </row>
    <row r="205" spans="1:21" x14ac:dyDescent="0.35">
      <c r="A205" t="s">
        <v>99</v>
      </c>
      <c r="B205">
        <v>40</v>
      </c>
      <c r="C205">
        <v>70000</v>
      </c>
      <c r="D205" t="s">
        <v>11</v>
      </c>
      <c r="E205" t="s">
        <v>12</v>
      </c>
      <c r="F205" t="s">
        <v>13</v>
      </c>
      <c r="G205" s="3">
        <v>43477</v>
      </c>
      <c r="H205" t="str">
        <f>TEXT(tbl_HR_Data[[#This Row],[Joining Date]], "mmm")</f>
        <v>Jan</v>
      </c>
      <c r="I205" t="s">
        <v>93</v>
      </c>
      <c r="J205" t="s">
        <v>41</v>
      </c>
      <c r="K205" t="s">
        <v>15</v>
      </c>
      <c r="L205" t="s">
        <v>89</v>
      </c>
      <c r="M205">
        <f>IFERROR( _xlfn.XLOOKUP(TRIM(tbl_HR_Data[[#This Row],[Age]]),#REF!,#REF!), VALUE(TRIM(tbl_HR_Data[[#This Row],[Age]])))</f>
        <v>40</v>
      </c>
      <c r="N205" t="str">
        <f>IFERROR(_xlfn.XLOOKUP(tbl_HR_Data[[#This Row],[Gender]], Mapping[Gender _Discarded], Mapping[Gender_Correction]), PROPER(TRIM(tbl_HR_Data[[#This Row],[Gender]])))</f>
        <v>Male</v>
      </c>
      <c r="O205" t="str">
        <f>TRIM(tbl_HR_Data[[#This Row],[Position]])</f>
        <v>Manager</v>
      </c>
      <c r="P205" t="str">
        <f>IFERROR(_xlfn.XLOOKUP(tbl_HR_Data[[#This Row],[Email]], Mapping[Email_Discarded], Mapping[Email_Correction]), LOWER(TRIM(tbl_HR_Data[[#This Row],[Email]])))</f>
        <v>email@example.com</v>
      </c>
      <c r="Q20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205" t="str" cm="1">
        <f t="array" ref="R205">_xlfn.REDUCE(Q205, {"-","/","_","\","(",")"}, _xlfn.LAMBDA(_xlpm.txt,_xlpm.itm, SUBSTITUTE(_xlpm.txt, _xlpm.itm, "")))</f>
        <v>5555555555</v>
      </c>
      <c r="S205" s="3">
        <f>IFERROR(_xlfn.XLOOKUP(tbl_HR_Data[[#This Row],[Joining Date]], Mapping[Joining_Discarded], Mapping[Joining_Correction]), VALUE(tbl_HR_Data[[#This Row],[Joining Date]]))</f>
        <v>43477</v>
      </c>
      <c r="T205" t="str">
        <f>TEXT(tbl_HR_Data[[#This Row],[Joining Date]], "mmm")</f>
        <v>Jan</v>
      </c>
      <c r="U205" t="str">
        <f>TEXT(tbl_HR_Data[[#This Row],[Joining Date]], "ddd")</f>
        <v>Sat</v>
      </c>
    </row>
    <row r="206" spans="1:21" x14ac:dyDescent="0.35">
      <c r="A206" t="s">
        <v>106</v>
      </c>
      <c r="B206">
        <v>25</v>
      </c>
      <c r="C206">
        <v>0</v>
      </c>
      <c r="D206" t="s">
        <v>11</v>
      </c>
      <c r="E206" t="s">
        <v>12</v>
      </c>
      <c r="F206" t="s">
        <v>39</v>
      </c>
      <c r="G206" s="3">
        <v>43477</v>
      </c>
      <c r="H206" t="str">
        <f>TEXT(tbl_HR_Data[[#This Row],[Joining Date]], "mmm")</f>
        <v>Jan</v>
      </c>
      <c r="I206" t="s">
        <v>93</v>
      </c>
      <c r="J206" t="s">
        <v>31</v>
      </c>
      <c r="K206" t="s">
        <v>77</v>
      </c>
      <c r="L206" t="s">
        <v>77</v>
      </c>
      <c r="M206">
        <f>IFERROR( _xlfn.XLOOKUP(TRIM(tbl_HR_Data[[#This Row],[Age]]),#REF!,#REF!), VALUE(TRIM(tbl_HR_Data[[#This Row],[Age]])))</f>
        <v>25</v>
      </c>
      <c r="N206" t="str">
        <f>IFERROR(_xlfn.XLOOKUP(tbl_HR_Data[[#This Row],[Gender]], Mapping[Gender _Discarded], Mapping[Gender_Correction]), PROPER(TRIM(tbl_HR_Data[[#This Row],[Gender]])))</f>
        <v>Male</v>
      </c>
      <c r="O206" t="str">
        <f>TRIM(tbl_HR_Data[[#This Row],[Position]])</f>
        <v>Clerk</v>
      </c>
      <c r="P206" t="str">
        <f>IFERROR(_xlfn.XLOOKUP(tbl_HR_Data[[#This Row],[Email]], Mapping[Email_Discarded], Mapping[Email_Correction]), LOWER(TRIM(tbl_HR_Data[[#This Row],[Email]])))</f>
        <v>not provided</v>
      </c>
      <c r="Q20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06" t="str" cm="1">
        <f t="array" ref="R206">_xlfn.REDUCE(Q206, {"-","/","_","\","(",")"}, _xlfn.LAMBDA(_xlpm.txt,_xlpm.itm, SUBSTITUTE(_xlpm.txt, _xlpm.itm, "")))</f>
        <v>Not Provided</v>
      </c>
      <c r="S206" s="3">
        <f>IFERROR(_xlfn.XLOOKUP(tbl_HR_Data[[#This Row],[Joining Date]], Mapping[Joining_Discarded], Mapping[Joining_Correction]), VALUE(tbl_HR_Data[[#This Row],[Joining Date]]))</f>
        <v>43477</v>
      </c>
      <c r="T206" t="str">
        <f>TEXT(tbl_HR_Data[[#This Row],[Joining Date]], "mmm")</f>
        <v>Jan</v>
      </c>
      <c r="U206" t="str">
        <f>TEXT(tbl_HR_Data[[#This Row],[Joining Date]], "ddd")</f>
        <v>Sat</v>
      </c>
    </row>
    <row r="207" spans="1:21" x14ac:dyDescent="0.35">
      <c r="A207" t="s">
        <v>105</v>
      </c>
      <c r="B207">
        <v>30</v>
      </c>
      <c r="C207">
        <v>60000</v>
      </c>
      <c r="D207" t="s">
        <v>36</v>
      </c>
      <c r="E207" t="s">
        <v>12</v>
      </c>
      <c r="F207" t="s">
        <v>39</v>
      </c>
      <c r="G207" s="3">
        <v>43477</v>
      </c>
      <c r="H207" t="str">
        <f>TEXT(tbl_HR_Data[[#This Row],[Joining Date]], "mmm")</f>
        <v>Jan</v>
      </c>
      <c r="I207" t="s">
        <v>93</v>
      </c>
      <c r="J207" t="s">
        <v>31</v>
      </c>
      <c r="K207" t="s">
        <v>15</v>
      </c>
      <c r="L207" t="s">
        <v>89</v>
      </c>
      <c r="M207">
        <f>IFERROR( _xlfn.XLOOKUP(TRIM(tbl_HR_Data[[#This Row],[Age]]),#REF!,#REF!), VALUE(TRIM(tbl_HR_Data[[#This Row],[Age]])))</f>
        <v>30</v>
      </c>
      <c r="N207" t="str">
        <f>IFERROR(_xlfn.XLOOKUP(tbl_HR_Data[[#This Row],[Gender]], Mapping[Gender _Discarded], Mapping[Gender_Correction]), PROPER(TRIM(tbl_HR_Data[[#This Row],[Gender]])))</f>
        <v>Other</v>
      </c>
      <c r="O207" t="str">
        <f>TRIM(tbl_HR_Data[[#This Row],[Position]])</f>
        <v>Clerk</v>
      </c>
      <c r="P207" t="str">
        <f>IFERROR(_xlfn.XLOOKUP(tbl_HR_Data[[#This Row],[Email]], Mapping[Email_Discarded], Mapping[Email_Correction]), LOWER(TRIM(tbl_HR_Data[[#This Row],[Email]])))</f>
        <v>email@example.com</v>
      </c>
      <c r="Q20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207" t="str" cm="1">
        <f t="array" ref="R207">_xlfn.REDUCE(Q207, {"-","/","_","\","(",")"}, _xlfn.LAMBDA(_xlpm.txt,_xlpm.itm, SUBSTITUTE(_xlpm.txt, _xlpm.itm, "")))</f>
        <v>5555555555</v>
      </c>
      <c r="S207" s="3">
        <f>IFERROR(_xlfn.XLOOKUP(tbl_HR_Data[[#This Row],[Joining Date]], Mapping[Joining_Discarded], Mapping[Joining_Correction]), VALUE(tbl_HR_Data[[#This Row],[Joining Date]]))</f>
        <v>43477</v>
      </c>
      <c r="T207" t="str">
        <f>TEXT(tbl_HR_Data[[#This Row],[Joining Date]], "mmm")</f>
        <v>Jan</v>
      </c>
      <c r="U207" t="str">
        <f>TEXT(tbl_HR_Data[[#This Row],[Joining Date]], "ddd")</f>
        <v>Sat</v>
      </c>
    </row>
    <row r="208" spans="1:21" x14ac:dyDescent="0.35">
      <c r="A208" t="s">
        <v>105</v>
      </c>
      <c r="B208">
        <v>50</v>
      </c>
      <c r="C208">
        <v>0</v>
      </c>
      <c r="D208" t="s">
        <v>36</v>
      </c>
      <c r="E208" t="s">
        <v>30</v>
      </c>
      <c r="F208" t="s">
        <v>13</v>
      </c>
      <c r="G208" s="3">
        <v>43477</v>
      </c>
      <c r="H208" t="str">
        <f>TEXT(tbl_HR_Data[[#This Row],[Joining Date]], "mmm")</f>
        <v>Jan</v>
      </c>
      <c r="I208" t="s">
        <v>93</v>
      </c>
      <c r="J208" t="s">
        <v>21</v>
      </c>
      <c r="K208" t="s">
        <v>22</v>
      </c>
      <c r="L208" t="s">
        <v>77</v>
      </c>
      <c r="M208">
        <f>IFERROR( _xlfn.XLOOKUP(TRIM(tbl_HR_Data[[#This Row],[Age]]),#REF!,#REF!), VALUE(TRIM(tbl_HR_Data[[#This Row],[Age]])))</f>
        <v>50</v>
      </c>
      <c r="N208" t="str">
        <f>IFERROR(_xlfn.XLOOKUP(tbl_HR_Data[[#This Row],[Gender]], Mapping[Gender _Discarded], Mapping[Gender_Correction]), PROPER(TRIM(tbl_HR_Data[[#This Row],[Gender]])))</f>
        <v>Other</v>
      </c>
      <c r="O208" t="str">
        <f>TRIM(tbl_HR_Data[[#This Row],[Position]])</f>
        <v>Manager</v>
      </c>
      <c r="P208" t="str">
        <f>IFERROR(_xlfn.XLOOKUP(tbl_HR_Data[[#This Row],[Email]], Mapping[Email_Discarded], Mapping[Email_Correction]), LOWER(TRIM(tbl_HR_Data[[#This Row],[Email]])))</f>
        <v>user@domain.com</v>
      </c>
      <c r="Q20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08" t="str" cm="1">
        <f t="array" ref="R208">_xlfn.REDUCE(Q208, {"-","/","_","\","(",")"}, _xlfn.LAMBDA(_xlpm.txt,_xlpm.itm, SUBSTITUTE(_xlpm.txt, _xlpm.itm, "")))</f>
        <v>Not Provided</v>
      </c>
      <c r="S208" s="3">
        <f>IFERROR(_xlfn.XLOOKUP(tbl_HR_Data[[#This Row],[Joining Date]], Mapping[Joining_Discarded], Mapping[Joining_Correction]), VALUE(tbl_HR_Data[[#This Row],[Joining Date]]))</f>
        <v>43477</v>
      </c>
      <c r="T208" t="str">
        <f>TEXT(tbl_HR_Data[[#This Row],[Joining Date]], "mmm")</f>
        <v>Jan</v>
      </c>
      <c r="U208" t="str">
        <f>TEXT(tbl_HR_Data[[#This Row],[Joining Date]], "ddd")</f>
        <v>Sat</v>
      </c>
    </row>
    <row r="209" spans="1:21" x14ac:dyDescent="0.35">
      <c r="A209" t="s">
        <v>105</v>
      </c>
      <c r="B209">
        <v>0</v>
      </c>
      <c r="C209">
        <v>65000</v>
      </c>
      <c r="D209" t="s">
        <v>18</v>
      </c>
      <c r="E209" t="s">
        <v>12</v>
      </c>
      <c r="F209" t="s">
        <v>44</v>
      </c>
      <c r="G209" s="3">
        <v>43477</v>
      </c>
      <c r="H209" t="str">
        <f>TEXT(tbl_HR_Data[[#This Row],[Joining Date]], "mmm")</f>
        <v>Jan</v>
      </c>
      <c r="I209" t="s">
        <v>93</v>
      </c>
      <c r="J209" t="s">
        <v>31</v>
      </c>
      <c r="K209" t="s">
        <v>77</v>
      </c>
      <c r="L209" t="s">
        <v>88</v>
      </c>
      <c r="M209">
        <f>IFERROR( _xlfn.XLOOKUP(TRIM(tbl_HR_Data[[#This Row],[Age]]),#REF!,#REF!), VALUE(TRIM(tbl_HR_Data[[#This Row],[Age]])))</f>
        <v>0</v>
      </c>
      <c r="N209" t="str">
        <f>IFERROR(_xlfn.XLOOKUP(tbl_HR_Data[[#This Row],[Gender]], Mapping[Gender _Discarded], Mapping[Gender_Correction]), PROPER(TRIM(tbl_HR_Data[[#This Row],[Gender]])))</f>
        <v>Female</v>
      </c>
      <c r="O209" t="str">
        <f>TRIM(tbl_HR_Data[[#This Row],[Position]])</f>
        <v>Analyst</v>
      </c>
      <c r="P209" t="str">
        <f>IFERROR(_xlfn.XLOOKUP(tbl_HR_Data[[#This Row],[Email]], Mapping[Email_Discarded], Mapping[Email_Correction]), LOWER(TRIM(tbl_HR_Data[[#This Row],[Email]])))</f>
        <v>not provided</v>
      </c>
      <c r="Q20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209" t="str" cm="1">
        <f t="array" ref="R209">_xlfn.REDUCE(Q209, {"-","/","_","\","(",")"}, _xlfn.LAMBDA(_xlpm.txt,_xlpm.itm, SUBSTITUTE(_xlpm.txt, _xlpm.itm, "")))</f>
        <v>0987654321</v>
      </c>
      <c r="S209" s="3">
        <f>IFERROR(_xlfn.XLOOKUP(tbl_HR_Data[[#This Row],[Joining Date]], Mapping[Joining_Discarded], Mapping[Joining_Correction]), VALUE(tbl_HR_Data[[#This Row],[Joining Date]]))</f>
        <v>43477</v>
      </c>
      <c r="T209" t="str">
        <f>TEXT(tbl_HR_Data[[#This Row],[Joining Date]], "mmm")</f>
        <v>Jan</v>
      </c>
      <c r="U209" t="str">
        <f>TEXT(tbl_HR_Data[[#This Row],[Joining Date]], "ddd")</f>
        <v>Sat</v>
      </c>
    </row>
    <row r="210" spans="1:21" x14ac:dyDescent="0.35">
      <c r="A210" t="s">
        <v>102</v>
      </c>
      <c r="B210">
        <v>25</v>
      </c>
      <c r="C210">
        <v>70000</v>
      </c>
      <c r="D210" t="s">
        <v>36</v>
      </c>
      <c r="E210" t="s">
        <v>30</v>
      </c>
      <c r="F210" t="s">
        <v>20</v>
      </c>
      <c r="G210" s="3">
        <v>43477</v>
      </c>
      <c r="H210" t="str">
        <f>TEXT(tbl_HR_Data[[#This Row],[Joining Date]], "mmm")</f>
        <v>Jan</v>
      </c>
      <c r="I210" t="s">
        <v>93</v>
      </c>
      <c r="J210" t="s">
        <v>14</v>
      </c>
      <c r="K210" t="s">
        <v>32</v>
      </c>
      <c r="L210" t="s">
        <v>89</v>
      </c>
      <c r="M210">
        <f>IFERROR( _xlfn.XLOOKUP(TRIM(tbl_HR_Data[[#This Row],[Age]]),#REF!,#REF!), VALUE(TRIM(tbl_HR_Data[[#This Row],[Age]])))</f>
        <v>25</v>
      </c>
      <c r="N210" t="str">
        <f>IFERROR(_xlfn.XLOOKUP(tbl_HR_Data[[#This Row],[Gender]], Mapping[Gender _Discarded], Mapping[Gender_Correction]), PROPER(TRIM(tbl_HR_Data[[#This Row],[Gender]])))</f>
        <v>Other</v>
      </c>
      <c r="O210" t="str">
        <f>TRIM(tbl_HR_Data[[#This Row],[Position]])</f>
        <v>Director</v>
      </c>
      <c r="P210" t="str">
        <f>IFERROR(_xlfn.XLOOKUP(tbl_HR_Data[[#This Row],[Email]], Mapping[Email_Discarded], Mapping[Email_Correction]), LOWER(TRIM(tbl_HR_Data[[#This Row],[Email]])))</f>
        <v>name@company.org</v>
      </c>
      <c r="Q21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210" t="str" cm="1">
        <f t="array" ref="R210">_xlfn.REDUCE(Q210, {"-","/","_","\","(",")"}, _xlfn.LAMBDA(_xlpm.txt,_xlpm.itm, SUBSTITUTE(_xlpm.txt, _xlpm.itm, "")))</f>
        <v>5555555555</v>
      </c>
      <c r="S210" s="3">
        <f>IFERROR(_xlfn.XLOOKUP(tbl_HR_Data[[#This Row],[Joining Date]], Mapping[Joining_Discarded], Mapping[Joining_Correction]), VALUE(tbl_HR_Data[[#This Row],[Joining Date]]))</f>
        <v>43477</v>
      </c>
      <c r="T210" t="str">
        <f>TEXT(tbl_HR_Data[[#This Row],[Joining Date]], "mmm")</f>
        <v>Jan</v>
      </c>
      <c r="U210" t="str">
        <f>TEXT(tbl_HR_Data[[#This Row],[Joining Date]], "ddd")</f>
        <v>Sat</v>
      </c>
    </row>
    <row r="211" spans="1:21" x14ac:dyDescent="0.35">
      <c r="A211" t="s">
        <v>99</v>
      </c>
      <c r="B211">
        <v>30</v>
      </c>
      <c r="C211">
        <v>60000</v>
      </c>
      <c r="D211" t="s">
        <v>36</v>
      </c>
      <c r="E211" t="s">
        <v>26</v>
      </c>
      <c r="F211" t="s">
        <v>44</v>
      </c>
      <c r="G211" s="3">
        <v>43477</v>
      </c>
      <c r="H211" t="str">
        <f>TEXT(tbl_HR_Data[[#This Row],[Joining Date]], "mmm")</f>
        <v>Jan</v>
      </c>
      <c r="I211" t="s">
        <v>93</v>
      </c>
      <c r="J211" t="s">
        <v>27</v>
      </c>
      <c r="K211" t="s">
        <v>77</v>
      </c>
      <c r="L211" t="s">
        <v>88</v>
      </c>
      <c r="M211">
        <f>IFERROR( _xlfn.XLOOKUP(TRIM(tbl_HR_Data[[#This Row],[Age]]),#REF!,#REF!), VALUE(TRIM(tbl_HR_Data[[#This Row],[Age]])))</f>
        <v>30</v>
      </c>
      <c r="N211" t="str">
        <f>IFERROR(_xlfn.XLOOKUP(tbl_HR_Data[[#This Row],[Gender]], Mapping[Gender _Discarded], Mapping[Gender_Correction]), PROPER(TRIM(tbl_HR_Data[[#This Row],[Gender]])))</f>
        <v>Other</v>
      </c>
      <c r="O211" t="str">
        <f>TRIM(tbl_HR_Data[[#This Row],[Position]])</f>
        <v>Analyst</v>
      </c>
      <c r="P211" t="str">
        <f>IFERROR(_xlfn.XLOOKUP(tbl_HR_Data[[#This Row],[Email]], Mapping[Email_Discarded], Mapping[Email_Correction]), LOWER(TRIM(tbl_HR_Data[[#This Row],[Email]])))</f>
        <v>not provided</v>
      </c>
      <c r="Q21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211" t="str" cm="1">
        <f t="array" ref="R211">_xlfn.REDUCE(Q211, {"-","/","_","\","(",")"}, _xlfn.LAMBDA(_xlpm.txt,_xlpm.itm, SUBSTITUTE(_xlpm.txt, _xlpm.itm, "")))</f>
        <v>0987654321</v>
      </c>
      <c r="S211" s="3">
        <f>IFERROR(_xlfn.XLOOKUP(tbl_HR_Data[[#This Row],[Joining Date]], Mapping[Joining_Discarded], Mapping[Joining_Correction]), VALUE(tbl_HR_Data[[#This Row],[Joining Date]]))</f>
        <v>43477</v>
      </c>
      <c r="T211" t="str">
        <f>TEXT(tbl_HR_Data[[#This Row],[Joining Date]], "mmm")</f>
        <v>Jan</v>
      </c>
      <c r="U211" t="str">
        <f>TEXT(tbl_HR_Data[[#This Row],[Joining Date]], "ddd")</f>
        <v>Sat</v>
      </c>
    </row>
    <row r="212" spans="1:21" x14ac:dyDescent="0.35">
      <c r="A212" t="s">
        <v>99</v>
      </c>
      <c r="B212">
        <v>30</v>
      </c>
      <c r="C212">
        <v>70000</v>
      </c>
      <c r="D212" t="s">
        <v>36</v>
      </c>
      <c r="E212" t="s">
        <v>37</v>
      </c>
      <c r="F212" t="s">
        <v>20</v>
      </c>
      <c r="G212" s="3">
        <v>43477</v>
      </c>
      <c r="H212" t="str">
        <f>TEXT(tbl_HR_Data[[#This Row],[Joining Date]], "mmm")</f>
        <v>Jan</v>
      </c>
      <c r="I212" t="s">
        <v>93</v>
      </c>
      <c r="J212" t="s">
        <v>14</v>
      </c>
      <c r="K212" t="s">
        <v>77</v>
      </c>
      <c r="L212" t="s">
        <v>77</v>
      </c>
      <c r="M212">
        <f>IFERROR( _xlfn.XLOOKUP(TRIM(tbl_HR_Data[[#This Row],[Age]]),#REF!,#REF!), VALUE(TRIM(tbl_HR_Data[[#This Row],[Age]])))</f>
        <v>30</v>
      </c>
      <c r="N212" t="str">
        <f>IFERROR(_xlfn.XLOOKUP(tbl_HR_Data[[#This Row],[Gender]], Mapping[Gender _Discarded], Mapping[Gender_Correction]), PROPER(TRIM(tbl_HR_Data[[#This Row],[Gender]])))</f>
        <v>Other</v>
      </c>
      <c r="O212" t="str">
        <f>TRIM(tbl_HR_Data[[#This Row],[Position]])</f>
        <v>Director</v>
      </c>
      <c r="P212" t="str">
        <f>IFERROR(_xlfn.XLOOKUP(tbl_HR_Data[[#This Row],[Email]], Mapping[Email_Discarded], Mapping[Email_Correction]), LOWER(TRIM(tbl_HR_Data[[#This Row],[Email]])))</f>
        <v>not provided</v>
      </c>
      <c r="Q21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12" t="str" cm="1">
        <f t="array" ref="R212">_xlfn.REDUCE(Q212, {"-","/","_","\","(",")"}, _xlfn.LAMBDA(_xlpm.txt,_xlpm.itm, SUBSTITUTE(_xlpm.txt, _xlpm.itm, "")))</f>
        <v>Not Provided</v>
      </c>
      <c r="S212" s="3">
        <f>IFERROR(_xlfn.XLOOKUP(tbl_HR_Data[[#This Row],[Joining Date]], Mapping[Joining_Discarded], Mapping[Joining_Correction]), VALUE(tbl_HR_Data[[#This Row],[Joining Date]]))</f>
        <v>43477</v>
      </c>
      <c r="T212" t="str">
        <f>TEXT(tbl_HR_Data[[#This Row],[Joining Date]], "mmm")</f>
        <v>Jan</v>
      </c>
      <c r="U212" t="str">
        <f>TEXT(tbl_HR_Data[[#This Row],[Joining Date]], "ddd")</f>
        <v>Sat</v>
      </c>
    </row>
    <row r="213" spans="1:21" x14ac:dyDescent="0.35">
      <c r="A213" t="s">
        <v>107</v>
      </c>
      <c r="B213">
        <v>35</v>
      </c>
      <c r="C213">
        <v>50000</v>
      </c>
      <c r="D213" t="s">
        <v>36</v>
      </c>
      <c r="E213" t="s">
        <v>30</v>
      </c>
      <c r="F213" t="s">
        <v>39</v>
      </c>
      <c r="G213" s="3">
        <v>43477</v>
      </c>
      <c r="H213" t="str">
        <f>TEXT(tbl_HR_Data[[#This Row],[Joining Date]], "mmm")</f>
        <v>Jan</v>
      </c>
      <c r="I213" t="s">
        <v>93</v>
      </c>
      <c r="J213" t="s">
        <v>31</v>
      </c>
      <c r="K213" t="s">
        <v>15</v>
      </c>
      <c r="L213" t="s">
        <v>87</v>
      </c>
      <c r="M213">
        <f>IFERROR( _xlfn.XLOOKUP(TRIM(tbl_HR_Data[[#This Row],[Age]]),#REF!,#REF!), VALUE(TRIM(tbl_HR_Data[[#This Row],[Age]])))</f>
        <v>35</v>
      </c>
      <c r="N213" t="str">
        <f>IFERROR(_xlfn.XLOOKUP(tbl_HR_Data[[#This Row],[Gender]], Mapping[Gender _Discarded], Mapping[Gender_Correction]), PROPER(TRIM(tbl_HR_Data[[#This Row],[Gender]])))</f>
        <v>Other</v>
      </c>
      <c r="O213" t="str">
        <f>TRIM(tbl_HR_Data[[#This Row],[Position]])</f>
        <v>Clerk</v>
      </c>
      <c r="P213" t="str">
        <f>IFERROR(_xlfn.XLOOKUP(tbl_HR_Data[[#This Row],[Email]], Mapping[Email_Discarded], Mapping[Email_Correction]), LOWER(TRIM(tbl_HR_Data[[#This Row],[Email]])))</f>
        <v>email@example.com</v>
      </c>
      <c r="Q21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13" t="str" cm="1">
        <f t="array" ref="R213">_xlfn.REDUCE(Q213, {"-","/","_","\","(",")"}, _xlfn.LAMBDA(_xlpm.txt,_xlpm.itm, SUBSTITUTE(_xlpm.txt, _xlpm.itm, "")))</f>
        <v>1234567890</v>
      </c>
      <c r="S213" s="3">
        <f>IFERROR(_xlfn.XLOOKUP(tbl_HR_Data[[#This Row],[Joining Date]], Mapping[Joining_Discarded], Mapping[Joining_Correction]), VALUE(tbl_HR_Data[[#This Row],[Joining Date]]))</f>
        <v>43477</v>
      </c>
      <c r="T213" t="str">
        <f>TEXT(tbl_HR_Data[[#This Row],[Joining Date]], "mmm")</f>
        <v>Jan</v>
      </c>
      <c r="U213" t="str">
        <f>TEXT(tbl_HR_Data[[#This Row],[Joining Date]], "ddd")</f>
        <v>Sat</v>
      </c>
    </row>
    <row r="214" spans="1:21" x14ac:dyDescent="0.35">
      <c r="A214" t="s">
        <v>99</v>
      </c>
      <c r="B214">
        <v>40</v>
      </c>
      <c r="C214">
        <v>0</v>
      </c>
      <c r="D214" t="s">
        <v>11</v>
      </c>
      <c r="E214" t="s">
        <v>26</v>
      </c>
      <c r="F214" t="s">
        <v>43</v>
      </c>
      <c r="G214" s="3">
        <v>43477</v>
      </c>
      <c r="H214" t="str">
        <f>TEXT(tbl_HR_Data[[#This Row],[Joining Date]], "mmm")</f>
        <v>Jan</v>
      </c>
      <c r="I214" t="s">
        <v>93</v>
      </c>
      <c r="J214" t="s">
        <v>31</v>
      </c>
      <c r="K214" t="s">
        <v>32</v>
      </c>
      <c r="L214" t="s">
        <v>89</v>
      </c>
      <c r="M214">
        <f>IFERROR( _xlfn.XLOOKUP(TRIM(tbl_HR_Data[[#This Row],[Age]]),#REF!,#REF!), VALUE(TRIM(tbl_HR_Data[[#This Row],[Age]])))</f>
        <v>40</v>
      </c>
      <c r="N214" t="str">
        <f>IFERROR(_xlfn.XLOOKUP(tbl_HR_Data[[#This Row],[Gender]], Mapping[Gender _Discarded], Mapping[Gender_Correction]), PROPER(TRIM(tbl_HR_Data[[#This Row],[Gender]])))</f>
        <v>Male</v>
      </c>
      <c r="O214" t="str">
        <f>TRIM(tbl_HR_Data[[#This Row],[Position]])</f>
        <v>Assistant</v>
      </c>
      <c r="P214" t="str">
        <f>IFERROR(_xlfn.XLOOKUP(tbl_HR_Data[[#This Row],[Email]], Mapping[Email_Discarded], Mapping[Email_Correction]), LOWER(TRIM(tbl_HR_Data[[#This Row],[Email]])))</f>
        <v>name@company.org</v>
      </c>
      <c r="Q21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214" t="str" cm="1">
        <f t="array" ref="R214">_xlfn.REDUCE(Q214, {"-","/","_","\","(",")"}, _xlfn.LAMBDA(_xlpm.txt,_xlpm.itm, SUBSTITUTE(_xlpm.txt, _xlpm.itm, "")))</f>
        <v>5555555555</v>
      </c>
      <c r="S214" s="3">
        <f>IFERROR(_xlfn.XLOOKUP(tbl_HR_Data[[#This Row],[Joining Date]], Mapping[Joining_Discarded], Mapping[Joining_Correction]), VALUE(tbl_HR_Data[[#This Row],[Joining Date]]))</f>
        <v>43477</v>
      </c>
      <c r="T214" t="str">
        <f>TEXT(tbl_HR_Data[[#This Row],[Joining Date]], "mmm")</f>
        <v>Jan</v>
      </c>
      <c r="U214" t="str">
        <f>TEXT(tbl_HR_Data[[#This Row],[Joining Date]], "ddd")</f>
        <v>Sat</v>
      </c>
    </row>
    <row r="215" spans="1:21" x14ac:dyDescent="0.35">
      <c r="A215" t="s">
        <v>103</v>
      </c>
      <c r="B215">
        <v>35</v>
      </c>
      <c r="C215">
        <v>70000</v>
      </c>
      <c r="D215" t="s">
        <v>18</v>
      </c>
      <c r="E215" t="s">
        <v>37</v>
      </c>
      <c r="F215" t="s">
        <v>43</v>
      </c>
      <c r="G215" s="3">
        <v>43477</v>
      </c>
      <c r="H215" t="str">
        <f>TEXT(tbl_HR_Data[[#This Row],[Joining Date]], "mmm")</f>
        <v>Jan</v>
      </c>
      <c r="I215" t="s">
        <v>93</v>
      </c>
      <c r="J215" t="s">
        <v>14</v>
      </c>
      <c r="K215" t="s">
        <v>15</v>
      </c>
      <c r="L215" t="s">
        <v>87</v>
      </c>
      <c r="M215">
        <f>IFERROR( _xlfn.XLOOKUP(TRIM(tbl_HR_Data[[#This Row],[Age]]),#REF!,#REF!), VALUE(TRIM(tbl_HR_Data[[#This Row],[Age]])))</f>
        <v>35</v>
      </c>
      <c r="N215" t="str">
        <f>IFERROR(_xlfn.XLOOKUP(tbl_HR_Data[[#This Row],[Gender]], Mapping[Gender _Discarded], Mapping[Gender_Correction]), PROPER(TRIM(tbl_HR_Data[[#This Row],[Gender]])))</f>
        <v>Female</v>
      </c>
      <c r="O215" t="str">
        <f>TRIM(tbl_HR_Data[[#This Row],[Position]])</f>
        <v>Assistant</v>
      </c>
      <c r="P215" t="str">
        <f>IFERROR(_xlfn.XLOOKUP(tbl_HR_Data[[#This Row],[Email]], Mapping[Email_Discarded], Mapping[Email_Correction]), LOWER(TRIM(tbl_HR_Data[[#This Row],[Email]])))</f>
        <v>email@example.com</v>
      </c>
      <c r="Q21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15" t="str" cm="1">
        <f t="array" ref="R215">_xlfn.REDUCE(Q215, {"-","/","_","\","(",")"}, _xlfn.LAMBDA(_xlpm.txt,_xlpm.itm, SUBSTITUTE(_xlpm.txt, _xlpm.itm, "")))</f>
        <v>1234567890</v>
      </c>
      <c r="S215" s="3">
        <f>IFERROR(_xlfn.XLOOKUP(tbl_HR_Data[[#This Row],[Joining Date]], Mapping[Joining_Discarded], Mapping[Joining_Correction]), VALUE(tbl_HR_Data[[#This Row],[Joining Date]]))</f>
        <v>43477</v>
      </c>
      <c r="T215" t="str">
        <f>TEXT(tbl_HR_Data[[#This Row],[Joining Date]], "mmm")</f>
        <v>Jan</v>
      </c>
      <c r="U215" t="str">
        <f>TEXT(tbl_HR_Data[[#This Row],[Joining Date]], "ddd")</f>
        <v>Sat</v>
      </c>
    </row>
    <row r="216" spans="1:21" x14ac:dyDescent="0.35">
      <c r="A216" t="s">
        <v>104</v>
      </c>
      <c r="B216">
        <v>50</v>
      </c>
      <c r="C216">
        <v>65000</v>
      </c>
      <c r="D216" t="s">
        <v>36</v>
      </c>
      <c r="E216" t="s">
        <v>37</v>
      </c>
      <c r="F216" t="s">
        <v>13</v>
      </c>
      <c r="G216" s="3">
        <v>43477</v>
      </c>
      <c r="H216" t="str">
        <f>TEXT(tbl_HR_Data[[#This Row],[Joining Date]], "mmm")</f>
        <v>Jan</v>
      </c>
      <c r="I216" t="s">
        <v>93</v>
      </c>
      <c r="J216" t="s">
        <v>41</v>
      </c>
      <c r="K216" t="s">
        <v>15</v>
      </c>
      <c r="L216" t="s">
        <v>88</v>
      </c>
      <c r="M216">
        <f>IFERROR( _xlfn.XLOOKUP(TRIM(tbl_HR_Data[[#This Row],[Age]]),#REF!,#REF!), VALUE(TRIM(tbl_HR_Data[[#This Row],[Age]])))</f>
        <v>50</v>
      </c>
      <c r="N216" t="str">
        <f>IFERROR(_xlfn.XLOOKUP(tbl_HR_Data[[#This Row],[Gender]], Mapping[Gender _Discarded], Mapping[Gender_Correction]), PROPER(TRIM(tbl_HR_Data[[#This Row],[Gender]])))</f>
        <v>Other</v>
      </c>
      <c r="O216" t="str">
        <f>TRIM(tbl_HR_Data[[#This Row],[Position]])</f>
        <v>Manager</v>
      </c>
      <c r="P216" t="str">
        <f>IFERROR(_xlfn.XLOOKUP(tbl_HR_Data[[#This Row],[Email]], Mapping[Email_Discarded], Mapping[Email_Correction]), LOWER(TRIM(tbl_HR_Data[[#This Row],[Email]])))</f>
        <v>email@example.com</v>
      </c>
      <c r="Q21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216" t="str" cm="1">
        <f t="array" ref="R216">_xlfn.REDUCE(Q216, {"-","/","_","\","(",")"}, _xlfn.LAMBDA(_xlpm.txt,_xlpm.itm, SUBSTITUTE(_xlpm.txt, _xlpm.itm, "")))</f>
        <v>0987654321</v>
      </c>
      <c r="S216" s="3">
        <f>IFERROR(_xlfn.XLOOKUP(tbl_HR_Data[[#This Row],[Joining Date]], Mapping[Joining_Discarded], Mapping[Joining_Correction]), VALUE(tbl_HR_Data[[#This Row],[Joining Date]]))</f>
        <v>43477</v>
      </c>
      <c r="T216" t="str">
        <f>TEXT(tbl_HR_Data[[#This Row],[Joining Date]], "mmm")</f>
        <v>Jan</v>
      </c>
      <c r="U216" t="str">
        <f>TEXT(tbl_HR_Data[[#This Row],[Joining Date]], "ddd")</f>
        <v>Sat</v>
      </c>
    </row>
    <row r="217" spans="1:21" x14ac:dyDescent="0.35">
      <c r="A217" t="s">
        <v>99</v>
      </c>
      <c r="B217">
        <v>35</v>
      </c>
      <c r="C217">
        <v>0</v>
      </c>
      <c r="D217" t="s">
        <v>18</v>
      </c>
      <c r="E217" t="s">
        <v>12</v>
      </c>
      <c r="F217" t="s">
        <v>39</v>
      </c>
      <c r="G217" s="3">
        <v>43477</v>
      </c>
      <c r="H217" t="str">
        <f>TEXT(tbl_HR_Data[[#This Row],[Joining Date]], "mmm")</f>
        <v>Jan</v>
      </c>
      <c r="I217" t="s">
        <v>93</v>
      </c>
      <c r="J217" t="s">
        <v>31</v>
      </c>
      <c r="K217" t="s">
        <v>77</v>
      </c>
      <c r="L217" t="s">
        <v>88</v>
      </c>
      <c r="M217">
        <f>IFERROR( _xlfn.XLOOKUP(TRIM(tbl_HR_Data[[#This Row],[Age]]),#REF!,#REF!), VALUE(TRIM(tbl_HR_Data[[#This Row],[Age]])))</f>
        <v>35</v>
      </c>
      <c r="N217" t="str">
        <f>IFERROR(_xlfn.XLOOKUP(tbl_HR_Data[[#This Row],[Gender]], Mapping[Gender _Discarded], Mapping[Gender_Correction]), PROPER(TRIM(tbl_HR_Data[[#This Row],[Gender]])))</f>
        <v>Female</v>
      </c>
      <c r="O217" t="str">
        <f>TRIM(tbl_HR_Data[[#This Row],[Position]])</f>
        <v>Clerk</v>
      </c>
      <c r="P217" t="str">
        <f>IFERROR(_xlfn.XLOOKUP(tbl_HR_Data[[#This Row],[Email]], Mapping[Email_Discarded], Mapping[Email_Correction]), LOWER(TRIM(tbl_HR_Data[[#This Row],[Email]])))</f>
        <v>not provided</v>
      </c>
      <c r="Q21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217" t="str" cm="1">
        <f t="array" ref="R217">_xlfn.REDUCE(Q217, {"-","/","_","\","(",")"}, _xlfn.LAMBDA(_xlpm.txt,_xlpm.itm, SUBSTITUTE(_xlpm.txt, _xlpm.itm, "")))</f>
        <v>0987654321</v>
      </c>
      <c r="S217" s="3">
        <f>IFERROR(_xlfn.XLOOKUP(tbl_HR_Data[[#This Row],[Joining Date]], Mapping[Joining_Discarded], Mapping[Joining_Correction]), VALUE(tbl_HR_Data[[#This Row],[Joining Date]]))</f>
        <v>43477</v>
      </c>
      <c r="T217" t="str">
        <f>TEXT(tbl_HR_Data[[#This Row],[Joining Date]], "mmm")</f>
        <v>Jan</v>
      </c>
      <c r="U217" t="str">
        <f>TEXT(tbl_HR_Data[[#This Row],[Joining Date]], "ddd")</f>
        <v>Sat</v>
      </c>
    </row>
    <row r="218" spans="1:21" x14ac:dyDescent="0.35">
      <c r="A218" t="s">
        <v>107</v>
      </c>
      <c r="B218">
        <v>40</v>
      </c>
      <c r="C218">
        <v>55000</v>
      </c>
      <c r="D218" t="s">
        <v>18</v>
      </c>
      <c r="E218" t="s">
        <v>26</v>
      </c>
      <c r="F218" t="s">
        <v>44</v>
      </c>
      <c r="G218" s="3">
        <v>43477</v>
      </c>
      <c r="H218" t="str">
        <f>TEXT(tbl_HR_Data[[#This Row],[Joining Date]], "mmm")</f>
        <v>Jan</v>
      </c>
      <c r="I218" t="s">
        <v>93</v>
      </c>
      <c r="J218" t="s">
        <v>21</v>
      </c>
      <c r="K218" t="s">
        <v>15</v>
      </c>
      <c r="L218" t="s">
        <v>89</v>
      </c>
      <c r="M218">
        <f>IFERROR( _xlfn.XLOOKUP(TRIM(tbl_HR_Data[[#This Row],[Age]]),#REF!,#REF!), VALUE(TRIM(tbl_HR_Data[[#This Row],[Age]])))</f>
        <v>40</v>
      </c>
      <c r="N218" t="str">
        <f>IFERROR(_xlfn.XLOOKUP(tbl_HR_Data[[#This Row],[Gender]], Mapping[Gender _Discarded], Mapping[Gender_Correction]), PROPER(TRIM(tbl_HR_Data[[#This Row],[Gender]])))</f>
        <v>Female</v>
      </c>
      <c r="O218" t="str">
        <f>TRIM(tbl_HR_Data[[#This Row],[Position]])</f>
        <v>Analyst</v>
      </c>
      <c r="P218" t="str">
        <f>IFERROR(_xlfn.XLOOKUP(tbl_HR_Data[[#This Row],[Email]], Mapping[Email_Discarded], Mapping[Email_Correction]), LOWER(TRIM(tbl_HR_Data[[#This Row],[Email]])))</f>
        <v>email@example.com</v>
      </c>
      <c r="Q21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218" t="str" cm="1">
        <f t="array" ref="R218">_xlfn.REDUCE(Q218, {"-","/","_","\","(",")"}, _xlfn.LAMBDA(_xlpm.txt,_xlpm.itm, SUBSTITUTE(_xlpm.txt, _xlpm.itm, "")))</f>
        <v>5555555555</v>
      </c>
      <c r="S218" s="3">
        <f>IFERROR(_xlfn.XLOOKUP(tbl_HR_Data[[#This Row],[Joining Date]], Mapping[Joining_Discarded], Mapping[Joining_Correction]), VALUE(tbl_HR_Data[[#This Row],[Joining Date]]))</f>
        <v>43477</v>
      </c>
      <c r="T218" t="str">
        <f>TEXT(tbl_HR_Data[[#This Row],[Joining Date]], "mmm")</f>
        <v>Jan</v>
      </c>
      <c r="U218" t="str">
        <f>TEXT(tbl_HR_Data[[#This Row],[Joining Date]], "ddd")</f>
        <v>Sat</v>
      </c>
    </row>
    <row r="219" spans="1:21" x14ac:dyDescent="0.35">
      <c r="A219" t="s">
        <v>100</v>
      </c>
      <c r="B219">
        <v>40</v>
      </c>
      <c r="C219">
        <v>65000</v>
      </c>
      <c r="D219" t="s">
        <v>36</v>
      </c>
      <c r="E219" t="s">
        <v>26</v>
      </c>
      <c r="F219" t="s">
        <v>43</v>
      </c>
      <c r="G219" s="3">
        <v>43477</v>
      </c>
      <c r="H219" t="str">
        <f>TEXT(tbl_HR_Data[[#This Row],[Joining Date]], "mmm")</f>
        <v>Jan</v>
      </c>
      <c r="I219" t="s">
        <v>93</v>
      </c>
      <c r="J219" t="s">
        <v>31</v>
      </c>
      <c r="K219" t="s">
        <v>77</v>
      </c>
      <c r="L219" t="s">
        <v>87</v>
      </c>
      <c r="M219">
        <f>IFERROR( _xlfn.XLOOKUP(TRIM(tbl_HR_Data[[#This Row],[Age]]),#REF!,#REF!), VALUE(TRIM(tbl_HR_Data[[#This Row],[Age]])))</f>
        <v>40</v>
      </c>
      <c r="N219" t="str">
        <f>IFERROR(_xlfn.XLOOKUP(tbl_HR_Data[[#This Row],[Gender]], Mapping[Gender _Discarded], Mapping[Gender_Correction]), PROPER(TRIM(tbl_HR_Data[[#This Row],[Gender]])))</f>
        <v>Other</v>
      </c>
      <c r="O219" t="str">
        <f>TRIM(tbl_HR_Data[[#This Row],[Position]])</f>
        <v>Assistant</v>
      </c>
      <c r="P219" t="str">
        <f>IFERROR(_xlfn.XLOOKUP(tbl_HR_Data[[#This Row],[Email]], Mapping[Email_Discarded], Mapping[Email_Correction]), LOWER(TRIM(tbl_HR_Data[[#This Row],[Email]])))</f>
        <v>not provided</v>
      </c>
      <c r="Q21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19" t="str" cm="1">
        <f t="array" ref="R219">_xlfn.REDUCE(Q219, {"-","/","_","\","(",")"}, _xlfn.LAMBDA(_xlpm.txt,_xlpm.itm, SUBSTITUTE(_xlpm.txt, _xlpm.itm, "")))</f>
        <v>1234567890</v>
      </c>
      <c r="S219" s="3">
        <f>IFERROR(_xlfn.XLOOKUP(tbl_HR_Data[[#This Row],[Joining Date]], Mapping[Joining_Discarded], Mapping[Joining_Correction]), VALUE(tbl_HR_Data[[#This Row],[Joining Date]]))</f>
        <v>43477</v>
      </c>
      <c r="T219" t="str">
        <f>TEXT(tbl_HR_Data[[#This Row],[Joining Date]], "mmm")</f>
        <v>Jan</v>
      </c>
      <c r="U219" t="str">
        <f>TEXT(tbl_HR_Data[[#This Row],[Joining Date]], "ddd")</f>
        <v>Sat</v>
      </c>
    </row>
    <row r="220" spans="1:21" x14ac:dyDescent="0.35">
      <c r="A220" t="s">
        <v>105</v>
      </c>
      <c r="B220">
        <v>0</v>
      </c>
      <c r="C220">
        <v>60000</v>
      </c>
      <c r="D220" t="s">
        <v>36</v>
      </c>
      <c r="E220" t="s">
        <v>12</v>
      </c>
      <c r="F220" t="s">
        <v>20</v>
      </c>
      <c r="G220" s="3">
        <v>43477</v>
      </c>
      <c r="H220" t="str">
        <f>TEXT(tbl_HR_Data[[#This Row],[Joining Date]], "mmm")</f>
        <v>Jan</v>
      </c>
      <c r="I220" t="s">
        <v>93</v>
      </c>
      <c r="J220" t="s">
        <v>21</v>
      </c>
      <c r="K220" t="s">
        <v>22</v>
      </c>
      <c r="L220" t="s">
        <v>77</v>
      </c>
      <c r="M220">
        <f>IFERROR( _xlfn.XLOOKUP(TRIM(tbl_HR_Data[[#This Row],[Age]]),#REF!,#REF!), VALUE(TRIM(tbl_HR_Data[[#This Row],[Age]])))</f>
        <v>0</v>
      </c>
      <c r="N220" t="str">
        <f>IFERROR(_xlfn.XLOOKUP(tbl_HR_Data[[#This Row],[Gender]], Mapping[Gender _Discarded], Mapping[Gender_Correction]), PROPER(TRIM(tbl_HR_Data[[#This Row],[Gender]])))</f>
        <v>Other</v>
      </c>
      <c r="O220" t="str">
        <f>TRIM(tbl_HR_Data[[#This Row],[Position]])</f>
        <v>Director</v>
      </c>
      <c r="P220" t="str">
        <f>IFERROR(_xlfn.XLOOKUP(tbl_HR_Data[[#This Row],[Email]], Mapping[Email_Discarded], Mapping[Email_Correction]), LOWER(TRIM(tbl_HR_Data[[#This Row],[Email]])))</f>
        <v>user@domain.com</v>
      </c>
      <c r="Q22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20" t="str" cm="1">
        <f t="array" ref="R220">_xlfn.REDUCE(Q220, {"-","/","_","\","(",")"}, _xlfn.LAMBDA(_xlpm.txt,_xlpm.itm, SUBSTITUTE(_xlpm.txt, _xlpm.itm, "")))</f>
        <v>Not Provided</v>
      </c>
      <c r="S220" s="3">
        <f>IFERROR(_xlfn.XLOOKUP(tbl_HR_Data[[#This Row],[Joining Date]], Mapping[Joining_Discarded], Mapping[Joining_Correction]), VALUE(tbl_HR_Data[[#This Row],[Joining Date]]))</f>
        <v>43477</v>
      </c>
      <c r="T220" t="str">
        <f>TEXT(tbl_HR_Data[[#This Row],[Joining Date]], "mmm")</f>
        <v>Jan</v>
      </c>
      <c r="U220" t="str">
        <f>TEXT(tbl_HR_Data[[#This Row],[Joining Date]], "ddd")</f>
        <v>Sat</v>
      </c>
    </row>
    <row r="221" spans="1:21" x14ac:dyDescent="0.35">
      <c r="A221" t="s">
        <v>102</v>
      </c>
      <c r="B221">
        <v>40</v>
      </c>
      <c r="C221">
        <v>65000</v>
      </c>
      <c r="D221" t="s">
        <v>18</v>
      </c>
      <c r="E221" t="s">
        <v>37</v>
      </c>
      <c r="F221" t="s">
        <v>13</v>
      </c>
      <c r="G221" s="3">
        <v>43477</v>
      </c>
      <c r="H221" t="str">
        <f>TEXT(tbl_HR_Data[[#This Row],[Joining Date]], "mmm")</f>
        <v>Jan</v>
      </c>
      <c r="I221" t="s">
        <v>93</v>
      </c>
      <c r="J221" t="s">
        <v>41</v>
      </c>
      <c r="K221" t="s">
        <v>32</v>
      </c>
      <c r="L221" t="s">
        <v>89</v>
      </c>
      <c r="M221">
        <f>IFERROR( _xlfn.XLOOKUP(TRIM(tbl_HR_Data[[#This Row],[Age]]),#REF!,#REF!), VALUE(TRIM(tbl_HR_Data[[#This Row],[Age]])))</f>
        <v>40</v>
      </c>
      <c r="N221" t="str">
        <f>IFERROR(_xlfn.XLOOKUP(tbl_HR_Data[[#This Row],[Gender]], Mapping[Gender _Discarded], Mapping[Gender_Correction]), PROPER(TRIM(tbl_HR_Data[[#This Row],[Gender]])))</f>
        <v>Female</v>
      </c>
      <c r="O221" t="str">
        <f>TRIM(tbl_HR_Data[[#This Row],[Position]])</f>
        <v>Manager</v>
      </c>
      <c r="P221" t="str">
        <f>IFERROR(_xlfn.XLOOKUP(tbl_HR_Data[[#This Row],[Email]], Mapping[Email_Discarded], Mapping[Email_Correction]), LOWER(TRIM(tbl_HR_Data[[#This Row],[Email]])))</f>
        <v>name@company.org</v>
      </c>
      <c r="Q22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221" t="str" cm="1">
        <f t="array" ref="R221">_xlfn.REDUCE(Q221, {"-","/","_","\","(",")"}, _xlfn.LAMBDA(_xlpm.txt,_xlpm.itm, SUBSTITUTE(_xlpm.txt, _xlpm.itm, "")))</f>
        <v>5555555555</v>
      </c>
      <c r="S221" s="3">
        <f>IFERROR(_xlfn.XLOOKUP(tbl_HR_Data[[#This Row],[Joining Date]], Mapping[Joining_Discarded], Mapping[Joining_Correction]), VALUE(tbl_HR_Data[[#This Row],[Joining Date]]))</f>
        <v>43477</v>
      </c>
      <c r="T221" t="str">
        <f>TEXT(tbl_HR_Data[[#This Row],[Joining Date]], "mmm")</f>
        <v>Jan</v>
      </c>
      <c r="U221" t="str">
        <f>TEXT(tbl_HR_Data[[#This Row],[Joining Date]], "ddd")</f>
        <v>Sat</v>
      </c>
    </row>
    <row r="222" spans="1:21" x14ac:dyDescent="0.35">
      <c r="A222" t="s">
        <v>100</v>
      </c>
      <c r="B222">
        <v>40</v>
      </c>
      <c r="C222">
        <v>65000</v>
      </c>
      <c r="D222" t="s">
        <v>18</v>
      </c>
      <c r="E222" t="s">
        <v>26</v>
      </c>
      <c r="F222" t="s">
        <v>44</v>
      </c>
      <c r="G222" s="3">
        <v>43477</v>
      </c>
      <c r="H222" t="str">
        <f>TEXT(tbl_HR_Data[[#This Row],[Joining Date]], "mmm")</f>
        <v>Jan</v>
      </c>
      <c r="I222" t="s">
        <v>93</v>
      </c>
      <c r="J222" t="s">
        <v>27</v>
      </c>
      <c r="K222" t="s">
        <v>77</v>
      </c>
      <c r="L222" t="s">
        <v>77</v>
      </c>
      <c r="M222">
        <f>IFERROR( _xlfn.XLOOKUP(TRIM(tbl_HR_Data[[#This Row],[Age]]),#REF!,#REF!), VALUE(TRIM(tbl_HR_Data[[#This Row],[Age]])))</f>
        <v>40</v>
      </c>
      <c r="N222" t="str">
        <f>IFERROR(_xlfn.XLOOKUP(tbl_HR_Data[[#This Row],[Gender]], Mapping[Gender _Discarded], Mapping[Gender_Correction]), PROPER(TRIM(tbl_HR_Data[[#This Row],[Gender]])))</f>
        <v>Female</v>
      </c>
      <c r="O222" t="str">
        <f>TRIM(tbl_HR_Data[[#This Row],[Position]])</f>
        <v>Analyst</v>
      </c>
      <c r="P222" t="str">
        <f>IFERROR(_xlfn.XLOOKUP(tbl_HR_Data[[#This Row],[Email]], Mapping[Email_Discarded], Mapping[Email_Correction]), LOWER(TRIM(tbl_HR_Data[[#This Row],[Email]])))</f>
        <v>not provided</v>
      </c>
      <c r="Q22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22" t="str" cm="1">
        <f t="array" ref="R222">_xlfn.REDUCE(Q222, {"-","/","_","\","(",")"}, _xlfn.LAMBDA(_xlpm.txt,_xlpm.itm, SUBSTITUTE(_xlpm.txt, _xlpm.itm, "")))</f>
        <v>Not Provided</v>
      </c>
      <c r="S222" s="3">
        <f>IFERROR(_xlfn.XLOOKUP(tbl_HR_Data[[#This Row],[Joining Date]], Mapping[Joining_Discarded], Mapping[Joining_Correction]), VALUE(tbl_HR_Data[[#This Row],[Joining Date]]))</f>
        <v>43477</v>
      </c>
      <c r="T222" t="str">
        <f>TEXT(tbl_HR_Data[[#This Row],[Joining Date]], "mmm")</f>
        <v>Jan</v>
      </c>
      <c r="U222" t="str">
        <f>TEXT(tbl_HR_Data[[#This Row],[Joining Date]], "ddd")</f>
        <v>Sat</v>
      </c>
    </row>
    <row r="223" spans="1:21" x14ac:dyDescent="0.35">
      <c r="A223" t="s">
        <v>102</v>
      </c>
      <c r="B223">
        <v>0</v>
      </c>
      <c r="C223">
        <v>60000</v>
      </c>
      <c r="D223" t="s">
        <v>36</v>
      </c>
      <c r="E223" t="s">
        <v>19</v>
      </c>
      <c r="F223" t="s">
        <v>39</v>
      </c>
      <c r="G223" s="3">
        <v>43477</v>
      </c>
      <c r="H223" t="str">
        <f>TEXT(tbl_HR_Data[[#This Row],[Joining Date]], "mmm")</f>
        <v>Jan</v>
      </c>
      <c r="I223" t="s">
        <v>93</v>
      </c>
      <c r="J223" t="s">
        <v>27</v>
      </c>
      <c r="K223" t="s">
        <v>77</v>
      </c>
      <c r="L223" t="s">
        <v>87</v>
      </c>
      <c r="M223">
        <f>IFERROR( _xlfn.XLOOKUP(TRIM(tbl_HR_Data[[#This Row],[Age]]),#REF!,#REF!), VALUE(TRIM(tbl_HR_Data[[#This Row],[Age]])))</f>
        <v>0</v>
      </c>
      <c r="N223" t="str">
        <f>IFERROR(_xlfn.XLOOKUP(tbl_HR_Data[[#This Row],[Gender]], Mapping[Gender _Discarded], Mapping[Gender_Correction]), PROPER(TRIM(tbl_HR_Data[[#This Row],[Gender]])))</f>
        <v>Other</v>
      </c>
      <c r="O223" t="str">
        <f>TRIM(tbl_HR_Data[[#This Row],[Position]])</f>
        <v>Clerk</v>
      </c>
      <c r="P223" t="str">
        <f>IFERROR(_xlfn.XLOOKUP(tbl_HR_Data[[#This Row],[Email]], Mapping[Email_Discarded], Mapping[Email_Correction]), LOWER(TRIM(tbl_HR_Data[[#This Row],[Email]])))</f>
        <v>not provided</v>
      </c>
      <c r="Q22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23" t="str" cm="1">
        <f t="array" ref="R223">_xlfn.REDUCE(Q223, {"-","/","_","\","(",")"}, _xlfn.LAMBDA(_xlpm.txt,_xlpm.itm, SUBSTITUTE(_xlpm.txt, _xlpm.itm, "")))</f>
        <v>1234567890</v>
      </c>
      <c r="S223" s="3">
        <f>IFERROR(_xlfn.XLOOKUP(tbl_HR_Data[[#This Row],[Joining Date]], Mapping[Joining_Discarded], Mapping[Joining_Correction]), VALUE(tbl_HR_Data[[#This Row],[Joining Date]]))</f>
        <v>43477</v>
      </c>
      <c r="T223" t="str">
        <f>TEXT(tbl_HR_Data[[#This Row],[Joining Date]], "mmm")</f>
        <v>Jan</v>
      </c>
      <c r="U223" t="str">
        <f>TEXT(tbl_HR_Data[[#This Row],[Joining Date]], "ddd")</f>
        <v>Sat</v>
      </c>
    </row>
    <row r="224" spans="1:21" x14ac:dyDescent="0.35">
      <c r="A224" t="s">
        <v>103</v>
      </c>
      <c r="B224">
        <v>35</v>
      </c>
      <c r="C224">
        <v>70000</v>
      </c>
      <c r="D224" t="s">
        <v>18</v>
      </c>
      <c r="E224" t="s">
        <v>26</v>
      </c>
      <c r="F224" t="s">
        <v>39</v>
      </c>
      <c r="G224" s="3">
        <v>43477</v>
      </c>
      <c r="H224" t="str">
        <f>TEXT(tbl_HR_Data[[#This Row],[Joining Date]], "mmm")</f>
        <v>Jan</v>
      </c>
      <c r="I224" t="s">
        <v>93</v>
      </c>
      <c r="J224" t="s">
        <v>21</v>
      </c>
      <c r="K224" t="s">
        <v>22</v>
      </c>
      <c r="L224" t="s">
        <v>77</v>
      </c>
      <c r="M224">
        <f>IFERROR( _xlfn.XLOOKUP(TRIM(tbl_HR_Data[[#This Row],[Age]]),#REF!,#REF!), VALUE(TRIM(tbl_HR_Data[[#This Row],[Age]])))</f>
        <v>35</v>
      </c>
      <c r="N224" t="str">
        <f>IFERROR(_xlfn.XLOOKUP(tbl_HR_Data[[#This Row],[Gender]], Mapping[Gender _Discarded], Mapping[Gender_Correction]), PROPER(TRIM(tbl_HR_Data[[#This Row],[Gender]])))</f>
        <v>Female</v>
      </c>
      <c r="O224" t="str">
        <f>TRIM(tbl_HR_Data[[#This Row],[Position]])</f>
        <v>Clerk</v>
      </c>
      <c r="P224" t="str">
        <f>IFERROR(_xlfn.XLOOKUP(tbl_HR_Data[[#This Row],[Email]], Mapping[Email_Discarded], Mapping[Email_Correction]), LOWER(TRIM(tbl_HR_Data[[#This Row],[Email]])))</f>
        <v>user@domain.com</v>
      </c>
      <c r="Q22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24" t="str" cm="1">
        <f t="array" ref="R224">_xlfn.REDUCE(Q224, {"-","/","_","\","(",")"}, _xlfn.LAMBDA(_xlpm.txt,_xlpm.itm, SUBSTITUTE(_xlpm.txt, _xlpm.itm, "")))</f>
        <v>Not Provided</v>
      </c>
      <c r="S224" s="3">
        <f>IFERROR(_xlfn.XLOOKUP(tbl_HR_Data[[#This Row],[Joining Date]], Mapping[Joining_Discarded], Mapping[Joining_Correction]), VALUE(tbl_HR_Data[[#This Row],[Joining Date]]))</f>
        <v>43477</v>
      </c>
      <c r="T224" t="str">
        <f>TEXT(tbl_HR_Data[[#This Row],[Joining Date]], "mmm")</f>
        <v>Jan</v>
      </c>
      <c r="U224" t="str">
        <f>TEXT(tbl_HR_Data[[#This Row],[Joining Date]], "ddd")</f>
        <v>Sat</v>
      </c>
    </row>
    <row r="225" spans="1:21" x14ac:dyDescent="0.35">
      <c r="A225" t="s">
        <v>101</v>
      </c>
      <c r="B225">
        <v>30</v>
      </c>
      <c r="C225">
        <v>50000</v>
      </c>
      <c r="D225" t="s">
        <v>11</v>
      </c>
      <c r="E225" t="s">
        <v>19</v>
      </c>
      <c r="F225" t="s">
        <v>43</v>
      </c>
      <c r="G225" s="3">
        <v>43477</v>
      </c>
      <c r="H225" t="str">
        <f>TEXT(tbl_HR_Data[[#This Row],[Joining Date]], "mmm")</f>
        <v>Jan</v>
      </c>
      <c r="I225" t="s">
        <v>93</v>
      </c>
      <c r="J225" t="s">
        <v>14</v>
      </c>
      <c r="K225" t="s">
        <v>22</v>
      </c>
      <c r="L225" t="s">
        <v>88</v>
      </c>
      <c r="M225">
        <f>IFERROR( _xlfn.XLOOKUP(TRIM(tbl_HR_Data[[#This Row],[Age]]),#REF!,#REF!), VALUE(TRIM(tbl_HR_Data[[#This Row],[Age]])))</f>
        <v>30</v>
      </c>
      <c r="N225" t="str">
        <f>IFERROR(_xlfn.XLOOKUP(tbl_HR_Data[[#This Row],[Gender]], Mapping[Gender _Discarded], Mapping[Gender_Correction]), PROPER(TRIM(tbl_HR_Data[[#This Row],[Gender]])))</f>
        <v>Male</v>
      </c>
      <c r="O225" t="str">
        <f>TRIM(tbl_HR_Data[[#This Row],[Position]])</f>
        <v>Assistant</v>
      </c>
      <c r="P225" t="str">
        <f>IFERROR(_xlfn.XLOOKUP(tbl_HR_Data[[#This Row],[Email]], Mapping[Email_Discarded], Mapping[Email_Correction]), LOWER(TRIM(tbl_HR_Data[[#This Row],[Email]])))</f>
        <v>user@domain.com</v>
      </c>
      <c r="Q22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225" t="str" cm="1">
        <f t="array" ref="R225">_xlfn.REDUCE(Q225, {"-","/","_","\","(",")"}, _xlfn.LAMBDA(_xlpm.txt,_xlpm.itm, SUBSTITUTE(_xlpm.txt, _xlpm.itm, "")))</f>
        <v>0987654321</v>
      </c>
      <c r="S225" s="3">
        <f>IFERROR(_xlfn.XLOOKUP(tbl_HR_Data[[#This Row],[Joining Date]], Mapping[Joining_Discarded], Mapping[Joining_Correction]), VALUE(tbl_HR_Data[[#This Row],[Joining Date]]))</f>
        <v>43477</v>
      </c>
      <c r="T225" t="str">
        <f>TEXT(tbl_HR_Data[[#This Row],[Joining Date]], "mmm")</f>
        <v>Jan</v>
      </c>
      <c r="U225" t="str">
        <f>TEXT(tbl_HR_Data[[#This Row],[Joining Date]], "ddd")</f>
        <v>Sat</v>
      </c>
    </row>
    <row r="226" spans="1:21" x14ac:dyDescent="0.35">
      <c r="A226" t="s">
        <v>100</v>
      </c>
      <c r="B226">
        <v>40</v>
      </c>
      <c r="C226">
        <v>0</v>
      </c>
      <c r="D226" t="s">
        <v>11</v>
      </c>
      <c r="E226" t="s">
        <v>37</v>
      </c>
      <c r="F226" t="s">
        <v>43</v>
      </c>
      <c r="G226" s="3">
        <v>43477</v>
      </c>
      <c r="H226" t="str">
        <f>TEXT(tbl_HR_Data[[#This Row],[Joining Date]], "mmm")</f>
        <v>Jan</v>
      </c>
      <c r="I226" t="s">
        <v>93</v>
      </c>
      <c r="J226" t="s">
        <v>14</v>
      </c>
      <c r="K226" t="s">
        <v>32</v>
      </c>
      <c r="L226" t="s">
        <v>77</v>
      </c>
      <c r="M226">
        <f>IFERROR( _xlfn.XLOOKUP(TRIM(tbl_HR_Data[[#This Row],[Age]]),#REF!,#REF!), VALUE(TRIM(tbl_HR_Data[[#This Row],[Age]])))</f>
        <v>40</v>
      </c>
      <c r="N226" t="str">
        <f>IFERROR(_xlfn.XLOOKUP(tbl_HR_Data[[#This Row],[Gender]], Mapping[Gender _Discarded], Mapping[Gender_Correction]), PROPER(TRIM(tbl_HR_Data[[#This Row],[Gender]])))</f>
        <v>Male</v>
      </c>
      <c r="O226" t="str">
        <f>TRIM(tbl_HR_Data[[#This Row],[Position]])</f>
        <v>Assistant</v>
      </c>
      <c r="P226" t="str">
        <f>IFERROR(_xlfn.XLOOKUP(tbl_HR_Data[[#This Row],[Email]], Mapping[Email_Discarded], Mapping[Email_Correction]), LOWER(TRIM(tbl_HR_Data[[#This Row],[Email]])))</f>
        <v>name@company.org</v>
      </c>
      <c r="Q22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26" t="str" cm="1">
        <f t="array" ref="R226">_xlfn.REDUCE(Q226, {"-","/","_","\","(",")"}, _xlfn.LAMBDA(_xlpm.txt,_xlpm.itm, SUBSTITUTE(_xlpm.txt, _xlpm.itm, "")))</f>
        <v>Not Provided</v>
      </c>
      <c r="S226" s="3">
        <f>IFERROR(_xlfn.XLOOKUP(tbl_HR_Data[[#This Row],[Joining Date]], Mapping[Joining_Discarded], Mapping[Joining_Correction]), VALUE(tbl_HR_Data[[#This Row],[Joining Date]]))</f>
        <v>43477</v>
      </c>
      <c r="T226" t="str">
        <f>TEXT(tbl_HR_Data[[#This Row],[Joining Date]], "mmm")</f>
        <v>Jan</v>
      </c>
      <c r="U226" t="str">
        <f>TEXT(tbl_HR_Data[[#This Row],[Joining Date]], "ddd")</f>
        <v>Sat</v>
      </c>
    </row>
    <row r="227" spans="1:21" x14ac:dyDescent="0.35">
      <c r="A227" t="s">
        <v>106</v>
      </c>
      <c r="B227">
        <v>50</v>
      </c>
      <c r="C227">
        <v>0</v>
      </c>
      <c r="D227" t="s">
        <v>11</v>
      </c>
      <c r="E227" t="s">
        <v>19</v>
      </c>
      <c r="F227" t="s">
        <v>44</v>
      </c>
      <c r="G227" s="3">
        <v>43477</v>
      </c>
      <c r="H227" t="str">
        <f>TEXT(tbl_HR_Data[[#This Row],[Joining Date]], "mmm")</f>
        <v>Jan</v>
      </c>
      <c r="I227" t="s">
        <v>93</v>
      </c>
      <c r="J227" t="s">
        <v>27</v>
      </c>
      <c r="K227" t="s">
        <v>32</v>
      </c>
      <c r="L227" t="s">
        <v>77</v>
      </c>
      <c r="M227">
        <f>IFERROR( _xlfn.XLOOKUP(TRIM(tbl_HR_Data[[#This Row],[Age]]),#REF!,#REF!), VALUE(TRIM(tbl_HR_Data[[#This Row],[Age]])))</f>
        <v>50</v>
      </c>
      <c r="N227" t="str">
        <f>IFERROR(_xlfn.XLOOKUP(tbl_HR_Data[[#This Row],[Gender]], Mapping[Gender _Discarded], Mapping[Gender_Correction]), PROPER(TRIM(tbl_HR_Data[[#This Row],[Gender]])))</f>
        <v>Male</v>
      </c>
      <c r="O227" t="str">
        <f>TRIM(tbl_HR_Data[[#This Row],[Position]])</f>
        <v>Analyst</v>
      </c>
      <c r="P227" t="str">
        <f>IFERROR(_xlfn.XLOOKUP(tbl_HR_Data[[#This Row],[Email]], Mapping[Email_Discarded], Mapping[Email_Correction]), LOWER(TRIM(tbl_HR_Data[[#This Row],[Email]])))</f>
        <v>name@company.org</v>
      </c>
      <c r="Q22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27" t="str" cm="1">
        <f t="array" ref="R227">_xlfn.REDUCE(Q227, {"-","/","_","\","(",")"}, _xlfn.LAMBDA(_xlpm.txt,_xlpm.itm, SUBSTITUTE(_xlpm.txt, _xlpm.itm, "")))</f>
        <v>Not Provided</v>
      </c>
      <c r="S227" s="3">
        <f>IFERROR(_xlfn.XLOOKUP(tbl_HR_Data[[#This Row],[Joining Date]], Mapping[Joining_Discarded], Mapping[Joining_Correction]), VALUE(tbl_HR_Data[[#This Row],[Joining Date]]))</f>
        <v>43477</v>
      </c>
      <c r="T227" t="str">
        <f>TEXT(tbl_HR_Data[[#This Row],[Joining Date]], "mmm")</f>
        <v>Jan</v>
      </c>
      <c r="U227" t="str">
        <f>TEXT(tbl_HR_Data[[#This Row],[Joining Date]], "ddd")</f>
        <v>Sat</v>
      </c>
    </row>
    <row r="228" spans="1:21" x14ac:dyDescent="0.35">
      <c r="A228" t="s">
        <v>102</v>
      </c>
      <c r="B228">
        <v>35</v>
      </c>
      <c r="C228">
        <v>50000</v>
      </c>
      <c r="D228" t="s">
        <v>11</v>
      </c>
      <c r="E228" t="s">
        <v>30</v>
      </c>
      <c r="F228" t="s">
        <v>39</v>
      </c>
      <c r="G228" s="3">
        <v>43477</v>
      </c>
      <c r="H228" t="str">
        <f>TEXT(tbl_HR_Data[[#This Row],[Joining Date]], "mmm")</f>
        <v>Jan</v>
      </c>
      <c r="I228" t="s">
        <v>93</v>
      </c>
      <c r="J228" t="s">
        <v>21</v>
      </c>
      <c r="K228" t="s">
        <v>77</v>
      </c>
      <c r="L228" t="s">
        <v>88</v>
      </c>
      <c r="M228">
        <f>IFERROR( _xlfn.XLOOKUP(TRIM(tbl_HR_Data[[#This Row],[Age]]),#REF!,#REF!), VALUE(TRIM(tbl_HR_Data[[#This Row],[Age]])))</f>
        <v>35</v>
      </c>
      <c r="N228" t="str">
        <f>IFERROR(_xlfn.XLOOKUP(tbl_HR_Data[[#This Row],[Gender]], Mapping[Gender _Discarded], Mapping[Gender_Correction]), PROPER(TRIM(tbl_HR_Data[[#This Row],[Gender]])))</f>
        <v>Male</v>
      </c>
      <c r="O228" t="str">
        <f>TRIM(tbl_HR_Data[[#This Row],[Position]])</f>
        <v>Clerk</v>
      </c>
      <c r="P228" t="str">
        <f>IFERROR(_xlfn.XLOOKUP(tbl_HR_Data[[#This Row],[Email]], Mapping[Email_Discarded], Mapping[Email_Correction]), LOWER(TRIM(tbl_HR_Data[[#This Row],[Email]])))</f>
        <v>not provided</v>
      </c>
      <c r="Q22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228" t="str" cm="1">
        <f t="array" ref="R228">_xlfn.REDUCE(Q228, {"-","/","_","\","(",")"}, _xlfn.LAMBDA(_xlpm.txt,_xlpm.itm, SUBSTITUTE(_xlpm.txt, _xlpm.itm, "")))</f>
        <v>0987654321</v>
      </c>
      <c r="S228" s="3">
        <f>IFERROR(_xlfn.XLOOKUP(tbl_HR_Data[[#This Row],[Joining Date]], Mapping[Joining_Discarded], Mapping[Joining_Correction]), VALUE(tbl_HR_Data[[#This Row],[Joining Date]]))</f>
        <v>43477</v>
      </c>
      <c r="T228" t="str">
        <f>TEXT(tbl_HR_Data[[#This Row],[Joining Date]], "mmm")</f>
        <v>Jan</v>
      </c>
      <c r="U228" t="str">
        <f>TEXT(tbl_HR_Data[[#This Row],[Joining Date]], "ddd")</f>
        <v>Sat</v>
      </c>
    </row>
    <row r="229" spans="1:21" x14ac:dyDescent="0.35">
      <c r="A229" t="s">
        <v>105</v>
      </c>
      <c r="B229">
        <v>30</v>
      </c>
      <c r="C229">
        <v>70000</v>
      </c>
      <c r="D229" t="s">
        <v>36</v>
      </c>
      <c r="E229" t="s">
        <v>30</v>
      </c>
      <c r="F229" t="s">
        <v>13</v>
      </c>
      <c r="G229" s="3">
        <v>43477</v>
      </c>
      <c r="H229" t="str">
        <f>TEXT(tbl_HR_Data[[#This Row],[Joining Date]], "mmm")</f>
        <v>Jan</v>
      </c>
      <c r="I229" t="s">
        <v>93</v>
      </c>
      <c r="J229" t="s">
        <v>31</v>
      </c>
      <c r="K229" t="s">
        <v>22</v>
      </c>
      <c r="L229" t="s">
        <v>77</v>
      </c>
      <c r="M229">
        <f>IFERROR( _xlfn.XLOOKUP(TRIM(tbl_HR_Data[[#This Row],[Age]]),#REF!,#REF!), VALUE(TRIM(tbl_HR_Data[[#This Row],[Age]])))</f>
        <v>30</v>
      </c>
      <c r="N229" t="str">
        <f>IFERROR(_xlfn.XLOOKUP(tbl_HR_Data[[#This Row],[Gender]], Mapping[Gender _Discarded], Mapping[Gender_Correction]), PROPER(TRIM(tbl_HR_Data[[#This Row],[Gender]])))</f>
        <v>Other</v>
      </c>
      <c r="O229" t="str">
        <f>TRIM(tbl_HR_Data[[#This Row],[Position]])</f>
        <v>Manager</v>
      </c>
      <c r="P229" t="str">
        <f>IFERROR(_xlfn.XLOOKUP(tbl_HR_Data[[#This Row],[Email]], Mapping[Email_Discarded], Mapping[Email_Correction]), LOWER(TRIM(tbl_HR_Data[[#This Row],[Email]])))</f>
        <v>user@domain.com</v>
      </c>
      <c r="Q22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29" t="str" cm="1">
        <f t="array" ref="R229">_xlfn.REDUCE(Q229, {"-","/","_","\","(",")"}, _xlfn.LAMBDA(_xlpm.txt,_xlpm.itm, SUBSTITUTE(_xlpm.txt, _xlpm.itm, "")))</f>
        <v>Not Provided</v>
      </c>
      <c r="S229" s="3">
        <f>IFERROR(_xlfn.XLOOKUP(tbl_HR_Data[[#This Row],[Joining Date]], Mapping[Joining_Discarded], Mapping[Joining_Correction]), VALUE(tbl_HR_Data[[#This Row],[Joining Date]]))</f>
        <v>43477</v>
      </c>
      <c r="T229" t="str">
        <f>TEXT(tbl_HR_Data[[#This Row],[Joining Date]], "mmm")</f>
        <v>Jan</v>
      </c>
      <c r="U229" t="str">
        <f>TEXT(tbl_HR_Data[[#This Row],[Joining Date]], "ddd")</f>
        <v>Sat</v>
      </c>
    </row>
    <row r="230" spans="1:21" x14ac:dyDescent="0.35">
      <c r="A230" t="s">
        <v>107</v>
      </c>
      <c r="B230">
        <v>40</v>
      </c>
      <c r="C230">
        <v>60000</v>
      </c>
      <c r="D230" t="s">
        <v>18</v>
      </c>
      <c r="E230" t="s">
        <v>12</v>
      </c>
      <c r="F230" t="s">
        <v>13</v>
      </c>
      <c r="G230" s="3">
        <v>43477</v>
      </c>
      <c r="H230" t="str">
        <f>TEXT(tbl_HR_Data[[#This Row],[Joining Date]], "mmm")</f>
        <v>Jan</v>
      </c>
      <c r="I230" t="s">
        <v>93</v>
      </c>
      <c r="J230" t="s">
        <v>14</v>
      </c>
      <c r="K230" t="s">
        <v>22</v>
      </c>
      <c r="L230" t="s">
        <v>87</v>
      </c>
      <c r="M230">
        <f>IFERROR( _xlfn.XLOOKUP(TRIM(tbl_HR_Data[[#This Row],[Age]]),#REF!,#REF!), VALUE(TRIM(tbl_HR_Data[[#This Row],[Age]])))</f>
        <v>40</v>
      </c>
      <c r="N230" t="str">
        <f>IFERROR(_xlfn.XLOOKUP(tbl_HR_Data[[#This Row],[Gender]], Mapping[Gender _Discarded], Mapping[Gender_Correction]), PROPER(TRIM(tbl_HR_Data[[#This Row],[Gender]])))</f>
        <v>Female</v>
      </c>
      <c r="O230" t="str">
        <f>TRIM(tbl_HR_Data[[#This Row],[Position]])</f>
        <v>Manager</v>
      </c>
      <c r="P230" t="str">
        <f>IFERROR(_xlfn.XLOOKUP(tbl_HR_Data[[#This Row],[Email]], Mapping[Email_Discarded], Mapping[Email_Correction]), LOWER(TRIM(tbl_HR_Data[[#This Row],[Email]])))</f>
        <v>user@domain.com</v>
      </c>
      <c r="Q23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30" t="str" cm="1">
        <f t="array" ref="R230">_xlfn.REDUCE(Q230, {"-","/","_","\","(",")"}, _xlfn.LAMBDA(_xlpm.txt,_xlpm.itm, SUBSTITUTE(_xlpm.txt, _xlpm.itm, "")))</f>
        <v>1234567890</v>
      </c>
      <c r="S230" s="3">
        <f>IFERROR(_xlfn.XLOOKUP(tbl_HR_Data[[#This Row],[Joining Date]], Mapping[Joining_Discarded], Mapping[Joining_Correction]), VALUE(tbl_HR_Data[[#This Row],[Joining Date]]))</f>
        <v>43477</v>
      </c>
      <c r="T230" t="str">
        <f>TEXT(tbl_HR_Data[[#This Row],[Joining Date]], "mmm")</f>
        <v>Jan</v>
      </c>
      <c r="U230" t="str">
        <f>TEXT(tbl_HR_Data[[#This Row],[Joining Date]], "ddd")</f>
        <v>Sat</v>
      </c>
    </row>
    <row r="231" spans="1:21" x14ac:dyDescent="0.35">
      <c r="A231" t="s">
        <v>105</v>
      </c>
      <c r="B231">
        <v>35</v>
      </c>
      <c r="C231">
        <v>50000</v>
      </c>
      <c r="D231" t="s">
        <v>36</v>
      </c>
      <c r="E231" t="s">
        <v>12</v>
      </c>
      <c r="F231" t="s">
        <v>13</v>
      </c>
      <c r="G231" s="3">
        <v>43477</v>
      </c>
      <c r="H231" t="str">
        <f>TEXT(tbl_HR_Data[[#This Row],[Joining Date]], "mmm")</f>
        <v>Jan</v>
      </c>
      <c r="I231" t="s">
        <v>93</v>
      </c>
      <c r="J231" t="s">
        <v>27</v>
      </c>
      <c r="K231" t="s">
        <v>32</v>
      </c>
      <c r="L231" t="s">
        <v>88</v>
      </c>
      <c r="M231">
        <f>IFERROR( _xlfn.XLOOKUP(TRIM(tbl_HR_Data[[#This Row],[Age]]),#REF!,#REF!), VALUE(TRIM(tbl_HR_Data[[#This Row],[Age]])))</f>
        <v>35</v>
      </c>
      <c r="N231" t="str">
        <f>IFERROR(_xlfn.XLOOKUP(tbl_HR_Data[[#This Row],[Gender]], Mapping[Gender _Discarded], Mapping[Gender_Correction]), PROPER(TRIM(tbl_HR_Data[[#This Row],[Gender]])))</f>
        <v>Other</v>
      </c>
      <c r="O231" t="str">
        <f>TRIM(tbl_HR_Data[[#This Row],[Position]])</f>
        <v>Manager</v>
      </c>
      <c r="P231" t="str">
        <f>IFERROR(_xlfn.XLOOKUP(tbl_HR_Data[[#This Row],[Email]], Mapping[Email_Discarded], Mapping[Email_Correction]), LOWER(TRIM(tbl_HR_Data[[#This Row],[Email]])))</f>
        <v>name@company.org</v>
      </c>
      <c r="Q23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231" t="str" cm="1">
        <f t="array" ref="R231">_xlfn.REDUCE(Q231, {"-","/","_","\","(",")"}, _xlfn.LAMBDA(_xlpm.txt,_xlpm.itm, SUBSTITUTE(_xlpm.txt, _xlpm.itm, "")))</f>
        <v>0987654321</v>
      </c>
      <c r="S231" s="3">
        <f>IFERROR(_xlfn.XLOOKUP(tbl_HR_Data[[#This Row],[Joining Date]], Mapping[Joining_Discarded], Mapping[Joining_Correction]), VALUE(tbl_HR_Data[[#This Row],[Joining Date]]))</f>
        <v>43477</v>
      </c>
      <c r="T231" t="str">
        <f>TEXT(tbl_HR_Data[[#This Row],[Joining Date]], "mmm")</f>
        <v>Jan</v>
      </c>
      <c r="U231" t="str">
        <f>TEXT(tbl_HR_Data[[#This Row],[Joining Date]], "ddd")</f>
        <v>Sat</v>
      </c>
    </row>
    <row r="232" spans="1:21" x14ac:dyDescent="0.35">
      <c r="A232" t="s">
        <v>107</v>
      </c>
      <c r="B232">
        <v>40</v>
      </c>
      <c r="C232">
        <v>65000</v>
      </c>
      <c r="D232" t="s">
        <v>36</v>
      </c>
      <c r="E232" t="s">
        <v>12</v>
      </c>
      <c r="F232" t="s">
        <v>44</v>
      </c>
      <c r="G232" s="3">
        <v>43477</v>
      </c>
      <c r="H232" t="str">
        <f>TEXT(tbl_HR_Data[[#This Row],[Joining Date]], "mmm")</f>
        <v>Jan</v>
      </c>
      <c r="I232" t="s">
        <v>93</v>
      </c>
      <c r="J232" t="s">
        <v>14</v>
      </c>
      <c r="K232" t="s">
        <v>32</v>
      </c>
      <c r="L232" t="s">
        <v>77</v>
      </c>
      <c r="M232">
        <f>IFERROR( _xlfn.XLOOKUP(TRIM(tbl_HR_Data[[#This Row],[Age]]),#REF!,#REF!), VALUE(TRIM(tbl_HR_Data[[#This Row],[Age]])))</f>
        <v>40</v>
      </c>
      <c r="N232" t="str">
        <f>IFERROR(_xlfn.XLOOKUP(tbl_HR_Data[[#This Row],[Gender]], Mapping[Gender _Discarded], Mapping[Gender_Correction]), PROPER(TRIM(tbl_HR_Data[[#This Row],[Gender]])))</f>
        <v>Other</v>
      </c>
      <c r="O232" t="str">
        <f>TRIM(tbl_HR_Data[[#This Row],[Position]])</f>
        <v>Analyst</v>
      </c>
      <c r="P232" t="str">
        <f>IFERROR(_xlfn.XLOOKUP(tbl_HR_Data[[#This Row],[Email]], Mapping[Email_Discarded], Mapping[Email_Correction]), LOWER(TRIM(tbl_HR_Data[[#This Row],[Email]])))</f>
        <v>name@company.org</v>
      </c>
      <c r="Q23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32" t="str" cm="1">
        <f t="array" ref="R232">_xlfn.REDUCE(Q232, {"-","/","_","\","(",")"}, _xlfn.LAMBDA(_xlpm.txt,_xlpm.itm, SUBSTITUTE(_xlpm.txt, _xlpm.itm, "")))</f>
        <v>Not Provided</v>
      </c>
      <c r="S232" s="3">
        <f>IFERROR(_xlfn.XLOOKUP(tbl_HR_Data[[#This Row],[Joining Date]], Mapping[Joining_Discarded], Mapping[Joining_Correction]), VALUE(tbl_HR_Data[[#This Row],[Joining Date]]))</f>
        <v>43477</v>
      </c>
      <c r="T232" t="str">
        <f>TEXT(tbl_HR_Data[[#This Row],[Joining Date]], "mmm")</f>
        <v>Jan</v>
      </c>
      <c r="U232" t="str">
        <f>TEXT(tbl_HR_Data[[#This Row],[Joining Date]], "ddd")</f>
        <v>Sat</v>
      </c>
    </row>
    <row r="233" spans="1:21" x14ac:dyDescent="0.35">
      <c r="A233" t="s">
        <v>104</v>
      </c>
      <c r="B233">
        <v>30</v>
      </c>
      <c r="C233">
        <v>0</v>
      </c>
      <c r="D233" t="s">
        <v>36</v>
      </c>
      <c r="E233" t="s">
        <v>19</v>
      </c>
      <c r="F233" t="s">
        <v>44</v>
      </c>
      <c r="G233" s="3">
        <v>43477</v>
      </c>
      <c r="H233" t="str">
        <f>TEXT(tbl_HR_Data[[#This Row],[Joining Date]], "mmm")</f>
        <v>Jan</v>
      </c>
      <c r="I233" t="s">
        <v>93</v>
      </c>
      <c r="J233" t="s">
        <v>31</v>
      </c>
      <c r="K233" t="s">
        <v>77</v>
      </c>
      <c r="L233" t="s">
        <v>89</v>
      </c>
      <c r="M233">
        <f>IFERROR( _xlfn.XLOOKUP(TRIM(tbl_HR_Data[[#This Row],[Age]]),#REF!,#REF!), VALUE(TRIM(tbl_HR_Data[[#This Row],[Age]])))</f>
        <v>30</v>
      </c>
      <c r="N233" t="str">
        <f>IFERROR(_xlfn.XLOOKUP(tbl_HR_Data[[#This Row],[Gender]], Mapping[Gender _Discarded], Mapping[Gender_Correction]), PROPER(TRIM(tbl_HR_Data[[#This Row],[Gender]])))</f>
        <v>Other</v>
      </c>
      <c r="O233" t="str">
        <f>TRIM(tbl_HR_Data[[#This Row],[Position]])</f>
        <v>Analyst</v>
      </c>
      <c r="P233" t="str">
        <f>IFERROR(_xlfn.XLOOKUP(tbl_HR_Data[[#This Row],[Email]], Mapping[Email_Discarded], Mapping[Email_Correction]), LOWER(TRIM(tbl_HR_Data[[#This Row],[Email]])))</f>
        <v>not provided</v>
      </c>
      <c r="Q23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233" t="str" cm="1">
        <f t="array" ref="R233">_xlfn.REDUCE(Q233, {"-","/","_","\","(",")"}, _xlfn.LAMBDA(_xlpm.txt,_xlpm.itm, SUBSTITUTE(_xlpm.txt, _xlpm.itm, "")))</f>
        <v>5555555555</v>
      </c>
      <c r="S233" s="3">
        <f>IFERROR(_xlfn.XLOOKUP(tbl_HR_Data[[#This Row],[Joining Date]], Mapping[Joining_Discarded], Mapping[Joining_Correction]), VALUE(tbl_HR_Data[[#This Row],[Joining Date]]))</f>
        <v>43477</v>
      </c>
      <c r="T233" t="str">
        <f>TEXT(tbl_HR_Data[[#This Row],[Joining Date]], "mmm")</f>
        <v>Jan</v>
      </c>
      <c r="U233" t="str">
        <f>TEXT(tbl_HR_Data[[#This Row],[Joining Date]], "ddd")</f>
        <v>Sat</v>
      </c>
    </row>
    <row r="234" spans="1:21" x14ac:dyDescent="0.35">
      <c r="A234" t="s">
        <v>101</v>
      </c>
      <c r="B234">
        <v>25</v>
      </c>
      <c r="C234">
        <v>65000</v>
      </c>
      <c r="D234" t="s">
        <v>36</v>
      </c>
      <c r="E234" t="s">
        <v>26</v>
      </c>
      <c r="F234" t="s">
        <v>13</v>
      </c>
      <c r="G234" s="3">
        <v>43477</v>
      </c>
      <c r="H234" t="str">
        <f>TEXT(tbl_HR_Data[[#This Row],[Joining Date]], "mmm")</f>
        <v>Jan</v>
      </c>
      <c r="I234" t="s">
        <v>93</v>
      </c>
      <c r="J234" t="s">
        <v>14</v>
      </c>
      <c r="K234" t="s">
        <v>32</v>
      </c>
      <c r="L234" t="s">
        <v>77</v>
      </c>
      <c r="M234">
        <f>IFERROR( _xlfn.XLOOKUP(TRIM(tbl_HR_Data[[#This Row],[Age]]),#REF!,#REF!), VALUE(TRIM(tbl_HR_Data[[#This Row],[Age]])))</f>
        <v>25</v>
      </c>
      <c r="N234" t="str">
        <f>IFERROR(_xlfn.XLOOKUP(tbl_HR_Data[[#This Row],[Gender]], Mapping[Gender _Discarded], Mapping[Gender_Correction]), PROPER(TRIM(tbl_HR_Data[[#This Row],[Gender]])))</f>
        <v>Other</v>
      </c>
      <c r="O234" t="str">
        <f>TRIM(tbl_HR_Data[[#This Row],[Position]])</f>
        <v>Manager</v>
      </c>
      <c r="P234" t="str">
        <f>IFERROR(_xlfn.XLOOKUP(tbl_HR_Data[[#This Row],[Email]], Mapping[Email_Discarded], Mapping[Email_Correction]), LOWER(TRIM(tbl_HR_Data[[#This Row],[Email]])))</f>
        <v>name@company.org</v>
      </c>
      <c r="Q23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34" t="str" cm="1">
        <f t="array" ref="R234">_xlfn.REDUCE(Q234, {"-","/","_","\","(",")"}, _xlfn.LAMBDA(_xlpm.txt,_xlpm.itm, SUBSTITUTE(_xlpm.txt, _xlpm.itm, "")))</f>
        <v>Not Provided</v>
      </c>
      <c r="S234" s="3">
        <f>IFERROR(_xlfn.XLOOKUP(tbl_HR_Data[[#This Row],[Joining Date]], Mapping[Joining_Discarded], Mapping[Joining_Correction]), VALUE(tbl_HR_Data[[#This Row],[Joining Date]]))</f>
        <v>43477</v>
      </c>
      <c r="T234" t="str">
        <f>TEXT(tbl_HR_Data[[#This Row],[Joining Date]], "mmm")</f>
        <v>Jan</v>
      </c>
      <c r="U234" t="str">
        <f>TEXT(tbl_HR_Data[[#This Row],[Joining Date]], "ddd")</f>
        <v>Sat</v>
      </c>
    </row>
    <row r="235" spans="1:21" x14ac:dyDescent="0.35">
      <c r="A235" t="s">
        <v>108</v>
      </c>
      <c r="B235">
        <v>30</v>
      </c>
      <c r="C235">
        <v>0</v>
      </c>
      <c r="D235" t="s">
        <v>11</v>
      </c>
      <c r="E235" t="s">
        <v>12</v>
      </c>
      <c r="F235" t="s">
        <v>13</v>
      </c>
      <c r="G235" s="3">
        <v>43477</v>
      </c>
      <c r="H235" t="str">
        <f>TEXT(tbl_HR_Data[[#This Row],[Joining Date]], "mmm")</f>
        <v>Jan</v>
      </c>
      <c r="I235" t="s">
        <v>93</v>
      </c>
      <c r="J235" t="s">
        <v>27</v>
      </c>
      <c r="K235" t="s">
        <v>77</v>
      </c>
      <c r="L235" t="s">
        <v>89</v>
      </c>
      <c r="M235">
        <f>IFERROR( _xlfn.XLOOKUP(TRIM(tbl_HR_Data[[#This Row],[Age]]),#REF!,#REF!), VALUE(TRIM(tbl_HR_Data[[#This Row],[Age]])))</f>
        <v>30</v>
      </c>
      <c r="N235" t="str">
        <f>IFERROR(_xlfn.XLOOKUP(tbl_HR_Data[[#This Row],[Gender]], Mapping[Gender _Discarded], Mapping[Gender_Correction]), PROPER(TRIM(tbl_HR_Data[[#This Row],[Gender]])))</f>
        <v>Male</v>
      </c>
      <c r="O235" t="str">
        <f>TRIM(tbl_HR_Data[[#This Row],[Position]])</f>
        <v>Manager</v>
      </c>
      <c r="P235" t="str">
        <f>IFERROR(_xlfn.XLOOKUP(tbl_HR_Data[[#This Row],[Email]], Mapping[Email_Discarded], Mapping[Email_Correction]), LOWER(TRIM(tbl_HR_Data[[#This Row],[Email]])))</f>
        <v>not provided</v>
      </c>
      <c r="Q23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235" t="str" cm="1">
        <f t="array" ref="R235">_xlfn.REDUCE(Q235, {"-","/","_","\","(",")"}, _xlfn.LAMBDA(_xlpm.txt,_xlpm.itm, SUBSTITUTE(_xlpm.txt, _xlpm.itm, "")))</f>
        <v>5555555555</v>
      </c>
      <c r="S235" s="3">
        <f>IFERROR(_xlfn.XLOOKUP(tbl_HR_Data[[#This Row],[Joining Date]], Mapping[Joining_Discarded], Mapping[Joining_Correction]), VALUE(tbl_HR_Data[[#This Row],[Joining Date]]))</f>
        <v>43477</v>
      </c>
      <c r="T235" t="str">
        <f>TEXT(tbl_HR_Data[[#This Row],[Joining Date]], "mmm")</f>
        <v>Jan</v>
      </c>
      <c r="U235" t="str">
        <f>TEXT(tbl_HR_Data[[#This Row],[Joining Date]], "ddd")</f>
        <v>Sat</v>
      </c>
    </row>
    <row r="236" spans="1:21" x14ac:dyDescent="0.35">
      <c r="A236" t="s">
        <v>102</v>
      </c>
      <c r="B236">
        <v>40</v>
      </c>
      <c r="C236">
        <v>70000</v>
      </c>
      <c r="D236" t="s">
        <v>11</v>
      </c>
      <c r="E236" t="s">
        <v>19</v>
      </c>
      <c r="F236" t="s">
        <v>20</v>
      </c>
      <c r="G236" s="3">
        <v>43477</v>
      </c>
      <c r="H236" t="str">
        <f>TEXT(tbl_HR_Data[[#This Row],[Joining Date]], "mmm")</f>
        <v>Jan</v>
      </c>
      <c r="I236" t="s">
        <v>93</v>
      </c>
      <c r="J236" t="s">
        <v>27</v>
      </c>
      <c r="K236" t="s">
        <v>32</v>
      </c>
      <c r="L236" t="s">
        <v>87</v>
      </c>
      <c r="M236">
        <f>IFERROR( _xlfn.XLOOKUP(TRIM(tbl_HR_Data[[#This Row],[Age]]),#REF!,#REF!), VALUE(TRIM(tbl_HR_Data[[#This Row],[Age]])))</f>
        <v>40</v>
      </c>
      <c r="N236" t="str">
        <f>IFERROR(_xlfn.XLOOKUP(tbl_HR_Data[[#This Row],[Gender]], Mapping[Gender _Discarded], Mapping[Gender_Correction]), PROPER(TRIM(tbl_HR_Data[[#This Row],[Gender]])))</f>
        <v>Male</v>
      </c>
      <c r="O236" t="str">
        <f>TRIM(tbl_HR_Data[[#This Row],[Position]])</f>
        <v>Director</v>
      </c>
      <c r="P236" t="str">
        <f>IFERROR(_xlfn.XLOOKUP(tbl_HR_Data[[#This Row],[Email]], Mapping[Email_Discarded], Mapping[Email_Correction]), LOWER(TRIM(tbl_HR_Data[[#This Row],[Email]])))</f>
        <v>name@company.org</v>
      </c>
      <c r="Q23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36" t="str" cm="1">
        <f t="array" ref="R236">_xlfn.REDUCE(Q236, {"-","/","_","\","(",")"}, _xlfn.LAMBDA(_xlpm.txt,_xlpm.itm, SUBSTITUTE(_xlpm.txt, _xlpm.itm, "")))</f>
        <v>1234567890</v>
      </c>
      <c r="S236" s="3">
        <f>IFERROR(_xlfn.XLOOKUP(tbl_HR_Data[[#This Row],[Joining Date]], Mapping[Joining_Discarded], Mapping[Joining_Correction]), VALUE(tbl_HR_Data[[#This Row],[Joining Date]]))</f>
        <v>43477</v>
      </c>
      <c r="T236" t="str">
        <f>TEXT(tbl_HR_Data[[#This Row],[Joining Date]], "mmm")</f>
        <v>Jan</v>
      </c>
      <c r="U236" t="str">
        <f>TEXT(tbl_HR_Data[[#This Row],[Joining Date]], "ddd")</f>
        <v>Sat</v>
      </c>
    </row>
    <row r="237" spans="1:21" x14ac:dyDescent="0.35">
      <c r="A237" t="s">
        <v>99</v>
      </c>
      <c r="B237">
        <v>50</v>
      </c>
      <c r="C237">
        <v>50000</v>
      </c>
      <c r="D237" t="s">
        <v>36</v>
      </c>
      <c r="E237" t="s">
        <v>30</v>
      </c>
      <c r="F237" t="s">
        <v>20</v>
      </c>
      <c r="G237" s="3">
        <v>43477</v>
      </c>
      <c r="H237" t="str">
        <f>TEXT(tbl_HR_Data[[#This Row],[Joining Date]], "mmm")</f>
        <v>Jan</v>
      </c>
      <c r="I237" t="s">
        <v>93</v>
      </c>
      <c r="J237" t="s">
        <v>21</v>
      </c>
      <c r="K237" t="s">
        <v>77</v>
      </c>
      <c r="L237" t="s">
        <v>88</v>
      </c>
      <c r="M237">
        <f>IFERROR( _xlfn.XLOOKUP(TRIM(tbl_HR_Data[[#This Row],[Age]]),#REF!,#REF!), VALUE(TRIM(tbl_HR_Data[[#This Row],[Age]])))</f>
        <v>50</v>
      </c>
      <c r="N237" t="str">
        <f>IFERROR(_xlfn.XLOOKUP(tbl_HR_Data[[#This Row],[Gender]], Mapping[Gender _Discarded], Mapping[Gender_Correction]), PROPER(TRIM(tbl_HR_Data[[#This Row],[Gender]])))</f>
        <v>Other</v>
      </c>
      <c r="O237" t="str">
        <f>TRIM(tbl_HR_Data[[#This Row],[Position]])</f>
        <v>Director</v>
      </c>
      <c r="P237" t="str">
        <f>IFERROR(_xlfn.XLOOKUP(tbl_HR_Data[[#This Row],[Email]], Mapping[Email_Discarded], Mapping[Email_Correction]), LOWER(TRIM(tbl_HR_Data[[#This Row],[Email]])))</f>
        <v>not provided</v>
      </c>
      <c r="Q23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237" t="str" cm="1">
        <f t="array" ref="R237">_xlfn.REDUCE(Q237, {"-","/","_","\","(",")"}, _xlfn.LAMBDA(_xlpm.txt,_xlpm.itm, SUBSTITUTE(_xlpm.txt, _xlpm.itm, "")))</f>
        <v>0987654321</v>
      </c>
      <c r="S237" s="3">
        <f>IFERROR(_xlfn.XLOOKUP(tbl_HR_Data[[#This Row],[Joining Date]], Mapping[Joining_Discarded], Mapping[Joining_Correction]), VALUE(tbl_HR_Data[[#This Row],[Joining Date]]))</f>
        <v>43477</v>
      </c>
      <c r="T237" t="str">
        <f>TEXT(tbl_HR_Data[[#This Row],[Joining Date]], "mmm")</f>
        <v>Jan</v>
      </c>
      <c r="U237" t="str">
        <f>TEXT(tbl_HR_Data[[#This Row],[Joining Date]], "ddd")</f>
        <v>Sat</v>
      </c>
    </row>
    <row r="238" spans="1:21" x14ac:dyDescent="0.35">
      <c r="A238" t="s">
        <v>103</v>
      </c>
      <c r="B238">
        <v>40</v>
      </c>
      <c r="C238">
        <v>50000</v>
      </c>
      <c r="D238" t="s">
        <v>18</v>
      </c>
      <c r="E238" t="s">
        <v>26</v>
      </c>
      <c r="F238" t="s">
        <v>43</v>
      </c>
      <c r="G238" s="3">
        <v>43477</v>
      </c>
      <c r="H238" t="str">
        <f>TEXT(tbl_HR_Data[[#This Row],[Joining Date]], "mmm")</f>
        <v>Jan</v>
      </c>
      <c r="I238" t="s">
        <v>93</v>
      </c>
      <c r="J238" t="s">
        <v>31</v>
      </c>
      <c r="K238" t="s">
        <v>77</v>
      </c>
      <c r="L238" t="s">
        <v>77</v>
      </c>
      <c r="M238">
        <f>IFERROR( _xlfn.XLOOKUP(TRIM(tbl_HR_Data[[#This Row],[Age]]),#REF!,#REF!), VALUE(TRIM(tbl_HR_Data[[#This Row],[Age]])))</f>
        <v>40</v>
      </c>
      <c r="N238" t="str">
        <f>IFERROR(_xlfn.XLOOKUP(tbl_HR_Data[[#This Row],[Gender]], Mapping[Gender _Discarded], Mapping[Gender_Correction]), PROPER(TRIM(tbl_HR_Data[[#This Row],[Gender]])))</f>
        <v>Female</v>
      </c>
      <c r="O238" t="str">
        <f>TRIM(tbl_HR_Data[[#This Row],[Position]])</f>
        <v>Assistant</v>
      </c>
      <c r="P238" t="str">
        <f>IFERROR(_xlfn.XLOOKUP(tbl_HR_Data[[#This Row],[Email]], Mapping[Email_Discarded], Mapping[Email_Correction]), LOWER(TRIM(tbl_HR_Data[[#This Row],[Email]])))</f>
        <v>not provided</v>
      </c>
      <c r="Q23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38" t="str" cm="1">
        <f t="array" ref="R238">_xlfn.REDUCE(Q238, {"-","/","_","\","(",")"}, _xlfn.LAMBDA(_xlpm.txt,_xlpm.itm, SUBSTITUTE(_xlpm.txt, _xlpm.itm, "")))</f>
        <v>Not Provided</v>
      </c>
      <c r="S238" s="3">
        <f>IFERROR(_xlfn.XLOOKUP(tbl_HR_Data[[#This Row],[Joining Date]], Mapping[Joining_Discarded], Mapping[Joining_Correction]), VALUE(tbl_HR_Data[[#This Row],[Joining Date]]))</f>
        <v>43477</v>
      </c>
      <c r="T238" t="str">
        <f>TEXT(tbl_HR_Data[[#This Row],[Joining Date]], "mmm")</f>
        <v>Jan</v>
      </c>
      <c r="U238" t="str">
        <f>TEXT(tbl_HR_Data[[#This Row],[Joining Date]], "ddd")</f>
        <v>Sat</v>
      </c>
    </row>
    <row r="239" spans="1:21" x14ac:dyDescent="0.35">
      <c r="A239" t="s">
        <v>102</v>
      </c>
      <c r="B239">
        <v>50</v>
      </c>
      <c r="C239">
        <v>50000</v>
      </c>
      <c r="D239" t="s">
        <v>18</v>
      </c>
      <c r="E239" t="s">
        <v>30</v>
      </c>
      <c r="F239" t="s">
        <v>44</v>
      </c>
      <c r="G239" s="3">
        <v>43477</v>
      </c>
      <c r="H239" t="str">
        <f>TEXT(tbl_HR_Data[[#This Row],[Joining Date]], "mmm")</f>
        <v>Jan</v>
      </c>
      <c r="I239" t="s">
        <v>93</v>
      </c>
      <c r="J239" t="s">
        <v>27</v>
      </c>
      <c r="K239" t="s">
        <v>15</v>
      </c>
      <c r="L239" t="s">
        <v>77</v>
      </c>
      <c r="M239">
        <f>IFERROR( _xlfn.XLOOKUP(TRIM(tbl_HR_Data[[#This Row],[Age]]),#REF!,#REF!), VALUE(TRIM(tbl_HR_Data[[#This Row],[Age]])))</f>
        <v>50</v>
      </c>
      <c r="N239" t="str">
        <f>IFERROR(_xlfn.XLOOKUP(tbl_HR_Data[[#This Row],[Gender]], Mapping[Gender _Discarded], Mapping[Gender_Correction]), PROPER(TRIM(tbl_HR_Data[[#This Row],[Gender]])))</f>
        <v>Female</v>
      </c>
      <c r="O239" t="str">
        <f>TRIM(tbl_HR_Data[[#This Row],[Position]])</f>
        <v>Analyst</v>
      </c>
      <c r="P239" t="str">
        <f>IFERROR(_xlfn.XLOOKUP(tbl_HR_Data[[#This Row],[Email]], Mapping[Email_Discarded], Mapping[Email_Correction]), LOWER(TRIM(tbl_HR_Data[[#This Row],[Email]])))</f>
        <v>email@example.com</v>
      </c>
      <c r="Q23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39" t="str" cm="1">
        <f t="array" ref="R239">_xlfn.REDUCE(Q239, {"-","/","_","\","(",")"}, _xlfn.LAMBDA(_xlpm.txt,_xlpm.itm, SUBSTITUTE(_xlpm.txt, _xlpm.itm, "")))</f>
        <v>Not Provided</v>
      </c>
      <c r="S239" s="3">
        <f>IFERROR(_xlfn.XLOOKUP(tbl_HR_Data[[#This Row],[Joining Date]], Mapping[Joining_Discarded], Mapping[Joining_Correction]), VALUE(tbl_HR_Data[[#This Row],[Joining Date]]))</f>
        <v>43477</v>
      </c>
      <c r="T239" t="str">
        <f>TEXT(tbl_HR_Data[[#This Row],[Joining Date]], "mmm")</f>
        <v>Jan</v>
      </c>
      <c r="U239" t="str">
        <f>TEXT(tbl_HR_Data[[#This Row],[Joining Date]], "ddd")</f>
        <v>Sat</v>
      </c>
    </row>
    <row r="240" spans="1:21" x14ac:dyDescent="0.35">
      <c r="A240" t="s">
        <v>104</v>
      </c>
      <c r="B240">
        <v>40</v>
      </c>
      <c r="C240">
        <v>65000</v>
      </c>
      <c r="D240" t="s">
        <v>11</v>
      </c>
      <c r="E240" t="s">
        <v>37</v>
      </c>
      <c r="F240" t="s">
        <v>20</v>
      </c>
      <c r="G240" s="3">
        <v>43477</v>
      </c>
      <c r="H240" t="str">
        <f>TEXT(tbl_HR_Data[[#This Row],[Joining Date]], "mmm")</f>
        <v>Jan</v>
      </c>
      <c r="I240" t="s">
        <v>93</v>
      </c>
      <c r="J240" t="s">
        <v>27</v>
      </c>
      <c r="K240" t="s">
        <v>22</v>
      </c>
      <c r="L240" t="s">
        <v>87</v>
      </c>
      <c r="M240">
        <f>IFERROR( _xlfn.XLOOKUP(TRIM(tbl_HR_Data[[#This Row],[Age]]),#REF!,#REF!), VALUE(TRIM(tbl_HR_Data[[#This Row],[Age]])))</f>
        <v>40</v>
      </c>
      <c r="N240" t="str">
        <f>IFERROR(_xlfn.XLOOKUP(tbl_HR_Data[[#This Row],[Gender]], Mapping[Gender _Discarded], Mapping[Gender_Correction]), PROPER(TRIM(tbl_HR_Data[[#This Row],[Gender]])))</f>
        <v>Male</v>
      </c>
      <c r="O240" t="str">
        <f>TRIM(tbl_HR_Data[[#This Row],[Position]])</f>
        <v>Director</v>
      </c>
      <c r="P240" t="str">
        <f>IFERROR(_xlfn.XLOOKUP(tbl_HR_Data[[#This Row],[Email]], Mapping[Email_Discarded], Mapping[Email_Correction]), LOWER(TRIM(tbl_HR_Data[[#This Row],[Email]])))</f>
        <v>user@domain.com</v>
      </c>
      <c r="Q24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40" t="str" cm="1">
        <f t="array" ref="R240">_xlfn.REDUCE(Q240, {"-","/","_","\","(",")"}, _xlfn.LAMBDA(_xlpm.txt,_xlpm.itm, SUBSTITUTE(_xlpm.txt, _xlpm.itm, "")))</f>
        <v>1234567890</v>
      </c>
      <c r="S240" s="3">
        <f>IFERROR(_xlfn.XLOOKUP(tbl_HR_Data[[#This Row],[Joining Date]], Mapping[Joining_Discarded], Mapping[Joining_Correction]), VALUE(tbl_HR_Data[[#This Row],[Joining Date]]))</f>
        <v>43477</v>
      </c>
      <c r="T240" t="str">
        <f>TEXT(tbl_HR_Data[[#This Row],[Joining Date]], "mmm")</f>
        <v>Jan</v>
      </c>
      <c r="U240" t="str">
        <f>TEXT(tbl_HR_Data[[#This Row],[Joining Date]], "ddd")</f>
        <v>Sat</v>
      </c>
    </row>
    <row r="241" spans="1:21" x14ac:dyDescent="0.35">
      <c r="A241" t="s">
        <v>105</v>
      </c>
      <c r="B241">
        <v>25</v>
      </c>
      <c r="C241">
        <v>60000</v>
      </c>
      <c r="D241" t="s">
        <v>18</v>
      </c>
      <c r="E241" t="s">
        <v>19</v>
      </c>
      <c r="F241" t="s">
        <v>20</v>
      </c>
      <c r="G241" s="3">
        <v>43477</v>
      </c>
      <c r="H241" t="str">
        <f>TEXT(tbl_HR_Data[[#This Row],[Joining Date]], "mmm")</f>
        <v>Jan</v>
      </c>
      <c r="I241" t="s">
        <v>93</v>
      </c>
      <c r="J241" t="s">
        <v>41</v>
      </c>
      <c r="K241" t="s">
        <v>32</v>
      </c>
      <c r="L241" t="s">
        <v>89</v>
      </c>
      <c r="M241">
        <f>IFERROR( _xlfn.XLOOKUP(TRIM(tbl_HR_Data[[#This Row],[Age]]),#REF!,#REF!), VALUE(TRIM(tbl_HR_Data[[#This Row],[Age]])))</f>
        <v>25</v>
      </c>
      <c r="N241" t="str">
        <f>IFERROR(_xlfn.XLOOKUP(tbl_HR_Data[[#This Row],[Gender]], Mapping[Gender _Discarded], Mapping[Gender_Correction]), PROPER(TRIM(tbl_HR_Data[[#This Row],[Gender]])))</f>
        <v>Female</v>
      </c>
      <c r="O241" t="str">
        <f>TRIM(tbl_HR_Data[[#This Row],[Position]])</f>
        <v>Director</v>
      </c>
      <c r="P241" t="str">
        <f>IFERROR(_xlfn.XLOOKUP(tbl_HR_Data[[#This Row],[Email]], Mapping[Email_Discarded], Mapping[Email_Correction]), LOWER(TRIM(tbl_HR_Data[[#This Row],[Email]])))</f>
        <v>name@company.org</v>
      </c>
      <c r="Q24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241" t="str" cm="1">
        <f t="array" ref="R241">_xlfn.REDUCE(Q241, {"-","/","_","\","(",")"}, _xlfn.LAMBDA(_xlpm.txt,_xlpm.itm, SUBSTITUTE(_xlpm.txt, _xlpm.itm, "")))</f>
        <v>5555555555</v>
      </c>
      <c r="S241" s="3">
        <f>IFERROR(_xlfn.XLOOKUP(tbl_HR_Data[[#This Row],[Joining Date]], Mapping[Joining_Discarded], Mapping[Joining_Correction]), VALUE(tbl_HR_Data[[#This Row],[Joining Date]]))</f>
        <v>43477</v>
      </c>
      <c r="T241" t="str">
        <f>TEXT(tbl_HR_Data[[#This Row],[Joining Date]], "mmm")</f>
        <v>Jan</v>
      </c>
      <c r="U241" t="str">
        <f>TEXT(tbl_HR_Data[[#This Row],[Joining Date]], "ddd")</f>
        <v>Sat</v>
      </c>
    </row>
    <row r="242" spans="1:21" x14ac:dyDescent="0.35">
      <c r="A242" t="s">
        <v>101</v>
      </c>
      <c r="B242">
        <v>35</v>
      </c>
      <c r="C242">
        <v>0</v>
      </c>
      <c r="D242" t="s">
        <v>18</v>
      </c>
      <c r="E242" t="s">
        <v>37</v>
      </c>
      <c r="F242" t="s">
        <v>13</v>
      </c>
      <c r="G242" s="3">
        <v>43477</v>
      </c>
      <c r="H242" t="str">
        <f>TEXT(tbl_HR_Data[[#This Row],[Joining Date]], "mmm")</f>
        <v>Jan</v>
      </c>
      <c r="I242" t="s">
        <v>93</v>
      </c>
      <c r="J242" t="s">
        <v>27</v>
      </c>
      <c r="K242" t="s">
        <v>22</v>
      </c>
      <c r="L242" t="s">
        <v>87</v>
      </c>
      <c r="M242">
        <f>IFERROR( _xlfn.XLOOKUP(TRIM(tbl_HR_Data[[#This Row],[Age]]),#REF!,#REF!), VALUE(TRIM(tbl_HR_Data[[#This Row],[Age]])))</f>
        <v>35</v>
      </c>
      <c r="N242" t="str">
        <f>IFERROR(_xlfn.XLOOKUP(tbl_HR_Data[[#This Row],[Gender]], Mapping[Gender _Discarded], Mapping[Gender_Correction]), PROPER(TRIM(tbl_HR_Data[[#This Row],[Gender]])))</f>
        <v>Female</v>
      </c>
      <c r="O242" t="str">
        <f>TRIM(tbl_HR_Data[[#This Row],[Position]])</f>
        <v>Manager</v>
      </c>
      <c r="P242" t="str">
        <f>IFERROR(_xlfn.XLOOKUP(tbl_HR_Data[[#This Row],[Email]], Mapping[Email_Discarded], Mapping[Email_Correction]), LOWER(TRIM(tbl_HR_Data[[#This Row],[Email]])))</f>
        <v>user@domain.com</v>
      </c>
      <c r="Q24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42" t="str" cm="1">
        <f t="array" ref="R242">_xlfn.REDUCE(Q242, {"-","/","_","\","(",")"}, _xlfn.LAMBDA(_xlpm.txt,_xlpm.itm, SUBSTITUTE(_xlpm.txt, _xlpm.itm, "")))</f>
        <v>1234567890</v>
      </c>
      <c r="S242" s="3">
        <f>IFERROR(_xlfn.XLOOKUP(tbl_HR_Data[[#This Row],[Joining Date]], Mapping[Joining_Discarded], Mapping[Joining_Correction]), VALUE(tbl_HR_Data[[#This Row],[Joining Date]]))</f>
        <v>43477</v>
      </c>
      <c r="T242" t="str">
        <f>TEXT(tbl_HR_Data[[#This Row],[Joining Date]], "mmm")</f>
        <v>Jan</v>
      </c>
      <c r="U242" t="str">
        <f>TEXT(tbl_HR_Data[[#This Row],[Joining Date]], "ddd")</f>
        <v>Sat</v>
      </c>
    </row>
    <row r="243" spans="1:21" x14ac:dyDescent="0.35">
      <c r="A243" t="s">
        <v>99</v>
      </c>
      <c r="B243">
        <v>0</v>
      </c>
      <c r="C243">
        <v>65000</v>
      </c>
      <c r="D243" t="s">
        <v>11</v>
      </c>
      <c r="E243" t="s">
        <v>26</v>
      </c>
      <c r="F243" t="s">
        <v>13</v>
      </c>
      <c r="G243" s="3">
        <v>43477</v>
      </c>
      <c r="H243" t="str">
        <f>TEXT(tbl_HR_Data[[#This Row],[Joining Date]], "mmm")</f>
        <v>Jan</v>
      </c>
      <c r="I243" t="s">
        <v>93</v>
      </c>
      <c r="J243" t="s">
        <v>41</v>
      </c>
      <c r="K243" t="s">
        <v>32</v>
      </c>
      <c r="L243" t="s">
        <v>89</v>
      </c>
      <c r="M243">
        <f>IFERROR( _xlfn.XLOOKUP(TRIM(tbl_HR_Data[[#This Row],[Age]]),#REF!,#REF!), VALUE(TRIM(tbl_HR_Data[[#This Row],[Age]])))</f>
        <v>0</v>
      </c>
      <c r="N243" t="str">
        <f>IFERROR(_xlfn.XLOOKUP(tbl_HR_Data[[#This Row],[Gender]], Mapping[Gender _Discarded], Mapping[Gender_Correction]), PROPER(TRIM(tbl_HR_Data[[#This Row],[Gender]])))</f>
        <v>Male</v>
      </c>
      <c r="O243" t="str">
        <f>TRIM(tbl_HR_Data[[#This Row],[Position]])</f>
        <v>Manager</v>
      </c>
      <c r="P243" t="str">
        <f>IFERROR(_xlfn.XLOOKUP(tbl_HR_Data[[#This Row],[Email]], Mapping[Email_Discarded], Mapping[Email_Correction]), LOWER(TRIM(tbl_HR_Data[[#This Row],[Email]])))</f>
        <v>name@company.org</v>
      </c>
      <c r="Q24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243" t="str" cm="1">
        <f t="array" ref="R243">_xlfn.REDUCE(Q243, {"-","/","_","\","(",")"}, _xlfn.LAMBDA(_xlpm.txt,_xlpm.itm, SUBSTITUTE(_xlpm.txt, _xlpm.itm, "")))</f>
        <v>5555555555</v>
      </c>
      <c r="S243" s="3">
        <f>IFERROR(_xlfn.XLOOKUP(tbl_HR_Data[[#This Row],[Joining Date]], Mapping[Joining_Discarded], Mapping[Joining_Correction]), VALUE(tbl_HR_Data[[#This Row],[Joining Date]]))</f>
        <v>43477</v>
      </c>
      <c r="T243" t="str">
        <f>TEXT(tbl_HR_Data[[#This Row],[Joining Date]], "mmm")</f>
        <v>Jan</v>
      </c>
      <c r="U243" t="str">
        <f>TEXT(tbl_HR_Data[[#This Row],[Joining Date]], "ddd")</f>
        <v>Sat</v>
      </c>
    </row>
    <row r="244" spans="1:21" x14ac:dyDescent="0.35">
      <c r="A244" t="s">
        <v>105</v>
      </c>
      <c r="B244">
        <v>35</v>
      </c>
      <c r="C244">
        <v>50000</v>
      </c>
      <c r="D244" t="s">
        <v>11</v>
      </c>
      <c r="E244" t="s">
        <v>19</v>
      </c>
      <c r="F244" t="s">
        <v>13</v>
      </c>
      <c r="G244" s="3">
        <v>43477</v>
      </c>
      <c r="H244" t="str">
        <f>TEXT(tbl_HR_Data[[#This Row],[Joining Date]], "mmm")</f>
        <v>Jan</v>
      </c>
      <c r="I244" t="s">
        <v>93</v>
      </c>
      <c r="J244" t="s">
        <v>14</v>
      </c>
      <c r="K244" t="s">
        <v>22</v>
      </c>
      <c r="L244" t="s">
        <v>77</v>
      </c>
      <c r="M244">
        <f>IFERROR( _xlfn.XLOOKUP(TRIM(tbl_HR_Data[[#This Row],[Age]]),#REF!,#REF!), VALUE(TRIM(tbl_HR_Data[[#This Row],[Age]])))</f>
        <v>35</v>
      </c>
      <c r="N244" t="str">
        <f>IFERROR(_xlfn.XLOOKUP(tbl_HR_Data[[#This Row],[Gender]], Mapping[Gender _Discarded], Mapping[Gender_Correction]), PROPER(TRIM(tbl_HR_Data[[#This Row],[Gender]])))</f>
        <v>Male</v>
      </c>
      <c r="O244" t="str">
        <f>TRIM(tbl_HR_Data[[#This Row],[Position]])</f>
        <v>Manager</v>
      </c>
      <c r="P244" t="str">
        <f>IFERROR(_xlfn.XLOOKUP(tbl_HR_Data[[#This Row],[Email]], Mapping[Email_Discarded], Mapping[Email_Correction]), LOWER(TRIM(tbl_HR_Data[[#This Row],[Email]])))</f>
        <v>user@domain.com</v>
      </c>
      <c r="Q24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44" t="str" cm="1">
        <f t="array" ref="R244">_xlfn.REDUCE(Q244, {"-","/","_","\","(",")"}, _xlfn.LAMBDA(_xlpm.txt,_xlpm.itm, SUBSTITUTE(_xlpm.txt, _xlpm.itm, "")))</f>
        <v>Not Provided</v>
      </c>
      <c r="S244" s="3">
        <f>IFERROR(_xlfn.XLOOKUP(tbl_HR_Data[[#This Row],[Joining Date]], Mapping[Joining_Discarded], Mapping[Joining_Correction]), VALUE(tbl_HR_Data[[#This Row],[Joining Date]]))</f>
        <v>43477</v>
      </c>
      <c r="T244" t="str">
        <f>TEXT(tbl_HR_Data[[#This Row],[Joining Date]], "mmm")</f>
        <v>Jan</v>
      </c>
      <c r="U244" t="str">
        <f>TEXT(tbl_HR_Data[[#This Row],[Joining Date]], "ddd")</f>
        <v>Sat</v>
      </c>
    </row>
    <row r="245" spans="1:21" x14ac:dyDescent="0.35">
      <c r="A245" t="s">
        <v>106</v>
      </c>
      <c r="B245">
        <v>40</v>
      </c>
      <c r="C245">
        <v>60000</v>
      </c>
      <c r="D245" t="s">
        <v>11</v>
      </c>
      <c r="E245" t="s">
        <v>37</v>
      </c>
      <c r="F245" t="s">
        <v>20</v>
      </c>
      <c r="G245" s="3">
        <v>43477</v>
      </c>
      <c r="H245" t="str">
        <f>TEXT(tbl_HR_Data[[#This Row],[Joining Date]], "mmm")</f>
        <v>Jan</v>
      </c>
      <c r="I245" t="s">
        <v>93</v>
      </c>
      <c r="J245" t="s">
        <v>31</v>
      </c>
      <c r="K245" t="s">
        <v>22</v>
      </c>
      <c r="L245" t="s">
        <v>87</v>
      </c>
      <c r="M245">
        <f>IFERROR( _xlfn.XLOOKUP(TRIM(tbl_HR_Data[[#This Row],[Age]]),#REF!,#REF!), VALUE(TRIM(tbl_HR_Data[[#This Row],[Age]])))</f>
        <v>40</v>
      </c>
      <c r="N245" t="str">
        <f>IFERROR(_xlfn.XLOOKUP(tbl_HR_Data[[#This Row],[Gender]], Mapping[Gender _Discarded], Mapping[Gender_Correction]), PROPER(TRIM(tbl_HR_Data[[#This Row],[Gender]])))</f>
        <v>Male</v>
      </c>
      <c r="O245" t="str">
        <f>TRIM(tbl_HR_Data[[#This Row],[Position]])</f>
        <v>Director</v>
      </c>
      <c r="P245" t="str">
        <f>IFERROR(_xlfn.XLOOKUP(tbl_HR_Data[[#This Row],[Email]], Mapping[Email_Discarded], Mapping[Email_Correction]), LOWER(TRIM(tbl_HR_Data[[#This Row],[Email]])))</f>
        <v>user@domain.com</v>
      </c>
      <c r="Q24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45" t="str" cm="1">
        <f t="array" ref="R245">_xlfn.REDUCE(Q245, {"-","/","_","\","(",")"}, _xlfn.LAMBDA(_xlpm.txt,_xlpm.itm, SUBSTITUTE(_xlpm.txt, _xlpm.itm, "")))</f>
        <v>1234567890</v>
      </c>
      <c r="S245" s="3">
        <f>IFERROR(_xlfn.XLOOKUP(tbl_HR_Data[[#This Row],[Joining Date]], Mapping[Joining_Discarded], Mapping[Joining_Correction]), VALUE(tbl_HR_Data[[#This Row],[Joining Date]]))</f>
        <v>43477</v>
      </c>
      <c r="T245" t="str">
        <f>TEXT(tbl_HR_Data[[#This Row],[Joining Date]], "mmm")</f>
        <v>Jan</v>
      </c>
      <c r="U245" t="str">
        <f>TEXT(tbl_HR_Data[[#This Row],[Joining Date]], "ddd")</f>
        <v>Sat</v>
      </c>
    </row>
    <row r="246" spans="1:21" x14ac:dyDescent="0.35">
      <c r="A246" t="s">
        <v>105</v>
      </c>
      <c r="B246">
        <v>25</v>
      </c>
      <c r="C246">
        <v>0</v>
      </c>
      <c r="D246" t="s">
        <v>11</v>
      </c>
      <c r="E246" t="s">
        <v>19</v>
      </c>
      <c r="F246" t="s">
        <v>20</v>
      </c>
      <c r="G246" s="3">
        <v>43477</v>
      </c>
      <c r="H246" t="str">
        <f>TEXT(tbl_HR_Data[[#This Row],[Joining Date]], "mmm")</f>
        <v>Jan</v>
      </c>
      <c r="I246" t="s">
        <v>93</v>
      </c>
      <c r="J246" t="s">
        <v>27</v>
      </c>
      <c r="K246" t="s">
        <v>15</v>
      </c>
      <c r="L246" t="s">
        <v>77</v>
      </c>
      <c r="M246">
        <f>IFERROR( _xlfn.XLOOKUP(TRIM(tbl_HR_Data[[#This Row],[Age]]),#REF!,#REF!), VALUE(TRIM(tbl_HR_Data[[#This Row],[Age]])))</f>
        <v>25</v>
      </c>
      <c r="N246" t="str">
        <f>IFERROR(_xlfn.XLOOKUP(tbl_HR_Data[[#This Row],[Gender]], Mapping[Gender _Discarded], Mapping[Gender_Correction]), PROPER(TRIM(tbl_HR_Data[[#This Row],[Gender]])))</f>
        <v>Male</v>
      </c>
      <c r="O246" t="str">
        <f>TRIM(tbl_HR_Data[[#This Row],[Position]])</f>
        <v>Director</v>
      </c>
      <c r="P246" t="str">
        <f>IFERROR(_xlfn.XLOOKUP(tbl_HR_Data[[#This Row],[Email]], Mapping[Email_Discarded], Mapping[Email_Correction]), LOWER(TRIM(tbl_HR_Data[[#This Row],[Email]])))</f>
        <v>email@example.com</v>
      </c>
      <c r="Q24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46" t="str" cm="1">
        <f t="array" ref="R246">_xlfn.REDUCE(Q246, {"-","/","_","\","(",")"}, _xlfn.LAMBDA(_xlpm.txt,_xlpm.itm, SUBSTITUTE(_xlpm.txt, _xlpm.itm, "")))</f>
        <v>Not Provided</v>
      </c>
      <c r="S246" s="3">
        <f>IFERROR(_xlfn.XLOOKUP(tbl_HR_Data[[#This Row],[Joining Date]], Mapping[Joining_Discarded], Mapping[Joining_Correction]), VALUE(tbl_HR_Data[[#This Row],[Joining Date]]))</f>
        <v>43477</v>
      </c>
      <c r="T246" t="str">
        <f>TEXT(tbl_HR_Data[[#This Row],[Joining Date]], "mmm")</f>
        <v>Jan</v>
      </c>
      <c r="U246" t="str">
        <f>TEXT(tbl_HR_Data[[#This Row],[Joining Date]], "ddd")</f>
        <v>Sat</v>
      </c>
    </row>
    <row r="247" spans="1:21" x14ac:dyDescent="0.35">
      <c r="A247" t="s">
        <v>102</v>
      </c>
      <c r="B247">
        <v>35</v>
      </c>
      <c r="C247">
        <v>50000</v>
      </c>
      <c r="D247" t="s">
        <v>36</v>
      </c>
      <c r="E247" t="s">
        <v>37</v>
      </c>
      <c r="F247" t="s">
        <v>13</v>
      </c>
      <c r="G247" s="3">
        <v>43477</v>
      </c>
      <c r="H247" t="str">
        <f>TEXT(tbl_HR_Data[[#This Row],[Joining Date]], "mmm")</f>
        <v>Jan</v>
      </c>
      <c r="I247" t="s">
        <v>93</v>
      </c>
      <c r="J247" t="s">
        <v>41</v>
      </c>
      <c r="K247" t="s">
        <v>22</v>
      </c>
      <c r="L247" t="s">
        <v>87</v>
      </c>
      <c r="M247">
        <f>IFERROR( _xlfn.XLOOKUP(TRIM(tbl_HR_Data[[#This Row],[Age]]),#REF!,#REF!), VALUE(TRIM(tbl_HR_Data[[#This Row],[Age]])))</f>
        <v>35</v>
      </c>
      <c r="N247" t="str">
        <f>IFERROR(_xlfn.XLOOKUP(tbl_HR_Data[[#This Row],[Gender]], Mapping[Gender _Discarded], Mapping[Gender_Correction]), PROPER(TRIM(tbl_HR_Data[[#This Row],[Gender]])))</f>
        <v>Other</v>
      </c>
      <c r="O247" t="str">
        <f>TRIM(tbl_HR_Data[[#This Row],[Position]])</f>
        <v>Manager</v>
      </c>
      <c r="P247" t="str">
        <f>IFERROR(_xlfn.XLOOKUP(tbl_HR_Data[[#This Row],[Email]], Mapping[Email_Discarded], Mapping[Email_Correction]), LOWER(TRIM(tbl_HR_Data[[#This Row],[Email]])))</f>
        <v>user@domain.com</v>
      </c>
      <c r="Q24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47" t="str" cm="1">
        <f t="array" ref="R247">_xlfn.REDUCE(Q247, {"-","/","_","\","(",")"}, _xlfn.LAMBDA(_xlpm.txt,_xlpm.itm, SUBSTITUTE(_xlpm.txt, _xlpm.itm, "")))</f>
        <v>1234567890</v>
      </c>
      <c r="S247" s="3">
        <f>IFERROR(_xlfn.XLOOKUP(tbl_HR_Data[[#This Row],[Joining Date]], Mapping[Joining_Discarded], Mapping[Joining_Correction]), VALUE(tbl_HR_Data[[#This Row],[Joining Date]]))</f>
        <v>43477</v>
      </c>
      <c r="T247" t="str">
        <f>TEXT(tbl_HR_Data[[#This Row],[Joining Date]], "mmm")</f>
        <v>Jan</v>
      </c>
      <c r="U247" t="str">
        <f>TEXT(tbl_HR_Data[[#This Row],[Joining Date]], "ddd")</f>
        <v>Sat</v>
      </c>
    </row>
    <row r="248" spans="1:21" x14ac:dyDescent="0.35">
      <c r="A248" t="s">
        <v>100</v>
      </c>
      <c r="B248">
        <v>40</v>
      </c>
      <c r="C248">
        <v>70000</v>
      </c>
      <c r="D248" t="s">
        <v>18</v>
      </c>
      <c r="E248" t="s">
        <v>26</v>
      </c>
      <c r="F248" t="s">
        <v>13</v>
      </c>
      <c r="G248" s="3">
        <v>43477</v>
      </c>
      <c r="H248" t="str">
        <f>TEXT(tbl_HR_Data[[#This Row],[Joining Date]], "mmm")</f>
        <v>Jan</v>
      </c>
      <c r="I248" t="s">
        <v>93</v>
      </c>
      <c r="J248" t="s">
        <v>27</v>
      </c>
      <c r="K248" t="s">
        <v>77</v>
      </c>
      <c r="L248" t="s">
        <v>89</v>
      </c>
      <c r="M248">
        <f>IFERROR( _xlfn.XLOOKUP(TRIM(tbl_HR_Data[[#This Row],[Age]]),#REF!,#REF!), VALUE(TRIM(tbl_HR_Data[[#This Row],[Age]])))</f>
        <v>40</v>
      </c>
      <c r="N248" t="str">
        <f>IFERROR(_xlfn.XLOOKUP(tbl_HR_Data[[#This Row],[Gender]], Mapping[Gender _Discarded], Mapping[Gender_Correction]), PROPER(TRIM(tbl_HR_Data[[#This Row],[Gender]])))</f>
        <v>Female</v>
      </c>
      <c r="O248" t="str">
        <f>TRIM(tbl_HR_Data[[#This Row],[Position]])</f>
        <v>Manager</v>
      </c>
      <c r="P248" t="str">
        <f>IFERROR(_xlfn.XLOOKUP(tbl_HR_Data[[#This Row],[Email]], Mapping[Email_Discarded], Mapping[Email_Correction]), LOWER(TRIM(tbl_HR_Data[[#This Row],[Email]])))</f>
        <v>not provided</v>
      </c>
      <c r="Q24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248" t="str" cm="1">
        <f t="array" ref="R248">_xlfn.REDUCE(Q248, {"-","/","_","\","(",")"}, _xlfn.LAMBDA(_xlpm.txt,_xlpm.itm, SUBSTITUTE(_xlpm.txt, _xlpm.itm, "")))</f>
        <v>5555555555</v>
      </c>
      <c r="S248" s="3">
        <f>IFERROR(_xlfn.XLOOKUP(tbl_HR_Data[[#This Row],[Joining Date]], Mapping[Joining_Discarded], Mapping[Joining_Correction]), VALUE(tbl_HR_Data[[#This Row],[Joining Date]]))</f>
        <v>43477</v>
      </c>
      <c r="T248" t="str">
        <f>TEXT(tbl_HR_Data[[#This Row],[Joining Date]], "mmm")</f>
        <v>Jan</v>
      </c>
      <c r="U248" t="str">
        <f>TEXT(tbl_HR_Data[[#This Row],[Joining Date]], "ddd")</f>
        <v>Sat</v>
      </c>
    </row>
    <row r="249" spans="1:21" x14ac:dyDescent="0.35">
      <c r="A249" t="s">
        <v>102</v>
      </c>
      <c r="B249">
        <v>0</v>
      </c>
      <c r="C249">
        <v>65000</v>
      </c>
      <c r="D249" t="s">
        <v>11</v>
      </c>
      <c r="E249" t="s">
        <v>37</v>
      </c>
      <c r="F249" t="s">
        <v>44</v>
      </c>
      <c r="G249" s="3">
        <v>43477</v>
      </c>
      <c r="H249" t="str">
        <f>TEXT(tbl_HR_Data[[#This Row],[Joining Date]], "mmm")</f>
        <v>Jan</v>
      </c>
      <c r="I249" t="s">
        <v>93</v>
      </c>
      <c r="J249" t="s">
        <v>21</v>
      </c>
      <c r="K249" t="s">
        <v>77</v>
      </c>
      <c r="L249" t="s">
        <v>77</v>
      </c>
      <c r="M249">
        <f>IFERROR( _xlfn.XLOOKUP(TRIM(tbl_HR_Data[[#This Row],[Age]]),#REF!,#REF!), VALUE(TRIM(tbl_HR_Data[[#This Row],[Age]])))</f>
        <v>0</v>
      </c>
      <c r="N249" t="str">
        <f>IFERROR(_xlfn.XLOOKUP(tbl_HR_Data[[#This Row],[Gender]], Mapping[Gender _Discarded], Mapping[Gender_Correction]), PROPER(TRIM(tbl_HR_Data[[#This Row],[Gender]])))</f>
        <v>Male</v>
      </c>
      <c r="O249" t="str">
        <f>TRIM(tbl_HR_Data[[#This Row],[Position]])</f>
        <v>Analyst</v>
      </c>
      <c r="P249" t="str">
        <f>IFERROR(_xlfn.XLOOKUP(tbl_HR_Data[[#This Row],[Email]], Mapping[Email_Discarded], Mapping[Email_Correction]), LOWER(TRIM(tbl_HR_Data[[#This Row],[Email]])))</f>
        <v>not provided</v>
      </c>
      <c r="Q24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49" t="str" cm="1">
        <f t="array" ref="R249">_xlfn.REDUCE(Q249, {"-","/","_","\","(",")"}, _xlfn.LAMBDA(_xlpm.txt,_xlpm.itm, SUBSTITUTE(_xlpm.txt, _xlpm.itm, "")))</f>
        <v>Not Provided</v>
      </c>
      <c r="S249" s="3">
        <f>IFERROR(_xlfn.XLOOKUP(tbl_HR_Data[[#This Row],[Joining Date]], Mapping[Joining_Discarded], Mapping[Joining_Correction]), VALUE(tbl_HR_Data[[#This Row],[Joining Date]]))</f>
        <v>43477</v>
      </c>
      <c r="T249" t="str">
        <f>TEXT(tbl_HR_Data[[#This Row],[Joining Date]], "mmm")</f>
        <v>Jan</v>
      </c>
      <c r="U249" t="str">
        <f>TEXT(tbl_HR_Data[[#This Row],[Joining Date]], "ddd")</f>
        <v>Sat</v>
      </c>
    </row>
    <row r="250" spans="1:21" x14ac:dyDescent="0.35">
      <c r="A250" t="s">
        <v>100</v>
      </c>
      <c r="B250">
        <v>0</v>
      </c>
      <c r="C250">
        <v>50000</v>
      </c>
      <c r="D250" t="s">
        <v>11</v>
      </c>
      <c r="E250" t="s">
        <v>37</v>
      </c>
      <c r="F250" t="s">
        <v>39</v>
      </c>
      <c r="G250" s="3">
        <v>43477</v>
      </c>
      <c r="H250" t="str">
        <f>TEXT(tbl_HR_Data[[#This Row],[Joining Date]], "mmm")</f>
        <v>Jan</v>
      </c>
      <c r="I250" t="s">
        <v>93</v>
      </c>
      <c r="J250" t="s">
        <v>41</v>
      </c>
      <c r="K250" t="s">
        <v>77</v>
      </c>
      <c r="L250" t="s">
        <v>88</v>
      </c>
      <c r="M250">
        <f>IFERROR( _xlfn.XLOOKUP(TRIM(tbl_HR_Data[[#This Row],[Age]]),#REF!,#REF!), VALUE(TRIM(tbl_HR_Data[[#This Row],[Age]])))</f>
        <v>0</v>
      </c>
      <c r="N250" t="str">
        <f>IFERROR(_xlfn.XLOOKUP(tbl_HR_Data[[#This Row],[Gender]], Mapping[Gender _Discarded], Mapping[Gender_Correction]), PROPER(TRIM(tbl_HR_Data[[#This Row],[Gender]])))</f>
        <v>Male</v>
      </c>
      <c r="O250" t="str">
        <f>TRIM(tbl_HR_Data[[#This Row],[Position]])</f>
        <v>Clerk</v>
      </c>
      <c r="P250" t="str">
        <f>IFERROR(_xlfn.XLOOKUP(tbl_HR_Data[[#This Row],[Email]], Mapping[Email_Discarded], Mapping[Email_Correction]), LOWER(TRIM(tbl_HR_Data[[#This Row],[Email]])))</f>
        <v>not provided</v>
      </c>
      <c r="Q25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250" t="str" cm="1">
        <f t="array" ref="R250">_xlfn.REDUCE(Q250, {"-","/","_","\","(",")"}, _xlfn.LAMBDA(_xlpm.txt,_xlpm.itm, SUBSTITUTE(_xlpm.txt, _xlpm.itm, "")))</f>
        <v>0987654321</v>
      </c>
      <c r="S250" s="3">
        <f>IFERROR(_xlfn.XLOOKUP(tbl_HR_Data[[#This Row],[Joining Date]], Mapping[Joining_Discarded], Mapping[Joining_Correction]), VALUE(tbl_HR_Data[[#This Row],[Joining Date]]))</f>
        <v>43477</v>
      </c>
      <c r="T250" t="str">
        <f>TEXT(tbl_HR_Data[[#This Row],[Joining Date]], "mmm")</f>
        <v>Jan</v>
      </c>
      <c r="U250" t="str">
        <f>TEXT(tbl_HR_Data[[#This Row],[Joining Date]], "ddd")</f>
        <v>Sat</v>
      </c>
    </row>
    <row r="251" spans="1:21" x14ac:dyDescent="0.35">
      <c r="A251" t="s">
        <v>105</v>
      </c>
      <c r="B251">
        <v>30</v>
      </c>
      <c r="C251">
        <v>65000</v>
      </c>
      <c r="D251" t="s">
        <v>18</v>
      </c>
      <c r="E251" t="s">
        <v>30</v>
      </c>
      <c r="F251" t="s">
        <v>39</v>
      </c>
      <c r="G251" s="3">
        <v>43477</v>
      </c>
      <c r="H251" t="str">
        <f>TEXT(tbl_HR_Data[[#This Row],[Joining Date]], "mmm")</f>
        <v>Jan</v>
      </c>
      <c r="I251" t="s">
        <v>93</v>
      </c>
      <c r="J251" t="s">
        <v>27</v>
      </c>
      <c r="K251" t="s">
        <v>32</v>
      </c>
      <c r="L251" t="s">
        <v>77</v>
      </c>
      <c r="M251">
        <f>IFERROR( _xlfn.XLOOKUP(TRIM(tbl_HR_Data[[#This Row],[Age]]),#REF!,#REF!), VALUE(TRIM(tbl_HR_Data[[#This Row],[Age]])))</f>
        <v>30</v>
      </c>
      <c r="N251" t="str">
        <f>IFERROR(_xlfn.XLOOKUP(tbl_HR_Data[[#This Row],[Gender]], Mapping[Gender _Discarded], Mapping[Gender_Correction]), PROPER(TRIM(tbl_HR_Data[[#This Row],[Gender]])))</f>
        <v>Female</v>
      </c>
      <c r="O251" t="str">
        <f>TRIM(tbl_HR_Data[[#This Row],[Position]])</f>
        <v>Clerk</v>
      </c>
      <c r="P251" t="str">
        <f>IFERROR(_xlfn.XLOOKUP(tbl_HR_Data[[#This Row],[Email]], Mapping[Email_Discarded], Mapping[Email_Correction]), LOWER(TRIM(tbl_HR_Data[[#This Row],[Email]])))</f>
        <v>name@company.org</v>
      </c>
      <c r="Q25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51" t="str" cm="1">
        <f t="array" ref="R251">_xlfn.REDUCE(Q251, {"-","/","_","\","(",")"}, _xlfn.LAMBDA(_xlpm.txt,_xlpm.itm, SUBSTITUTE(_xlpm.txt, _xlpm.itm, "")))</f>
        <v>Not Provided</v>
      </c>
      <c r="S251" s="3">
        <f>IFERROR(_xlfn.XLOOKUP(tbl_HR_Data[[#This Row],[Joining Date]], Mapping[Joining_Discarded], Mapping[Joining_Correction]), VALUE(tbl_HR_Data[[#This Row],[Joining Date]]))</f>
        <v>43477</v>
      </c>
      <c r="T251" t="str">
        <f>TEXT(tbl_HR_Data[[#This Row],[Joining Date]], "mmm")</f>
        <v>Jan</v>
      </c>
      <c r="U251" t="str">
        <f>TEXT(tbl_HR_Data[[#This Row],[Joining Date]], "ddd")</f>
        <v>Sat</v>
      </c>
    </row>
    <row r="252" spans="1:21" x14ac:dyDescent="0.35">
      <c r="A252" t="s">
        <v>106</v>
      </c>
      <c r="B252">
        <v>50</v>
      </c>
      <c r="C252">
        <v>55000</v>
      </c>
      <c r="D252" t="s">
        <v>36</v>
      </c>
      <c r="E252" t="s">
        <v>37</v>
      </c>
      <c r="F252" t="s">
        <v>39</v>
      </c>
      <c r="G252" s="3">
        <v>43477</v>
      </c>
      <c r="H252" t="str">
        <f>TEXT(tbl_HR_Data[[#This Row],[Joining Date]], "mmm")</f>
        <v>Jan</v>
      </c>
      <c r="I252" t="s">
        <v>93</v>
      </c>
      <c r="J252" t="s">
        <v>14</v>
      </c>
      <c r="K252" t="s">
        <v>22</v>
      </c>
      <c r="L252" t="s">
        <v>77</v>
      </c>
      <c r="M252">
        <f>IFERROR( _xlfn.XLOOKUP(TRIM(tbl_HR_Data[[#This Row],[Age]]),#REF!,#REF!), VALUE(TRIM(tbl_HR_Data[[#This Row],[Age]])))</f>
        <v>50</v>
      </c>
      <c r="N252" t="str">
        <f>IFERROR(_xlfn.XLOOKUP(tbl_HR_Data[[#This Row],[Gender]], Mapping[Gender _Discarded], Mapping[Gender_Correction]), PROPER(TRIM(tbl_HR_Data[[#This Row],[Gender]])))</f>
        <v>Other</v>
      </c>
      <c r="O252" t="str">
        <f>TRIM(tbl_HR_Data[[#This Row],[Position]])</f>
        <v>Clerk</v>
      </c>
      <c r="P252" t="str">
        <f>IFERROR(_xlfn.XLOOKUP(tbl_HR_Data[[#This Row],[Email]], Mapping[Email_Discarded], Mapping[Email_Correction]), LOWER(TRIM(tbl_HR_Data[[#This Row],[Email]])))</f>
        <v>user@domain.com</v>
      </c>
      <c r="Q25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52" t="str" cm="1">
        <f t="array" ref="R252">_xlfn.REDUCE(Q252, {"-","/","_","\","(",")"}, _xlfn.LAMBDA(_xlpm.txt,_xlpm.itm, SUBSTITUTE(_xlpm.txt, _xlpm.itm, "")))</f>
        <v>Not Provided</v>
      </c>
      <c r="S252" s="3">
        <f>IFERROR(_xlfn.XLOOKUP(tbl_HR_Data[[#This Row],[Joining Date]], Mapping[Joining_Discarded], Mapping[Joining_Correction]), VALUE(tbl_HR_Data[[#This Row],[Joining Date]]))</f>
        <v>43477</v>
      </c>
      <c r="T252" t="str">
        <f>TEXT(tbl_HR_Data[[#This Row],[Joining Date]], "mmm")</f>
        <v>Jan</v>
      </c>
      <c r="U252" t="str">
        <f>TEXT(tbl_HR_Data[[#This Row],[Joining Date]], "ddd")</f>
        <v>Sat</v>
      </c>
    </row>
    <row r="253" spans="1:21" x14ac:dyDescent="0.35">
      <c r="A253" t="s">
        <v>103</v>
      </c>
      <c r="B253">
        <v>50</v>
      </c>
      <c r="C253">
        <v>0</v>
      </c>
      <c r="D253" t="s">
        <v>18</v>
      </c>
      <c r="E253" t="s">
        <v>30</v>
      </c>
      <c r="F253" t="s">
        <v>44</v>
      </c>
      <c r="G253" s="3">
        <v>43477</v>
      </c>
      <c r="H253" t="str">
        <f>TEXT(tbl_HR_Data[[#This Row],[Joining Date]], "mmm")</f>
        <v>Jan</v>
      </c>
      <c r="I253" t="s">
        <v>93</v>
      </c>
      <c r="J253" t="s">
        <v>31</v>
      </c>
      <c r="K253" t="s">
        <v>22</v>
      </c>
      <c r="L253" t="s">
        <v>88</v>
      </c>
      <c r="M253">
        <f>IFERROR( _xlfn.XLOOKUP(TRIM(tbl_HR_Data[[#This Row],[Age]]),#REF!,#REF!), VALUE(TRIM(tbl_HR_Data[[#This Row],[Age]])))</f>
        <v>50</v>
      </c>
      <c r="N253" t="str">
        <f>IFERROR(_xlfn.XLOOKUP(tbl_HR_Data[[#This Row],[Gender]], Mapping[Gender _Discarded], Mapping[Gender_Correction]), PROPER(TRIM(tbl_HR_Data[[#This Row],[Gender]])))</f>
        <v>Female</v>
      </c>
      <c r="O253" t="str">
        <f>TRIM(tbl_HR_Data[[#This Row],[Position]])</f>
        <v>Analyst</v>
      </c>
      <c r="P253" t="str">
        <f>IFERROR(_xlfn.XLOOKUP(tbl_HR_Data[[#This Row],[Email]], Mapping[Email_Discarded], Mapping[Email_Correction]), LOWER(TRIM(tbl_HR_Data[[#This Row],[Email]])))</f>
        <v>user@domain.com</v>
      </c>
      <c r="Q25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253" t="str" cm="1">
        <f t="array" ref="R253">_xlfn.REDUCE(Q253, {"-","/","_","\","(",")"}, _xlfn.LAMBDA(_xlpm.txt,_xlpm.itm, SUBSTITUTE(_xlpm.txt, _xlpm.itm, "")))</f>
        <v>0987654321</v>
      </c>
      <c r="S253" s="3">
        <f>IFERROR(_xlfn.XLOOKUP(tbl_HR_Data[[#This Row],[Joining Date]], Mapping[Joining_Discarded], Mapping[Joining_Correction]), VALUE(tbl_HR_Data[[#This Row],[Joining Date]]))</f>
        <v>43477</v>
      </c>
      <c r="T253" t="str">
        <f>TEXT(tbl_HR_Data[[#This Row],[Joining Date]], "mmm")</f>
        <v>Jan</v>
      </c>
      <c r="U253" t="str">
        <f>TEXT(tbl_HR_Data[[#This Row],[Joining Date]], "ddd")</f>
        <v>Sat</v>
      </c>
    </row>
    <row r="254" spans="1:21" x14ac:dyDescent="0.35">
      <c r="A254" t="s">
        <v>106</v>
      </c>
      <c r="B254">
        <v>0</v>
      </c>
      <c r="C254">
        <v>65000</v>
      </c>
      <c r="D254" t="s">
        <v>18</v>
      </c>
      <c r="E254" t="s">
        <v>26</v>
      </c>
      <c r="F254" t="s">
        <v>39</v>
      </c>
      <c r="G254" s="3">
        <v>43477</v>
      </c>
      <c r="H254" t="str">
        <f>TEXT(tbl_HR_Data[[#This Row],[Joining Date]], "mmm")</f>
        <v>Jan</v>
      </c>
      <c r="I254" t="s">
        <v>93</v>
      </c>
      <c r="J254" t="s">
        <v>21</v>
      </c>
      <c r="K254" t="s">
        <v>77</v>
      </c>
      <c r="L254" t="s">
        <v>87</v>
      </c>
      <c r="M254">
        <f>IFERROR( _xlfn.XLOOKUP(TRIM(tbl_HR_Data[[#This Row],[Age]]),#REF!,#REF!), VALUE(TRIM(tbl_HR_Data[[#This Row],[Age]])))</f>
        <v>0</v>
      </c>
      <c r="N254" t="str">
        <f>IFERROR(_xlfn.XLOOKUP(tbl_HR_Data[[#This Row],[Gender]], Mapping[Gender _Discarded], Mapping[Gender_Correction]), PROPER(TRIM(tbl_HR_Data[[#This Row],[Gender]])))</f>
        <v>Female</v>
      </c>
      <c r="O254" t="str">
        <f>TRIM(tbl_HR_Data[[#This Row],[Position]])</f>
        <v>Clerk</v>
      </c>
      <c r="P254" t="str">
        <f>IFERROR(_xlfn.XLOOKUP(tbl_HR_Data[[#This Row],[Email]], Mapping[Email_Discarded], Mapping[Email_Correction]), LOWER(TRIM(tbl_HR_Data[[#This Row],[Email]])))</f>
        <v>not provided</v>
      </c>
      <c r="Q25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54" t="str" cm="1">
        <f t="array" ref="R254">_xlfn.REDUCE(Q254, {"-","/","_","\","(",")"}, _xlfn.LAMBDA(_xlpm.txt,_xlpm.itm, SUBSTITUTE(_xlpm.txt, _xlpm.itm, "")))</f>
        <v>1234567890</v>
      </c>
      <c r="S254" s="3">
        <f>IFERROR(_xlfn.XLOOKUP(tbl_HR_Data[[#This Row],[Joining Date]], Mapping[Joining_Discarded], Mapping[Joining_Correction]), VALUE(tbl_HR_Data[[#This Row],[Joining Date]]))</f>
        <v>43477</v>
      </c>
      <c r="T254" t="str">
        <f>TEXT(tbl_HR_Data[[#This Row],[Joining Date]], "mmm")</f>
        <v>Jan</v>
      </c>
      <c r="U254" t="str">
        <f>TEXT(tbl_HR_Data[[#This Row],[Joining Date]], "ddd")</f>
        <v>Sat</v>
      </c>
    </row>
    <row r="255" spans="1:21" x14ac:dyDescent="0.35">
      <c r="A255" t="s">
        <v>99</v>
      </c>
      <c r="B255">
        <v>35</v>
      </c>
      <c r="C255">
        <v>50000</v>
      </c>
      <c r="D255" t="s">
        <v>11</v>
      </c>
      <c r="E255" t="s">
        <v>30</v>
      </c>
      <c r="F255" t="s">
        <v>44</v>
      </c>
      <c r="G255" s="3">
        <v>43477</v>
      </c>
      <c r="H255" t="str">
        <f>TEXT(tbl_HR_Data[[#This Row],[Joining Date]], "mmm")</f>
        <v>Jan</v>
      </c>
      <c r="I255" t="s">
        <v>93</v>
      </c>
      <c r="J255" t="s">
        <v>14</v>
      </c>
      <c r="K255" t="s">
        <v>77</v>
      </c>
      <c r="L255" t="s">
        <v>87</v>
      </c>
      <c r="M255">
        <f>IFERROR( _xlfn.XLOOKUP(TRIM(tbl_HR_Data[[#This Row],[Age]]),#REF!,#REF!), VALUE(TRIM(tbl_HR_Data[[#This Row],[Age]])))</f>
        <v>35</v>
      </c>
      <c r="N255" t="str">
        <f>IFERROR(_xlfn.XLOOKUP(tbl_HR_Data[[#This Row],[Gender]], Mapping[Gender _Discarded], Mapping[Gender_Correction]), PROPER(TRIM(tbl_HR_Data[[#This Row],[Gender]])))</f>
        <v>Male</v>
      </c>
      <c r="O255" t="str">
        <f>TRIM(tbl_HR_Data[[#This Row],[Position]])</f>
        <v>Analyst</v>
      </c>
      <c r="P255" t="str">
        <f>IFERROR(_xlfn.XLOOKUP(tbl_HR_Data[[#This Row],[Email]], Mapping[Email_Discarded], Mapping[Email_Correction]), LOWER(TRIM(tbl_HR_Data[[#This Row],[Email]])))</f>
        <v>not provided</v>
      </c>
      <c r="Q25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55" t="str" cm="1">
        <f t="array" ref="R255">_xlfn.REDUCE(Q255, {"-","/","_","\","(",")"}, _xlfn.LAMBDA(_xlpm.txt,_xlpm.itm, SUBSTITUTE(_xlpm.txt, _xlpm.itm, "")))</f>
        <v>1234567890</v>
      </c>
      <c r="S255" s="3">
        <f>IFERROR(_xlfn.XLOOKUP(tbl_HR_Data[[#This Row],[Joining Date]], Mapping[Joining_Discarded], Mapping[Joining_Correction]), VALUE(tbl_HR_Data[[#This Row],[Joining Date]]))</f>
        <v>43477</v>
      </c>
      <c r="T255" t="str">
        <f>TEXT(tbl_HR_Data[[#This Row],[Joining Date]], "mmm")</f>
        <v>Jan</v>
      </c>
      <c r="U255" t="str">
        <f>TEXT(tbl_HR_Data[[#This Row],[Joining Date]], "ddd")</f>
        <v>Sat</v>
      </c>
    </row>
    <row r="256" spans="1:21" x14ac:dyDescent="0.35">
      <c r="A256" t="s">
        <v>107</v>
      </c>
      <c r="B256">
        <v>50</v>
      </c>
      <c r="C256">
        <v>60000</v>
      </c>
      <c r="D256" t="s">
        <v>36</v>
      </c>
      <c r="E256" t="s">
        <v>12</v>
      </c>
      <c r="F256" t="s">
        <v>20</v>
      </c>
      <c r="G256" s="3">
        <v>43477</v>
      </c>
      <c r="H256" t="str">
        <f>TEXT(tbl_HR_Data[[#This Row],[Joining Date]], "mmm")</f>
        <v>Jan</v>
      </c>
      <c r="I256" t="s">
        <v>93</v>
      </c>
      <c r="J256" t="s">
        <v>21</v>
      </c>
      <c r="K256" t="s">
        <v>15</v>
      </c>
      <c r="L256" t="s">
        <v>88</v>
      </c>
      <c r="M256">
        <f>IFERROR( _xlfn.XLOOKUP(TRIM(tbl_HR_Data[[#This Row],[Age]]),#REF!,#REF!), VALUE(TRIM(tbl_HR_Data[[#This Row],[Age]])))</f>
        <v>50</v>
      </c>
      <c r="N256" t="str">
        <f>IFERROR(_xlfn.XLOOKUP(tbl_HR_Data[[#This Row],[Gender]], Mapping[Gender _Discarded], Mapping[Gender_Correction]), PROPER(TRIM(tbl_HR_Data[[#This Row],[Gender]])))</f>
        <v>Other</v>
      </c>
      <c r="O256" t="str">
        <f>TRIM(tbl_HR_Data[[#This Row],[Position]])</f>
        <v>Director</v>
      </c>
      <c r="P256" t="str">
        <f>IFERROR(_xlfn.XLOOKUP(tbl_HR_Data[[#This Row],[Email]], Mapping[Email_Discarded], Mapping[Email_Correction]), LOWER(TRIM(tbl_HR_Data[[#This Row],[Email]])))</f>
        <v>email@example.com</v>
      </c>
      <c r="Q25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256" t="str" cm="1">
        <f t="array" ref="R256">_xlfn.REDUCE(Q256, {"-","/","_","\","(",")"}, _xlfn.LAMBDA(_xlpm.txt,_xlpm.itm, SUBSTITUTE(_xlpm.txt, _xlpm.itm, "")))</f>
        <v>0987654321</v>
      </c>
      <c r="S256" s="3">
        <f>IFERROR(_xlfn.XLOOKUP(tbl_HR_Data[[#This Row],[Joining Date]], Mapping[Joining_Discarded], Mapping[Joining_Correction]), VALUE(tbl_HR_Data[[#This Row],[Joining Date]]))</f>
        <v>43477</v>
      </c>
      <c r="T256" t="str">
        <f>TEXT(tbl_HR_Data[[#This Row],[Joining Date]], "mmm")</f>
        <v>Jan</v>
      </c>
      <c r="U256" t="str">
        <f>TEXT(tbl_HR_Data[[#This Row],[Joining Date]], "ddd")</f>
        <v>Sat</v>
      </c>
    </row>
    <row r="257" spans="1:21" x14ac:dyDescent="0.35">
      <c r="A257" t="s">
        <v>101</v>
      </c>
      <c r="B257">
        <v>35</v>
      </c>
      <c r="C257">
        <v>50000</v>
      </c>
      <c r="D257" t="s">
        <v>18</v>
      </c>
      <c r="E257" t="s">
        <v>12</v>
      </c>
      <c r="F257" t="s">
        <v>20</v>
      </c>
      <c r="G257" s="3">
        <v>43477</v>
      </c>
      <c r="H257" t="str">
        <f>TEXT(tbl_HR_Data[[#This Row],[Joining Date]], "mmm")</f>
        <v>Jan</v>
      </c>
      <c r="I257" t="s">
        <v>93</v>
      </c>
      <c r="J257" t="s">
        <v>14</v>
      </c>
      <c r="K257" t="s">
        <v>32</v>
      </c>
      <c r="L257" t="s">
        <v>88</v>
      </c>
      <c r="M257">
        <f>IFERROR( _xlfn.XLOOKUP(TRIM(tbl_HR_Data[[#This Row],[Age]]),#REF!,#REF!), VALUE(TRIM(tbl_HR_Data[[#This Row],[Age]])))</f>
        <v>35</v>
      </c>
      <c r="N257" t="str">
        <f>IFERROR(_xlfn.XLOOKUP(tbl_HR_Data[[#This Row],[Gender]], Mapping[Gender _Discarded], Mapping[Gender_Correction]), PROPER(TRIM(tbl_HR_Data[[#This Row],[Gender]])))</f>
        <v>Female</v>
      </c>
      <c r="O257" t="str">
        <f>TRIM(tbl_HR_Data[[#This Row],[Position]])</f>
        <v>Director</v>
      </c>
      <c r="P257" t="str">
        <f>IFERROR(_xlfn.XLOOKUP(tbl_HR_Data[[#This Row],[Email]], Mapping[Email_Discarded], Mapping[Email_Correction]), LOWER(TRIM(tbl_HR_Data[[#This Row],[Email]])))</f>
        <v>name@company.org</v>
      </c>
      <c r="Q25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257" t="str" cm="1">
        <f t="array" ref="R257">_xlfn.REDUCE(Q257, {"-","/","_","\","(",")"}, _xlfn.LAMBDA(_xlpm.txt,_xlpm.itm, SUBSTITUTE(_xlpm.txt, _xlpm.itm, "")))</f>
        <v>0987654321</v>
      </c>
      <c r="S257" s="3">
        <f>IFERROR(_xlfn.XLOOKUP(tbl_HR_Data[[#This Row],[Joining Date]], Mapping[Joining_Discarded], Mapping[Joining_Correction]), VALUE(tbl_HR_Data[[#This Row],[Joining Date]]))</f>
        <v>43477</v>
      </c>
      <c r="T257" t="str">
        <f>TEXT(tbl_HR_Data[[#This Row],[Joining Date]], "mmm")</f>
        <v>Jan</v>
      </c>
      <c r="U257" t="str">
        <f>TEXT(tbl_HR_Data[[#This Row],[Joining Date]], "ddd")</f>
        <v>Sat</v>
      </c>
    </row>
    <row r="258" spans="1:21" x14ac:dyDescent="0.35">
      <c r="A258" t="s">
        <v>108</v>
      </c>
      <c r="B258">
        <v>40</v>
      </c>
      <c r="C258">
        <v>55000</v>
      </c>
      <c r="D258" t="s">
        <v>36</v>
      </c>
      <c r="E258" t="s">
        <v>19</v>
      </c>
      <c r="F258" t="s">
        <v>39</v>
      </c>
      <c r="G258" s="3">
        <v>43477</v>
      </c>
      <c r="H258" t="str">
        <f>TEXT(tbl_HR_Data[[#This Row],[Joining Date]], "mmm")</f>
        <v>Jan</v>
      </c>
      <c r="I258" t="s">
        <v>93</v>
      </c>
      <c r="J258" t="s">
        <v>27</v>
      </c>
      <c r="K258" t="s">
        <v>22</v>
      </c>
      <c r="L258" t="s">
        <v>77</v>
      </c>
      <c r="M258">
        <f>IFERROR( _xlfn.XLOOKUP(TRIM(tbl_HR_Data[[#This Row],[Age]]),#REF!,#REF!), VALUE(TRIM(tbl_HR_Data[[#This Row],[Age]])))</f>
        <v>40</v>
      </c>
      <c r="N258" t="str">
        <f>IFERROR(_xlfn.XLOOKUP(tbl_HR_Data[[#This Row],[Gender]], Mapping[Gender _Discarded], Mapping[Gender_Correction]), PROPER(TRIM(tbl_HR_Data[[#This Row],[Gender]])))</f>
        <v>Other</v>
      </c>
      <c r="O258" t="str">
        <f>TRIM(tbl_HR_Data[[#This Row],[Position]])</f>
        <v>Clerk</v>
      </c>
      <c r="P258" t="str">
        <f>IFERROR(_xlfn.XLOOKUP(tbl_HR_Data[[#This Row],[Email]], Mapping[Email_Discarded], Mapping[Email_Correction]), LOWER(TRIM(tbl_HR_Data[[#This Row],[Email]])))</f>
        <v>user@domain.com</v>
      </c>
      <c r="Q25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58" t="str" cm="1">
        <f t="array" ref="R258">_xlfn.REDUCE(Q258, {"-","/","_","\","(",")"}, _xlfn.LAMBDA(_xlpm.txt,_xlpm.itm, SUBSTITUTE(_xlpm.txt, _xlpm.itm, "")))</f>
        <v>Not Provided</v>
      </c>
      <c r="S258" s="3">
        <f>IFERROR(_xlfn.XLOOKUP(tbl_HR_Data[[#This Row],[Joining Date]], Mapping[Joining_Discarded], Mapping[Joining_Correction]), VALUE(tbl_HR_Data[[#This Row],[Joining Date]]))</f>
        <v>43477</v>
      </c>
      <c r="T258" t="str">
        <f>TEXT(tbl_HR_Data[[#This Row],[Joining Date]], "mmm")</f>
        <v>Jan</v>
      </c>
      <c r="U258" t="str">
        <f>TEXT(tbl_HR_Data[[#This Row],[Joining Date]], "ddd")</f>
        <v>Sat</v>
      </c>
    </row>
    <row r="259" spans="1:21" x14ac:dyDescent="0.35">
      <c r="A259" t="s">
        <v>104</v>
      </c>
      <c r="B259">
        <v>30</v>
      </c>
      <c r="C259">
        <v>0</v>
      </c>
      <c r="D259" t="s">
        <v>36</v>
      </c>
      <c r="E259" t="s">
        <v>30</v>
      </c>
      <c r="F259" t="s">
        <v>39</v>
      </c>
      <c r="G259" s="3">
        <v>43477</v>
      </c>
      <c r="H259" t="str">
        <f>TEXT(tbl_HR_Data[[#This Row],[Joining Date]], "mmm")</f>
        <v>Jan</v>
      </c>
      <c r="I259" t="s">
        <v>93</v>
      </c>
      <c r="J259" t="s">
        <v>14</v>
      </c>
      <c r="K259" t="s">
        <v>32</v>
      </c>
      <c r="L259" t="s">
        <v>89</v>
      </c>
      <c r="M259">
        <f>IFERROR( _xlfn.XLOOKUP(TRIM(tbl_HR_Data[[#This Row],[Age]]),#REF!,#REF!), VALUE(TRIM(tbl_HR_Data[[#This Row],[Age]])))</f>
        <v>30</v>
      </c>
      <c r="N259" t="str">
        <f>IFERROR(_xlfn.XLOOKUP(tbl_HR_Data[[#This Row],[Gender]], Mapping[Gender _Discarded], Mapping[Gender_Correction]), PROPER(TRIM(tbl_HR_Data[[#This Row],[Gender]])))</f>
        <v>Other</v>
      </c>
      <c r="O259" t="str">
        <f>TRIM(tbl_HR_Data[[#This Row],[Position]])</f>
        <v>Clerk</v>
      </c>
      <c r="P259" t="str">
        <f>IFERROR(_xlfn.XLOOKUP(tbl_HR_Data[[#This Row],[Email]], Mapping[Email_Discarded], Mapping[Email_Correction]), LOWER(TRIM(tbl_HR_Data[[#This Row],[Email]])))</f>
        <v>name@company.org</v>
      </c>
      <c r="Q25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259" t="str" cm="1">
        <f t="array" ref="R259">_xlfn.REDUCE(Q259, {"-","/","_","\","(",")"}, _xlfn.LAMBDA(_xlpm.txt,_xlpm.itm, SUBSTITUTE(_xlpm.txt, _xlpm.itm, "")))</f>
        <v>5555555555</v>
      </c>
      <c r="S259" s="3">
        <f>IFERROR(_xlfn.XLOOKUP(tbl_HR_Data[[#This Row],[Joining Date]], Mapping[Joining_Discarded], Mapping[Joining_Correction]), VALUE(tbl_HR_Data[[#This Row],[Joining Date]]))</f>
        <v>43477</v>
      </c>
      <c r="T259" t="str">
        <f>TEXT(tbl_HR_Data[[#This Row],[Joining Date]], "mmm")</f>
        <v>Jan</v>
      </c>
      <c r="U259" t="str">
        <f>TEXT(tbl_HR_Data[[#This Row],[Joining Date]], "ddd")</f>
        <v>Sat</v>
      </c>
    </row>
    <row r="260" spans="1:21" x14ac:dyDescent="0.35">
      <c r="A260" t="s">
        <v>103</v>
      </c>
      <c r="B260">
        <v>25</v>
      </c>
      <c r="C260">
        <v>55000</v>
      </c>
      <c r="D260" t="s">
        <v>11</v>
      </c>
      <c r="E260" t="s">
        <v>30</v>
      </c>
      <c r="F260" t="s">
        <v>13</v>
      </c>
      <c r="G260" s="3">
        <v>43477</v>
      </c>
      <c r="H260" t="str">
        <f>TEXT(tbl_HR_Data[[#This Row],[Joining Date]], "mmm")</f>
        <v>Jan</v>
      </c>
      <c r="I260" t="s">
        <v>93</v>
      </c>
      <c r="J260" t="s">
        <v>21</v>
      </c>
      <c r="K260" t="s">
        <v>32</v>
      </c>
      <c r="L260" t="s">
        <v>87</v>
      </c>
      <c r="M260">
        <f>IFERROR( _xlfn.XLOOKUP(TRIM(tbl_HR_Data[[#This Row],[Age]]),#REF!,#REF!), VALUE(TRIM(tbl_HR_Data[[#This Row],[Age]])))</f>
        <v>25</v>
      </c>
      <c r="N260" t="str">
        <f>IFERROR(_xlfn.XLOOKUP(tbl_HR_Data[[#This Row],[Gender]], Mapping[Gender _Discarded], Mapping[Gender_Correction]), PROPER(TRIM(tbl_HR_Data[[#This Row],[Gender]])))</f>
        <v>Male</v>
      </c>
      <c r="O260" t="str">
        <f>TRIM(tbl_HR_Data[[#This Row],[Position]])</f>
        <v>Manager</v>
      </c>
      <c r="P260" t="str">
        <f>IFERROR(_xlfn.XLOOKUP(tbl_HR_Data[[#This Row],[Email]], Mapping[Email_Discarded], Mapping[Email_Correction]), LOWER(TRIM(tbl_HR_Data[[#This Row],[Email]])))</f>
        <v>name@company.org</v>
      </c>
      <c r="Q26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60" t="str" cm="1">
        <f t="array" ref="R260">_xlfn.REDUCE(Q260, {"-","/","_","\","(",")"}, _xlfn.LAMBDA(_xlpm.txt,_xlpm.itm, SUBSTITUTE(_xlpm.txt, _xlpm.itm, "")))</f>
        <v>1234567890</v>
      </c>
      <c r="S260" s="3">
        <f>IFERROR(_xlfn.XLOOKUP(tbl_HR_Data[[#This Row],[Joining Date]], Mapping[Joining_Discarded], Mapping[Joining_Correction]), VALUE(tbl_HR_Data[[#This Row],[Joining Date]]))</f>
        <v>43477</v>
      </c>
      <c r="T260" t="str">
        <f>TEXT(tbl_HR_Data[[#This Row],[Joining Date]], "mmm")</f>
        <v>Jan</v>
      </c>
      <c r="U260" t="str">
        <f>TEXT(tbl_HR_Data[[#This Row],[Joining Date]], "ddd")</f>
        <v>Sat</v>
      </c>
    </row>
    <row r="261" spans="1:21" x14ac:dyDescent="0.35">
      <c r="A261" t="s">
        <v>103</v>
      </c>
      <c r="B261">
        <v>50</v>
      </c>
      <c r="C261">
        <v>50000</v>
      </c>
      <c r="D261" t="s">
        <v>36</v>
      </c>
      <c r="E261" t="s">
        <v>19</v>
      </c>
      <c r="F261" t="s">
        <v>39</v>
      </c>
      <c r="G261" s="3">
        <v>43477</v>
      </c>
      <c r="H261" t="str">
        <f>TEXT(tbl_HR_Data[[#This Row],[Joining Date]], "mmm")</f>
        <v>Jan</v>
      </c>
      <c r="I261" t="s">
        <v>93</v>
      </c>
      <c r="J261" t="s">
        <v>14</v>
      </c>
      <c r="K261" t="s">
        <v>22</v>
      </c>
      <c r="L261" t="s">
        <v>77</v>
      </c>
      <c r="M261">
        <f>IFERROR( _xlfn.XLOOKUP(TRIM(tbl_HR_Data[[#This Row],[Age]]),#REF!,#REF!), VALUE(TRIM(tbl_HR_Data[[#This Row],[Age]])))</f>
        <v>50</v>
      </c>
      <c r="N261" t="str">
        <f>IFERROR(_xlfn.XLOOKUP(tbl_HR_Data[[#This Row],[Gender]], Mapping[Gender _Discarded], Mapping[Gender_Correction]), PROPER(TRIM(tbl_HR_Data[[#This Row],[Gender]])))</f>
        <v>Other</v>
      </c>
      <c r="O261" t="str">
        <f>TRIM(tbl_HR_Data[[#This Row],[Position]])</f>
        <v>Clerk</v>
      </c>
      <c r="P261" t="str">
        <f>IFERROR(_xlfn.XLOOKUP(tbl_HR_Data[[#This Row],[Email]], Mapping[Email_Discarded], Mapping[Email_Correction]), LOWER(TRIM(tbl_HR_Data[[#This Row],[Email]])))</f>
        <v>user@domain.com</v>
      </c>
      <c r="Q26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61" t="str" cm="1">
        <f t="array" ref="R261">_xlfn.REDUCE(Q261, {"-","/","_","\","(",")"}, _xlfn.LAMBDA(_xlpm.txt,_xlpm.itm, SUBSTITUTE(_xlpm.txt, _xlpm.itm, "")))</f>
        <v>Not Provided</v>
      </c>
      <c r="S261" s="3">
        <f>IFERROR(_xlfn.XLOOKUP(tbl_HR_Data[[#This Row],[Joining Date]], Mapping[Joining_Discarded], Mapping[Joining_Correction]), VALUE(tbl_HR_Data[[#This Row],[Joining Date]]))</f>
        <v>43477</v>
      </c>
      <c r="T261" t="str">
        <f>TEXT(tbl_HR_Data[[#This Row],[Joining Date]], "mmm")</f>
        <v>Jan</v>
      </c>
      <c r="U261" t="str">
        <f>TEXT(tbl_HR_Data[[#This Row],[Joining Date]], "ddd")</f>
        <v>Sat</v>
      </c>
    </row>
    <row r="262" spans="1:21" x14ac:dyDescent="0.35">
      <c r="A262" t="s">
        <v>106</v>
      </c>
      <c r="B262">
        <v>30</v>
      </c>
      <c r="C262">
        <v>50000</v>
      </c>
      <c r="D262" t="s">
        <v>18</v>
      </c>
      <c r="E262" t="s">
        <v>12</v>
      </c>
      <c r="F262" t="s">
        <v>20</v>
      </c>
      <c r="G262" s="3">
        <v>43477</v>
      </c>
      <c r="H262" t="str">
        <f>TEXT(tbl_HR_Data[[#This Row],[Joining Date]], "mmm")</f>
        <v>Jan</v>
      </c>
      <c r="I262" t="s">
        <v>93</v>
      </c>
      <c r="J262" t="s">
        <v>21</v>
      </c>
      <c r="K262" t="s">
        <v>22</v>
      </c>
      <c r="L262" t="s">
        <v>87</v>
      </c>
      <c r="M262">
        <f>IFERROR( _xlfn.XLOOKUP(TRIM(tbl_HR_Data[[#This Row],[Age]]),#REF!,#REF!), VALUE(TRIM(tbl_HR_Data[[#This Row],[Age]])))</f>
        <v>30</v>
      </c>
      <c r="N262" t="str">
        <f>IFERROR(_xlfn.XLOOKUP(tbl_HR_Data[[#This Row],[Gender]], Mapping[Gender _Discarded], Mapping[Gender_Correction]), PROPER(TRIM(tbl_HR_Data[[#This Row],[Gender]])))</f>
        <v>Female</v>
      </c>
      <c r="O262" t="str">
        <f>TRIM(tbl_HR_Data[[#This Row],[Position]])</f>
        <v>Director</v>
      </c>
      <c r="P262" t="str">
        <f>IFERROR(_xlfn.XLOOKUP(tbl_HR_Data[[#This Row],[Email]], Mapping[Email_Discarded], Mapping[Email_Correction]), LOWER(TRIM(tbl_HR_Data[[#This Row],[Email]])))</f>
        <v>user@domain.com</v>
      </c>
      <c r="Q26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62" t="str" cm="1">
        <f t="array" ref="R262">_xlfn.REDUCE(Q262, {"-","/","_","\","(",")"}, _xlfn.LAMBDA(_xlpm.txt,_xlpm.itm, SUBSTITUTE(_xlpm.txt, _xlpm.itm, "")))</f>
        <v>1234567890</v>
      </c>
      <c r="S262" s="3">
        <f>IFERROR(_xlfn.XLOOKUP(tbl_HR_Data[[#This Row],[Joining Date]], Mapping[Joining_Discarded], Mapping[Joining_Correction]), VALUE(tbl_HR_Data[[#This Row],[Joining Date]]))</f>
        <v>43477</v>
      </c>
      <c r="T262" t="str">
        <f>TEXT(tbl_HR_Data[[#This Row],[Joining Date]], "mmm")</f>
        <v>Jan</v>
      </c>
      <c r="U262" t="str">
        <f>TEXT(tbl_HR_Data[[#This Row],[Joining Date]], "ddd")</f>
        <v>Sat</v>
      </c>
    </row>
    <row r="263" spans="1:21" x14ac:dyDescent="0.35">
      <c r="A263" t="s">
        <v>100</v>
      </c>
      <c r="B263">
        <v>40</v>
      </c>
      <c r="C263">
        <v>0</v>
      </c>
      <c r="D263" t="s">
        <v>18</v>
      </c>
      <c r="E263" t="s">
        <v>37</v>
      </c>
      <c r="F263" t="s">
        <v>43</v>
      </c>
      <c r="G263" s="3">
        <v>43477</v>
      </c>
      <c r="H263" t="str">
        <f>TEXT(tbl_HR_Data[[#This Row],[Joining Date]], "mmm")</f>
        <v>Jan</v>
      </c>
      <c r="I263" t="s">
        <v>93</v>
      </c>
      <c r="J263" t="s">
        <v>21</v>
      </c>
      <c r="K263" t="s">
        <v>77</v>
      </c>
      <c r="L263" t="s">
        <v>87</v>
      </c>
      <c r="M263">
        <f>IFERROR( _xlfn.XLOOKUP(TRIM(tbl_HR_Data[[#This Row],[Age]]),#REF!,#REF!), VALUE(TRIM(tbl_HR_Data[[#This Row],[Age]])))</f>
        <v>40</v>
      </c>
      <c r="N263" t="str">
        <f>IFERROR(_xlfn.XLOOKUP(tbl_HR_Data[[#This Row],[Gender]], Mapping[Gender _Discarded], Mapping[Gender_Correction]), PROPER(TRIM(tbl_HR_Data[[#This Row],[Gender]])))</f>
        <v>Female</v>
      </c>
      <c r="O263" t="str">
        <f>TRIM(tbl_HR_Data[[#This Row],[Position]])</f>
        <v>Assistant</v>
      </c>
      <c r="P263" t="str">
        <f>IFERROR(_xlfn.XLOOKUP(tbl_HR_Data[[#This Row],[Email]], Mapping[Email_Discarded], Mapping[Email_Correction]), LOWER(TRIM(tbl_HR_Data[[#This Row],[Email]])))</f>
        <v>not provided</v>
      </c>
      <c r="Q26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63" t="str" cm="1">
        <f t="array" ref="R263">_xlfn.REDUCE(Q263, {"-","/","_","\","(",")"}, _xlfn.LAMBDA(_xlpm.txt,_xlpm.itm, SUBSTITUTE(_xlpm.txt, _xlpm.itm, "")))</f>
        <v>1234567890</v>
      </c>
      <c r="S263" s="3">
        <f>IFERROR(_xlfn.XLOOKUP(tbl_HR_Data[[#This Row],[Joining Date]], Mapping[Joining_Discarded], Mapping[Joining_Correction]), VALUE(tbl_HR_Data[[#This Row],[Joining Date]]))</f>
        <v>43477</v>
      </c>
      <c r="T263" t="str">
        <f>TEXT(tbl_HR_Data[[#This Row],[Joining Date]], "mmm")</f>
        <v>Jan</v>
      </c>
      <c r="U263" t="str">
        <f>TEXT(tbl_HR_Data[[#This Row],[Joining Date]], "ddd")</f>
        <v>Sat</v>
      </c>
    </row>
    <row r="264" spans="1:21" x14ac:dyDescent="0.35">
      <c r="A264" t="s">
        <v>101</v>
      </c>
      <c r="B264">
        <v>30</v>
      </c>
      <c r="C264">
        <v>0</v>
      </c>
      <c r="D264" t="s">
        <v>18</v>
      </c>
      <c r="E264" t="s">
        <v>37</v>
      </c>
      <c r="F264" t="s">
        <v>39</v>
      </c>
      <c r="G264" s="3">
        <v>43477</v>
      </c>
      <c r="H264" t="str">
        <f>TEXT(tbl_HR_Data[[#This Row],[Joining Date]], "mmm")</f>
        <v>Jan</v>
      </c>
      <c r="I264" t="s">
        <v>93</v>
      </c>
      <c r="J264" t="s">
        <v>31</v>
      </c>
      <c r="K264" t="s">
        <v>77</v>
      </c>
      <c r="L264" t="s">
        <v>88</v>
      </c>
      <c r="M264">
        <f>IFERROR( _xlfn.XLOOKUP(TRIM(tbl_HR_Data[[#This Row],[Age]]),#REF!,#REF!), VALUE(TRIM(tbl_HR_Data[[#This Row],[Age]])))</f>
        <v>30</v>
      </c>
      <c r="N264" t="str">
        <f>IFERROR(_xlfn.XLOOKUP(tbl_HR_Data[[#This Row],[Gender]], Mapping[Gender _Discarded], Mapping[Gender_Correction]), PROPER(TRIM(tbl_HR_Data[[#This Row],[Gender]])))</f>
        <v>Female</v>
      </c>
      <c r="O264" t="str">
        <f>TRIM(tbl_HR_Data[[#This Row],[Position]])</f>
        <v>Clerk</v>
      </c>
      <c r="P264" t="str">
        <f>IFERROR(_xlfn.XLOOKUP(tbl_HR_Data[[#This Row],[Email]], Mapping[Email_Discarded], Mapping[Email_Correction]), LOWER(TRIM(tbl_HR_Data[[#This Row],[Email]])))</f>
        <v>not provided</v>
      </c>
      <c r="Q26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264" t="str" cm="1">
        <f t="array" ref="R264">_xlfn.REDUCE(Q264, {"-","/","_","\","(",")"}, _xlfn.LAMBDA(_xlpm.txt,_xlpm.itm, SUBSTITUTE(_xlpm.txt, _xlpm.itm, "")))</f>
        <v>0987654321</v>
      </c>
      <c r="S264" s="3">
        <f>IFERROR(_xlfn.XLOOKUP(tbl_HR_Data[[#This Row],[Joining Date]], Mapping[Joining_Discarded], Mapping[Joining_Correction]), VALUE(tbl_HR_Data[[#This Row],[Joining Date]]))</f>
        <v>43477</v>
      </c>
      <c r="T264" t="str">
        <f>TEXT(tbl_HR_Data[[#This Row],[Joining Date]], "mmm")</f>
        <v>Jan</v>
      </c>
      <c r="U264" t="str">
        <f>TEXT(tbl_HR_Data[[#This Row],[Joining Date]], "ddd")</f>
        <v>Sat</v>
      </c>
    </row>
    <row r="265" spans="1:21" x14ac:dyDescent="0.35">
      <c r="A265" t="s">
        <v>100</v>
      </c>
      <c r="B265">
        <v>0</v>
      </c>
      <c r="C265">
        <v>0</v>
      </c>
      <c r="D265" t="s">
        <v>18</v>
      </c>
      <c r="E265" t="s">
        <v>19</v>
      </c>
      <c r="F265" t="s">
        <v>20</v>
      </c>
      <c r="G265" s="3">
        <v>43477</v>
      </c>
      <c r="H265" t="str">
        <f>TEXT(tbl_HR_Data[[#This Row],[Joining Date]], "mmm")</f>
        <v>Jan</v>
      </c>
      <c r="I265" t="s">
        <v>93</v>
      </c>
      <c r="J265" t="s">
        <v>31</v>
      </c>
      <c r="K265" t="s">
        <v>15</v>
      </c>
      <c r="L265" t="s">
        <v>87</v>
      </c>
      <c r="M265">
        <f>IFERROR( _xlfn.XLOOKUP(TRIM(tbl_HR_Data[[#This Row],[Age]]),#REF!,#REF!), VALUE(TRIM(tbl_HR_Data[[#This Row],[Age]])))</f>
        <v>0</v>
      </c>
      <c r="N265" t="str">
        <f>IFERROR(_xlfn.XLOOKUP(tbl_HR_Data[[#This Row],[Gender]], Mapping[Gender _Discarded], Mapping[Gender_Correction]), PROPER(TRIM(tbl_HR_Data[[#This Row],[Gender]])))</f>
        <v>Female</v>
      </c>
      <c r="O265" t="str">
        <f>TRIM(tbl_HR_Data[[#This Row],[Position]])</f>
        <v>Director</v>
      </c>
      <c r="P265" t="str">
        <f>IFERROR(_xlfn.XLOOKUP(tbl_HR_Data[[#This Row],[Email]], Mapping[Email_Discarded], Mapping[Email_Correction]), LOWER(TRIM(tbl_HR_Data[[#This Row],[Email]])))</f>
        <v>email@example.com</v>
      </c>
      <c r="Q26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65" t="str" cm="1">
        <f t="array" ref="R265">_xlfn.REDUCE(Q265, {"-","/","_","\","(",")"}, _xlfn.LAMBDA(_xlpm.txt,_xlpm.itm, SUBSTITUTE(_xlpm.txt, _xlpm.itm, "")))</f>
        <v>1234567890</v>
      </c>
      <c r="S265" s="3">
        <f>IFERROR(_xlfn.XLOOKUP(tbl_HR_Data[[#This Row],[Joining Date]], Mapping[Joining_Discarded], Mapping[Joining_Correction]), VALUE(tbl_HR_Data[[#This Row],[Joining Date]]))</f>
        <v>43477</v>
      </c>
      <c r="T265" t="str">
        <f>TEXT(tbl_HR_Data[[#This Row],[Joining Date]], "mmm")</f>
        <v>Jan</v>
      </c>
      <c r="U265" t="str">
        <f>TEXT(tbl_HR_Data[[#This Row],[Joining Date]], "ddd")</f>
        <v>Sat</v>
      </c>
    </row>
    <row r="266" spans="1:21" x14ac:dyDescent="0.35">
      <c r="A266" t="s">
        <v>100</v>
      </c>
      <c r="B266">
        <v>25</v>
      </c>
      <c r="C266">
        <v>0</v>
      </c>
      <c r="D266" t="s">
        <v>11</v>
      </c>
      <c r="E266" t="s">
        <v>30</v>
      </c>
      <c r="F266" t="s">
        <v>20</v>
      </c>
      <c r="G266" s="3">
        <v>43477</v>
      </c>
      <c r="H266" t="str">
        <f>TEXT(tbl_HR_Data[[#This Row],[Joining Date]], "mmm")</f>
        <v>Jan</v>
      </c>
      <c r="I266" t="s">
        <v>93</v>
      </c>
      <c r="J266" t="s">
        <v>21</v>
      </c>
      <c r="K266" t="s">
        <v>77</v>
      </c>
      <c r="L266" t="s">
        <v>77</v>
      </c>
      <c r="M266">
        <f>IFERROR( _xlfn.XLOOKUP(TRIM(tbl_HR_Data[[#This Row],[Age]]),#REF!,#REF!), VALUE(TRIM(tbl_HR_Data[[#This Row],[Age]])))</f>
        <v>25</v>
      </c>
      <c r="N266" t="str">
        <f>IFERROR(_xlfn.XLOOKUP(tbl_HR_Data[[#This Row],[Gender]], Mapping[Gender _Discarded], Mapping[Gender_Correction]), PROPER(TRIM(tbl_HR_Data[[#This Row],[Gender]])))</f>
        <v>Male</v>
      </c>
      <c r="O266" t="str">
        <f>TRIM(tbl_HR_Data[[#This Row],[Position]])</f>
        <v>Director</v>
      </c>
      <c r="P266" t="str">
        <f>IFERROR(_xlfn.XLOOKUP(tbl_HR_Data[[#This Row],[Email]], Mapping[Email_Discarded], Mapping[Email_Correction]), LOWER(TRIM(tbl_HR_Data[[#This Row],[Email]])))</f>
        <v>not provided</v>
      </c>
      <c r="Q26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66" t="str" cm="1">
        <f t="array" ref="R266">_xlfn.REDUCE(Q266, {"-","/","_","\","(",")"}, _xlfn.LAMBDA(_xlpm.txt,_xlpm.itm, SUBSTITUTE(_xlpm.txt, _xlpm.itm, "")))</f>
        <v>Not Provided</v>
      </c>
      <c r="S266" s="3">
        <f>IFERROR(_xlfn.XLOOKUP(tbl_HR_Data[[#This Row],[Joining Date]], Mapping[Joining_Discarded], Mapping[Joining_Correction]), VALUE(tbl_HR_Data[[#This Row],[Joining Date]]))</f>
        <v>43477</v>
      </c>
      <c r="T266" t="str">
        <f>TEXT(tbl_HR_Data[[#This Row],[Joining Date]], "mmm")</f>
        <v>Jan</v>
      </c>
      <c r="U266" t="str">
        <f>TEXT(tbl_HR_Data[[#This Row],[Joining Date]], "ddd")</f>
        <v>Sat</v>
      </c>
    </row>
    <row r="267" spans="1:21" x14ac:dyDescent="0.35">
      <c r="A267" t="s">
        <v>107</v>
      </c>
      <c r="B267">
        <v>40</v>
      </c>
      <c r="C267">
        <v>65000</v>
      </c>
      <c r="D267" t="s">
        <v>18</v>
      </c>
      <c r="E267" t="s">
        <v>30</v>
      </c>
      <c r="F267" t="s">
        <v>20</v>
      </c>
      <c r="G267" s="3">
        <v>43477</v>
      </c>
      <c r="H267" t="str">
        <f>TEXT(tbl_HR_Data[[#This Row],[Joining Date]], "mmm")</f>
        <v>Jan</v>
      </c>
      <c r="I267" t="s">
        <v>93</v>
      </c>
      <c r="J267" t="s">
        <v>27</v>
      </c>
      <c r="K267" t="s">
        <v>32</v>
      </c>
      <c r="L267" t="s">
        <v>77</v>
      </c>
      <c r="M267">
        <f>IFERROR( _xlfn.XLOOKUP(TRIM(tbl_HR_Data[[#This Row],[Age]]),#REF!,#REF!), VALUE(TRIM(tbl_HR_Data[[#This Row],[Age]])))</f>
        <v>40</v>
      </c>
      <c r="N267" t="str">
        <f>IFERROR(_xlfn.XLOOKUP(tbl_HR_Data[[#This Row],[Gender]], Mapping[Gender _Discarded], Mapping[Gender_Correction]), PROPER(TRIM(tbl_HR_Data[[#This Row],[Gender]])))</f>
        <v>Female</v>
      </c>
      <c r="O267" t="str">
        <f>TRIM(tbl_HR_Data[[#This Row],[Position]])</f>
        <v>Director</v>
      </c>
      <c r="P267" t="str">
        <f>IFERROR(_xlfn.XLOOKUP(tbl_HR_Data[[#This Row],[Email]], Mapping[Email_Discarded], Mapping[Email_Correction]), LOWER(TRIM(tbl_HR_Data[[#This Row],[Email]])))</f>
        <v>name@company.org</v>
      </c>
      <c r="Q26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67" t="str" cm="1">
        <f t="array" ref="R267">_xlfn.REDUCE(Q267, {"-","/","_","\","(",")"}, _xlfn.LAMBDA(_xlpm.txt,_xlpm.itm, SUBSTITUTE(_xlpm.txt, _xlpm.itm, "")))</f>
        <v>Not Provided</v>
      </c>
      <c r="S267" s="3">
        <f>IFERROR(_xlfn.XLOOKUP(tbl_HR_Data[[#This Row],[Joining Date]], Mapping[Joining_Discarded], Mapping[Joining_Correction]), VALUE(tbl_HR_Data[[#This Row],[Joining Date]]))</f>
        <v>43477</v>
      </c>
      <c r="T267" t="str">
        <f>TEXT(tbl_HR_Data[[#This Row],[Joining Date]], "mmm")</f>
        <v>Jan</v>
      </c>
      <c r="U267" t="str">
        <f>TEXT(tbl_HR_Data[[#This Row],[Joining Date]], "ddd")</f>
        <v>Sat</v>
      </c>
    </row>
    <row r="268" spans="1:21" x14ac:dyDescent="0.35">
      <c r="A268" t="s">
        <v>105</v>
      </c>
      <c r="B268">
        <v>50</v>
      </c>
      <c r="C268">
        <v>70000</v>
      </c>
      <c r="D268" t="s">
        <v>11</v>
      </c>
      <c r="E268" t="s">
        <v>19</v>
      </c>
      <c r="F268" t="s">
        <v>44</v>
      </c>
      <c r="G268" s="3">
        <v>43477</v>
      </c>
      <c r="H268" t="str">
        <f>TEXT(tbl_HR_Data[[#This Row],[Joining Date]], "mmm")</f>
        <v>Jan</v>
      </c>
      <c r="I268" t="s">
        <v>93</v>
      </c>
      <c r="J268" t="s">
        <v>27</v>
      </c>
      <c r="K268" t="s">
        <v>22</v>
      </c>
      <c r="L268" t="s">
        <v>89</v>
      </c>
      <c r="M268">
        <f>IFERROR( _xlfn.XLOOKUP(TRIM(tbl_HR_Data[[#This Row],[Age]]),#REF!,#REF!), VALUE(TRIM(tbl_HR_Data[[#This Row],[Age]])))</f>
        <v>50</v>
      </c>
      <c r="N268" t="str">
        <f>IFERROR(_xlfn.XLOOKUP(tbl_HR_Data[[#This Row],[Gender]], Mapping[Gender _Discarded], Mapping[Gender_Correction]), PROPER(TRIM(tbl_HR_Data[[#This Row],[Gender]])))</f>
        <v>Male</v>
      </c>
      <c r="O268" t="str">
        <f>TRIM(tbl_HR_Data[[#This Row],[Position]])</f>
        <v>Analyst</v>
      </c>
      <c r="P268" t="str">
        <f>IFERROR(_xlfn.XLOOKUP(tbl_HR_Data[[#This Row],[Email]], Mapping[Email_Discarded], Mapping[Email_Correction]), LOWER(TRIM(tbl_HR_Data[[#This Row],[Email]])))</f>
        <v>user@domain.com</v>
      </c>
      <c r="Q26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268" t="str" cm="1">
        <f t="array" ref="R268">_xlfn.REDUCE(Q268, {"-","/","_","\","(",")"}, _xlfn.LAMBDA(_xlpm.txt,_xlpm.itm, SUBSTITUTE(_xlpm.txt, _xlpm.itm, "")))</f>
        <v>5555555555</v>
      </c>
      <c r="S268" s="3">
        <f>IFERROR(_xlfn.XLOOKUP(tbl_HR_Data[[#This Row],[Joining Date]], Mapping[Joining_Discarded], Mapping[Joining_Correction]), VALUE(tbl_HR_Data[[#This Row],[Joining Date]]))</f>
        <v>43477</v>
      </c>
      <c r="T268" t="str">
        <f>TEXT(tbl_HR_Data[[#This Row],[Joining Date]], "mmm")</f>
        <v>Jan</v>
      </c>
      <c r="U268" t="str">
        <f>TEXT(tbl_HR_Data[[#This Row],[Joining Date]], "ddd")</f>
        <v>Sat</v>
      </c>
    </row>
    <row r="269" spans="1:21" x14ac:dyDescent="0.35">
      <c r="A269" t="s">
        <v>103</v>
      </c>
      <c r="B269">
        <v>30</v>
      </c>
      <c r="C269">
        <v>65000</v>
      </c>
      <c r="D269" t="s">
        <v>36</v>
      </c>
      <c r="E269" t="s">
        <v>37</v>
      </c>
      <c r="F269" t="s">
        <v>44</v>
      </c>
      <c r="G269" s="3">
        <v>43477</v>
      </c>
      <c r="H269" t="str">
        <f>TEXT(tbl_HR_Data[[#This Row],[Joining Date]], "mmm")</f>
        <v>Jan</v>
      </c>
      <c r="I269" t="s">
        <v>93</v>
      </c>
      <c r="J269" t="s">
        <v>41</v>
      </c>
      <c r="K269" t="s">
        <v>22</v>
      </c>
      <c r="L269" t="s">
        <v>77</v>
      </c>
      <c r="M269">
        <f>IFERROR( _xlfn.XLOOKUP(TRIM(tbl_HR_Data[[#This Row],[Age]]),#REF!,#REF!), VALUE(TRIM(tbl_HR_Data[[#This Row],[Age]])))</f>
        <v>30</v>
      </c>
      <c r="N269" t="str">
        <f>IFERROR(_xlfn.XLOOKUP(tbl_HR_Data[[#This Row],[Gender]], Mapping[Gender _Discarded], Mapping[Gender_Correction]), PROPER(TRIM(tbl_HR_Data[[#This Row],[Gender]])))</f>
        <v>Other</v>
      </c>
      <c r="O269" t="str">
        <f>TRIM(tbl_HR_Data[[#This Row],[Position]])</f>
        <v>Analyst</v>
      </c>
      <c r="P269" t="str">
        <f>IFERROR(_xlfn.XLOOKUP(tbl_HR_Data[[#This Row],[Email]], Mapping[Email_Discarded], Mapping[Email_Correction]), LOWER(TRIM(tbl_HR_Data[[#This Row],[Email]])))</f>
        <v>user@domain.com</v>
      </c>
      <c r="Q26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69" t="str" cm="1">
        <f t="array" ref="R269">_xlfn.REDUCE(Q269, {"-","/","_","\","(",")"}, _xlfn.LAMBDA(_xlpm.txt,_xlpm.itm, SUBSTITUTE(_xlpm.txt, _xlpm.itm, "")))</f>
        <v>Not Provided</v>
      </c>
      <c r="S269" s="3">
        <f>IFERROR(_xlfn.XLOOKUP(tbl_HR_Data[[#This Row],[Joining Date]], Mapping[Joining_Discarded], Mapping[Joining_Correction]), VALUE(tbl_HR_Data[[#This Row],[Joining Date]]))</f>
        <v>43477</v>
      </c>
      <c r="T269" t="str">
        <f>TEXT(tbl_HR_Data[[#This Row],[Joining Date]], "mmm")</f>
        <v>Jan</v>
      </c>
      <c r="U269" t="str">
        <f>TEXT(tbl_HR_Data[[#This Row],[Joining Date]], "ddd")</f>
        <v>Sat</v>
      </c>
    </row>
    <row r="270" spans="1:21" x14ac:dyDescent="0.35">
      <c r="A270" t="s">
        <v>99</v>
      </c>
      <c r="B270">
        <v>50</v>
      </c>
      <c r="C270">
        <v>70000</v>
      </c>
      <c r="D270" t="s">
        <v>11</v>
      </c>
      <c r="E270" t="s">
        <v>12</v>
      </c>
      <c r="F270" t="s">
        <v>39</v>
      </c>
      <c r="G270" s="3">
        <v>43477</v>
      </c>
      <c r="H270" t="str">
        <f>TEXT(tbl_HR_Data[[#This Row],[Joining Date]], "mmm")</f>
        <v>Jan</v>
      </c>
      <c r="I270" t="s">
        <v>93</v>
      </c>
      <c r="J270" t="s">
        <v>31</v>
      </c>
      <c r="K270" t="s">
        <v>77</v>
      </c>
      <c r="L270" t="s">
        <v>87</v>
      </c>
      <c r="M270">
        <f>IFERROR( _xlfn.XLOOKUP(TRIM(tbl_HR_Data[[#This Row],[Age]]),#REF!,#REF!), VALUE(TRIM(tbl_HR_Data[[#This Row],[Age]])))</f>
        <v>50</v>
      </c>
      <c r="N270" t="str">
        <f>IFERROR(_xlfn.XLOOKUP(tbl_HR_Data[[#This Row],[Gender]], Mapping[Gender _Discarded], Mapping[Gender_Correction]), PROPER(TRIM(tbl_HR_Data[[#This Row],[Gender]])))</f>
        <v>Male</v>
      </c>
      <c r="O270" t="str">
        <f>TRIM(tbl_HR_Data[[#This Row],[Position]])</f>
        <v>Clerk</v>
      </c>
      <c r="P270" t="str">
        <f>IFERROR(_xlfn.XLOOKUP(tbl_HR_Data[[#This Row],[Email]], Mapping[Email_Discarded], Mapping[Email_Correction]), LOWER(TRIM(tbl_HR_Data[[#This Row],[Email]])))</f>
        <v>not provided</v>
      </c>
      <c r="Q27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70" t="str" cm="1">
        <f t="array" ref="R270">_xlfn.REDUCE(Q270, {"-","/","_","\","(",")"}, _xlfn.LAMBDA(_xlpm.txt,_xlpm.itm, SUBSTITUTE(_xlpm.txt, _xlpm.itm, "")))</f>
        <v>1234567890</v>
      </c>
      <c r="S270" s="3">
        <f>IFERROR(_xlfn.XLOOKUP(tbl_HR_Data[[#This Row],[Joining Date]], Mapping[Joining_Discarded], Mapping[Joining_Correction]), VALUE(tbl_HR_Data[[#This Row],[Joining Date]]))</f>
        <v>43477</v>
      </c>
      <c r="T270" t="str">
        <f>TEXT(tbl_HR_Data[[#This Row],[Joining Date]], "mmm")</f>
        <v>Jan</v>
      </c>
      <c r="U270" t="str">
        <f>TEXT(tbl_HR_Data[[#This Row],[Joining Date]], "ddd")</f>
        <v>Sat</v>
      </c>
    </row>
    <row r="271" spans="1:21" x14ac:dyDescent="0.35">
      <c r="A271" t="s">
        <v>100</v>
      </c>
      <c r="B271">
        <v>30</v>
      </c>
      <c r="C271">
        <v>70000</v>
      </c>
      <c r="D271" t="s">
        <v>11</v>
      </c>
      <c r="E271" t="s">
        <v>30</v>
      </c>
      <c r="F271" t="s">
        <v>43</v>
      </c>
      <c r="G271" s="3">
        <v>43477</v>
      </c>
      <c r="H271" t="str">
        <f>TEXT(tbl_HR_Data[[#This Row],[Joining Date]], "mmm")</f>
        <v>Jan</v>
      </c>
      <c r="I271" t="s">
        <v>93</v>
      </c>
      <c r="J271" t="s">
        <v>41</v>
      </c>
      <c r="K271" t="s">
        <v>32</v>
      </c>
      <c r="L271" t="s">
        <v>77</v>
      </c>
      <c r="M271">
        <f>IFERROR( _xlfn.XLOOKUP(TRIM(tbl_HR_Data[[#This Row],[Age]]),#REF!,#REF!), VALUE(TRIM(tbl_HR_Data[[#This Row],[Age]])))</f>
        <v>30</v>
      </c>
      <c r="N271" t="str">
        <f>IFERROR(_xlfn.XLOOKUP(tbl_HR_Data[[#This Row],[Gender]], Mapping[Gender _Discarded], Mapping[Gender_Correction]), PROPER(TRIM(tbl_HR_Data[[#This Row],[Gender]])))</f>
        <v>Male</v>
      </c>
      <c r="O271" t="str">
        <f>TRIM(tbl_HR_Data[[#This Row],[Position]])</f>
        <v>Assistant</v>
      </c>
      <c r="P271" t="str">
        <f>IFERROR(_xlfn.XLOOKUP(tbl_HR_Data[[#This Row],[Email]], Mapping[Email_Discarded], Mapping[Email_Correction]), LOWER(TRIM(tbl_HR_Data[[#This Row],[Email]])))</f>
        <v>name@company.org</v>
      </c>
      <c r="Q27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71" t="str" cm="1">
        <f t="array" ref="R271">_xlfn.REDUCE(Q271, {"-","/","_","\","(",")"}, _xlfn.LAMBDA(_xlpm.txt,_xlpm.itm, SUBSTITUTE(_xlpm.txt, _xlpm.itm, "")))</f>
        <v>Not Provided</v>
      </c>
      <c r="S271" s="3">
        <f>IFERROR(_xlfn.XLOOKUP(tbl_HR_Data[[#This Row],[Joining Date]], Mapping[Joining_Discarded], Mapping[Joining_Correction]), VALUE(tbl_HR_Data[[#This Row],[Joining Date]]))</f>
        <v>43477</v>
      </c>
      <c r="T271" t="str">
        <f>TEXT(tbl_HR_Data[[#This Row],[Joining Date]], "mmm")</f>
        <v>Jan</v>
      </c>
      <c r="U271" t="str">
        <f>TEXT(tbl_HR_Data[[#This Row],[Joining Date]], "ddd")</f>
        <v>Sat</v>
      </c>
    </row>
    <row r="272" spans="1:21" x14ac:dyDescent="0.35">
      <c r="A272" t="s">
        <v>104</v>
      </c>
      <c r="B272">
        <v>35</v>
      </c>
      <c r="C272">
        <v>65000</v>
      </c>
      <c r="D272" t="s">
        <v>36</v>
      </c>
      <c r="E272" t="s">
        <v>19</v>
      </c>
      <c r="F272" t="s">
        <v>13</v>
      </c>
      <c r="G272" s="3">
        <v>43477</v>
      </c>
      <c r="H272" t="str">
        <f>TEXT(tbl_HR_Data[[#This Row],[Joining Date]], "mmm")</f>
        <v>Jan</v>
      </c>
      <c r="I272" t="s">
        <v>93</v>
      </c>
      <c r="J272" t="s">
        <v>14</v>
      </c>
      <c r="K272" t="s">
        <v>22</v>
      </c>
      <c r="L272" t="s">
        <v>88</v>
      </c>
      <c r="M272">
        <f>IFERROR( _xlfn.XLOOKUP(TRIM(tbl_HR_Data[[#This Row],[Age]]),#REF!,#REF!), VALUE(TRIM(tbl_HR_Data[[#This Row],[Age]])))</f>
        <v>35</v>
      </c>
      <c r="N272" t="str">
        <f>IFERROR(_xlfn.XLOOKUP(tbl_HR_Data[[#This Row],[Gender]], Mapping[Gender _Discarded], Mapping[Gender_Correction]), PROPER(TRIM(tbl_HR_Data[[#This Row],[Gender]])))</f>
        <v>Other</v>
      </c>
      <c r="O272" t="str">
        <f>TRIM(tbl_HR_Data[[#This Row],[Position]])</f>
        <v>Manager</v>
      </c>
      <c r="P272" t="str">
        <f>IFERROR(_xlfn.XLOOKUP(tbl_HR_Data[[#This Row],[Email]], Mapping[Email_Discarded], Mapping[Email_Correction]), LOWER(TRIM(tbl_HR_Data[[#This Row],[Email]])))</f>
        <v>user@domain.com</v>
      </c>
      <c r="Q27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272" t="str" cm="1">
        <f t="array" ref="R272">_xlfn.REDUCE(Q272, {"-","/","_","\","(",")"}, _xlfn.LAMBDA(_xlpm.txt,_xlpm.itm, SUBSTITUTE(_xlpm.txt, _xlpm.itm, "")))</f>
        <v>0987654321</v>
      </c>
      <c r="S272" s="3">
        <f>IFERROR(_xlfn.XLOOKUP(tbl_HR_Data[[#This Row],[Joining Date]], Mapping[Joining_Discarded], Mapping[Joining_Correction]), VALUE(tbl_HR_Data[[#This Row],[Joining Date]]))</f>
        <v>43477</v>
      </c>
      <c r="T272" t="str">
        <f>TEXT(tbl_HR_Data[[#This Row],[Joining Date]], "mmm")</f>
        <v>Jan</v>
      </c>
      <c r="U272" t="str">
        <f>TEXT(tbl_HR_Data[[#This Row],[Joining Date]], "ddd")</f>
        <v>Sat</v>
      </c>
    </row>
    <row r="273" spans="1:21" x14ac:dyDescent="0.35">
      <c r="A273" t="s">
        <v>104</v>
      </c>
      <c r="B273">
        <v>40</v>
      </c>
      <c r="C273">
        <v>55000</v>
      </c>
      <c r="D273" t="s">
        <v>18</v>
      </c>
      <c r="E273" t="s">
        <v>37</v>
      </c>
      <c r="F273" t="s">
        <v>39</v>
      </c>
      <c r="G273" s="3">
        <v>43477</v>
      </c>
      <c r="H273" t="str">
        <f>TEXT(tbl_HR_Data[[#This Row],[Joining Date]], "mmm")</f>
        <v>Jan</v>
      </c>
      <c r="I273" t="s">
        <v>93</v>
      </c>
      <c r="J273" t="s">
        <v>31</v>
      </c>
      <c r="K273" t="s">
        <v>22</v>
      </c>
      <c r="L273" t="s">
        <v>87</v>
      </c>
      <c r="M273">
        <f>IFERROR( _xlfn.XLOOKUP(TRIM(tbl_HR_Data[[#This Row],[Age]]),#REF!,#REF!), VALUE(TRIM(tbl_HR_Data[[#This Row],[Age]])))</f>
        <v>40</v>
      </c>
      <c r="N273" t="str">
        <f>IFERROR(_xlfn.XLOOKUP(tbl_HR_Data[[#This Row],[Gender]], Mapping[Gender _Discarded], Mapping[Gender_Correction]), PROPER(TRIM(tbl_HR_Data[[#This Row],[Gender]])))</f>
        <v>Female</v>
      </c>
      <c r="O273" t="str">
        <f>TRIM(tbl_HR_Data[[#This Row],[Position]])</f>
        <v>Clerk</v>
      </c>
      <c r="P273" t="str">
        <f>IFERROR(_xlfn.XLOOKUP(tbl_HR_Data[[#This Row],[Email]], Mapping[Email_Discarded], Mapping[Email_Correction]), LOWER(TRIM(tbl_HR_Data[[#This Row],[Email]])))</f>
        <v>user@domain.com</v>
      </c>
      <c r="Q27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73" t="str" cm="1">
        <f t="array" ref="R273">_xlfn.REDUCE(Q273, {"-","/","_","\","(",")"}, _xlfn.LAMBDA(_xlpm.txt,_xlpm.itm, SUBSTITUTE(_xlpm.txt, _xlpm.itm, "")))</f>
        <v>1234567890</v>
      </c>
      <c r="S273" s="3">
        <f>IFERROR(_xlfn.XLOOKUP(tbl_HR_Data[[#This Row],[Joining Date]], Mapping[Joining_Discarded], Mapping[Joining_Correction]), VALUE(tbl_HR_Data[[#This Row],[Joining Date]]))</f>
        <v>43477</v>
      </c>
      <c r="T273" t="str">
        <f>TEXT(tbl_HR_Data[[#This Row],[Joining Date]], "mmm")</f>
        <v>Jan</v>
      </c>
      <c r="U273" t="str">
        <f>TEXT(tbl_HR_Data[[#This Row],[Joining Date]], "ddd")</f>
        <v>Sat</v>
      </c>
    </row>
    <row r="274" spans="1:21" x14ac:dyDescent="0.35">
      <c r="A274" t="s">
        <v>103</v>
      </c>
      <c r="B274">
        <v>40</v>
      </c>
      <c r="C274">
        <v>55000</v>
      </c>
      <c r="D274" t="s">
        <v>36</v>
      </c>
      <c r="E274" t="s">
        <v>12</v>
      </c>
      <c r="F274" t="s">
        <v>39</v>
      </c>
      <c r="G274" s="3">
        <v>43477</v>
      </c>
      <c r="H274" t="str">
        <f>TEXT(tbl_HR_Data[[#This Row],[Joining Date]], "mmm")</f>
        <v>Jan</v>
      </c>
      <c r="I274" t="s">
        <v>93</v>
      </c>
      <c r="J274" t="s">
        <v>21</v>
      </c>
      <c r="K274" t="s">
        <v>15</v>
      </c>
      <c r="L274" t="s">
        <v>77</v>
      </c>
      <c r="M274">
        <f>IFERROR( _xlfn.XLOOKUP(TRIM(tbl_HR_Data[[#This Row],[Age]]),#REF!,#REF!), VALUE(TRIM(tbl_HR_Data[[#This Row],[Age]])))</f>
        <v>40</v>
      </c>
      <c r="N274" t="str">
        <f>IFERROR(_xlfn.XLOOKUP(tbl_HR_Data[[#This Row],[Gender]], Mapping[Gender _Discarded], Mapping[Gender_Correction]), PROPER(TRIM(tbl_HR_Data[[#This Row],[Gender]])))</f>
        <v>Other</v>
      </c>
      <c r="O274" t="str">
        <f>TRIM(tbl_HR_Data[[#This Row],[Position]])</f>
        <v>Clerk</v>
      </c>
      <c r="P274" t="str">
        <f>IFERROR(_xlfn.XLOOKUP(tbl_HR_Data[[#This Row],[Email]], Mapping[Email_Discarded], Mapping[Email_Correction]), LOWER(TRIM(tbl_HR_Data[[#This Row],[Email]])))</f>
        <v>email@example.com</v>
      </c>
      <c r="Q27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74" t="str" cm="1">
        <f t="array" ref="R274">_xlfn.REDUCE(Q274, {"-","/","_","\","(",")"}, _xlfn.LAMBDA(_xlpm.txt,_xlpm.itm, SUBSTITUTE(_xlpm.txt, _xlpm.itm, "")))</f>
        <v>Not Provided</v>
      </c>
      <c r="S274" s="3">
        <f>IFERROR(_xlfn.XLOOKUP(tbl_HR_Data[[#This Row],[Joining Date]], Mapping[Joining_Discarded], Mapping[Joining_Correction]), VALUE(tbl_HR_Data[[#This Row],[Joining Date]]))</f>
        <v>43477</v>
      </c>
      <c r="T274" t="str">
        <f>TEXT(tbl_HR_Data[[#This Row],[Joining Date]], "mmm")</f>
        <v>Jan</v>
      </c>
      <c r="U274" t="str">
        <f>TEXT(tbl_HR_Data[[#This Row],[Joining Date]], "ddd")</f>
        <v>Sat</v>
      </c>
    </row>
    <row r="275" spans="1:21" x14ac:dyDescent="0.35">
      <c r="A275" t="s">
        <v>100</v>
      </c>
      <c r="B275">
        <v>40</v>
      </c>
      <c r="C275">
        <v>65000</v>
      </c>
      <c r="D275" t="s">
        <v>11</v>
      </c>
      <c r="E275" t="s">
        <v>12</v>
      </c>
      <c r="F275" t="s">
        <v>13</v>
      </c>
      <c r="G275" s="3">
        <v>43477</v>
      </c>
      <c r="H275" t="str">
        <f>TEXT(tbl_HR_Data[[#This Row],[Joining Date]], "mmm")</f>
        <v>Jan</v>
      </c>
      <c r="I275" t="s">
        <v>93</v>
      </c>
      <c r="J275" t="s">
        <v>21</v>
      </c>
      <c r="K275" t="s">
        <v>15</v>
      </c>
      <c r="L275" t="s">
        <v>87</v>
      </c>
      <c r="M275">
        <f>IFERROR( _xlfn.XLOOKUP(TRIM(tbl_HR_Data[[#This Row],[Age]]),#REF!,#REF!), VALUE(TRIM(tbl_HR_Data[[#This Row],[Age]])))</f>
        <v>40</v>
      </c>
      <c r="N275" t="str">
        <f>IFERROR(_xlfn.XLOOKUP(tbl_HR_Data[[#This Row],[Gender]], Mapping[Gender _Discarded], Mapping[Gender_Correction]), PROPER(TRIM(tbl_HR_Data[[#This Row],[Gender]])))</f>
        <v>Male</v>
      </c>
      <c r="O275" t="str">
        <f>TRIM(tbl_HR_Data[[#This Row],[Position]])</f>
        <v>Manager</v>
      </c>
      <c r="P275" t="str">
        <f>IFERROR(_xlfn.XLOOKUP(tbl_HR_Data[[#This Row],[Email]], Mapping[Email_Discarded], Mapping[Email_Correction]), LOWER(TRIM(tbl_HR_Data[[#This Row],[Email]])))</f>
        <v>email@example.com</v>
      </c>
      <c r="Q27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75" t="str" cm="1">
        <f t="array" ref="R275">_xlfn.REDUCE(Q275, {"-","/","_","\","(",")"}, _xlfn.LAMBDA(_xlpm.txt,_xlpm.itm, SUBSTITUTE(_xlpm.txt, _xlpm.itm, "")))</f>
        <v>1234567890</v>
      </c>
      <c r="S275" s="3">
        <f>IFERROR(_xlfn.XLOOKUP(tbl_HR_Data[[#This Row],[Joining Date]], Mapping[Joining_Discarded], Mapping[Joining_Correction]), VALUE(tbl_HR_Data[[#This Row],[Joining Date]]))</f>
        <v>43477</v>
      </c>
      <c r="T275" t="str">
        <f>TEXT(tbl_HR_Data[[#This Row],[Joining Date]], "mmm")</f>
        <v>Jan</v>
      </c>
      <c r="U275" t="str">
        <f>TEXT(tbl_HR_Data[[#This Row],[Joining Date]], "ddd")</f>
        <v>Sat</v>
      </c>
    </row>
    <row r="276" spans="1:21" x14ac:dyDescent="0.35">
      <c r="A276" t="s">
        <v>103</v>
      </c>
      <c r="B276">
        <v>25</v>
      </c>
      <c r="C276">
        <v>65000</v>
      </c>
      <c r="D276" t="s">
        <v>18</v>
      </c>
      <c r="E276" t="s">
        <v>37</v>
      </c>
      <c r="F276" t="s">
        <v>13</v>
      </c>
      <c r="G276" s="3">
        <v>43477</v>
      </c>
      <c r="H276" t="str">
        <f>TEXT(tbl_HR_Data[[#This Row],[Joining Date]], "mmm")</f>
        <v>Jan</v>
      </c>
      <c r="I276" t="s">
        <v>93</v>
      </c>
      <c r="J276" t="s">
        <v>27</v>
      </c>
      <c r="K276" t="s">
        <v>15</v>
      </c>
      <c r="L276" t="s">
        <v>87</v>
      </c>
      <c r="M276">
        <f>IFERROR( _xlfn.XLOOKUP(TRIM(tbl_HR_Data[[#This Row],[Age]]),#REF!,#REF!), VALUE(TRIM(tbl_HR_Data[[#This Row],[Age]])))</f>
        <v>25</v>
      </c>
      <c r="N276" t="str">
        <f>IFERROR(_xlfn.XLOOKUP(tbl_HR_Data[[#This Row],[Gender]], Mapping[Gender _Discarded], Mapping[Gender_Correction]), PROPER(TRIM(tbl_HR_Data[[#This Row],[Gender]])))</f>
        <v>Female</v>
      </c>
      <c r="O276" t="str">
        <f>TRIM(tbl_HR_Data[[#This Row],[Position]])</f>
        <v>Manager</v>
      </c>
      <c r="P276" t="str">
        <f>IFERROR(_xlfn.XLOOKUP(tbl_HR_Data[[#This Row],[Email]], Mapping[Email_Discarded], Mapping[Email_Correction]), LOWER(TRIM(tbl_HR_Data[[#This Row],[Email]])))</f>
        <v>email@example.com</v>
      </c>
      <c r="Q27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76" t="str" cm="1">
        <f t="array" ref="R276">_xlfn.REDUCE(Q276, {"-","/","_","\","(",")"}, _xlfn.LAMBDA(_xlpm.txt,_xlpm.itm, SUBSTITUTE(_xlpm.txt, _xlpm.itm, "")))</f>
        <v>1234567890</v>
      </c>
      <c r="S276" s="3">
        <f>IFERROR(_xlfn.XLOOKUP(tbl_HR_Data[[#This Row],[Joining Date]], Mapping[Joining_Discarded], Mapping[Joining_Correction]), VALUE(tbl_HR_Data[[#This Row],[Joining Date]]))</f>
        <v>43477</v>
      </c>
      <c r="T276" t="str">
        <f>TEXT(tbl_HR_Data[[#This Row],[Joining Date]], "mmm")</f>
        <v>Jan</v>
      </c>
      <c r="U276" t="str">
        <f>TEXT(tbl_HR_Data[[#This Row],[Joining Date]], "ddd")</f>
        <v>Sat</v>
      </c>
    </row>
    <row r="277" spans="1:21" x14ac:dyDescent="0.35">
      <c r="A277" t="s">
        <v>106</v>
      </c>
      <c r="B277">
        <v>25</v>
      </c>
      <c r="C277">
        <v>50000</v>
      </c>
      <c r="D277" t="s">
        <v>36</v>
      </c>
      <c r="E277" t="s">
        <v>19</v>
      </c>
      <c r="F277" t="s">
        <v>39</v>
      </c>
      <c r="G277" s="3">
        <v>43477</v>
      </c>
      <c r="H277" t="str">
        <f>TEXT(tbl_HR_Data[[#This Row],[Joining Date]], "mmm")</f>
        <v>Jan</v>
      </c>
      <c r="I277" t="s">
        <v>93</v>
      </c>
      <c r="J277" t="s">
        <v>14</v>
      </c>
      <c r="K277" t="s">
        <v>32</v>
      </c>
      <c r="L277" t="s">
        <v>89</v>
      </c>
      <c r="M277">
        <f>IFERROR( _xlfn.XLOOKUP(TRIM(tbl_HR_Data[[#This Row],[Age]]),#REF!,#REF!), VALUE(TRIM(tbl_HR_Data[[#This Row],[Age]])))</f>
        <v>25</v>
      </c>
      <c r="N277" t="str">
        <f>IFERROR(_xlfn.XLOOKUP(tbl_HR_Data[[#This Row],[Gender]], Mapping[Gender _Discarded], Mapping[Gender_Correction]), PROPER(TRIM(tbl_HR_Data[[#This Row],[Gender]])))</f>
        <v>Other</v>
      </c>
      <c r="O277" t="str">
        <f>TRIM(tbl_HR_Data[[#This Row],[Position]])</f>
        <v>Clerk</v>
      </c>
      <c r="P277" t="str">
        <f>IFERROR(_xlfn.XLOOKUP(tbl_HR_Data[[#This Row],[Email]], Mapping[Email_Discarded], Mapping[Email_Correction]), LOWER(TRIM(tbl_HR_Data[[#This Row],[Email]])))</f>
        <v>name@company.org</v>
      </c>
      <c r="Q27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277" t="str" cm="1">
        <f t="array" ref="R277">_xlfn.REDUCE(Q277, {"-","/","_","\","(",")"}, _xlfn.LAMBDA(_xlpm.txt,_xlpm.itm, SUBSTITUTE(_xlpm.txt, _xlpm.itm, "")))</f>
        <v>5555555555</v>
      </c>
      <c r="S277" s="3">
        <f>IFERROR(_xlfn.XLOOKUP(tbl_HR_Data[[#This Row],[Joining Date]], Mapping[Joining_Discarded], Mapping[Joining_Correction]), VALUE(tbl_HR_Data[[#This Row],[Joining Date]]))</f>
        <v>43477</v>
      </c>
      <c r="T277" t="str">
        <f>TEXT(tbl_HR_Data[[#This Row],[Joining Date]], "mmm")</f>
        <v>Jan</v>
      </c>
      <c r="U277" t="str">
        <f>TEXT(tbl_HR_Data[[#This Row],[Joining Date]], "ddd")</f>
        <v>Sat</v>
      </c>
    </row>
    <row r="278" spans="1:21" x14ac:dyDescent="0.35">
      <c r="A278" t="s">
        <v>107</v>
      </c>
      <c r="B278">
        <v>0</v>
      </c>
      <c r="C278">
        <v>65000</v>
      </c>
      <c r="D278" t="s">
        <v>36</v>
      </c>
      <c r="E278" t="s">
        <v>19</v>
      </c>
      <c r="F278" t="s">
        <v>44</v>
      </c>
      <c r="G278" s="3">
        <v>43477</v>
      </c>
      <c r="H278" t="str">
        <f>TEXT(tbl_HR_Data[[#This Row],[Joining Date]], "mmm")</f>
        <v>Jan</v>
      </c>
      <c r="I278" t="s">
        <v>93</v>
      </c>
      <c r="J278" t="s">
        <v>21</v>
      </c>
      <c r="K278" t="s">
        <v>22</v>
      </c>
      <c r="L278" t="s">
        <v>88</v>
      </c>
      <c r="M278">
        <f>IFERROR( _xlfn.XLOOKUP(TRIM(tbl_HR_Data[[#This Row],[Age]]),#REF!,#REF!), VALUE(TRIM(tbl_HR_Data[[#This Row],[Age]])))</f>
        <v>0</v>
      </c>
      <c r="N278" t="str">
        <f>IFERROR(_xlfn.XLOOKUP(tbl_HR_Data[[#This Row],[Gender]], Mapping[Gender _Discarded], Mapping[Gender_Correction]), PROPER(TRIM(tbl_HR_Data[[#This Row],[Gender]])))</f>
        <v>Other</v>
      </c>
      <c r="O278" t="str">
        <f>TRIM(tbl_HR_Data[[#This Row],[Position]])</f>
        <v>Analyst</v>
      </c>
      <c r="P278" t="str">
        <f>IFERROR(_xlfn.XLOOKUP(tbl_HR_Data[[#This Row],[Email]], Mapping[Email_Discarded], Mapping[Email_Correction]), LOWER(TRIM(tbl_HR_Data[[#This Row],[Email]])))</f>
        <v>user@domain.com</v>
      </c>
      <c r="Q27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278" t="str" cm="1">
        <f t="array" ref="R278">_xlfn.REDUCE(Q278, {"-","/","_","\","(",")"}, _xlfn.LAMBDA(_xlpm.txt,_xlpm.itm, SUBSTITUTE(_xlpm.txt, _xlpm.itm, "")))</f>
        <v>0987654321</v>
      </c>
      <c r="S278" s="3">
        <f>IFERROR(_xlfn.XLOOKUP(tbl_HR_Data[[#This Row],[Joining Date]], Mapping[Joining_Discarded], Mapping[Joining_Correction]), VALUE(tbl_HR_Data[[#This Row],[Joining Date]]))</f>
        <v>43477</v>
      </c>
      <c r="T278" t="str">
        <f>TEXT(tbl_HR_Data[[#This Row],[Joining Date]], "mmm")</f>
        <v>Jan</v>
      </c>
      <c r="U278" t="str">
        <f>TEXT(tbl_HR_Data[[#This Row],[Joining Date]], "ddd")</f>
        <v>Sat</v>
      </c>
    </row>
    <row r="279" spans="1:21" x14ac:dyDescent="0.35">
      <c r="A279" t="s">
        <v>102</v>
      </c>
      <c r="B279">
        <v>40</v>
      </c>
      <c r="C279">
        <v>0</v>
      </c>
      <c r="D279" t="s">
        <v>36</v>
      </c>
      <c r="E279" t="s">
        <v>30</v>
      </c>
      <c r="F279" t="s">
        <v>39</v>
      </c>
      <c r="G279" s="3">
        <v>43477</v>
      </c>
      <c r="H279" t="str">
        <f>TEXT(tbl_HR_Data[[#This Row],[Joining Date]], "mmm")</f>
        <v>Jan</v>
      </c>
      <c r="I279" t="s">
        <v>93</v>
      </c>
      <c r="J279" t="s">
        <v>21</v>
      </c>
      <c r="K279" t="s">
        <v>77</v>
      </c>
      <c r="L279" t="s">
        <v>77</v>
      </c>
      <c r="M279">
        <f>IFERROR( _xlfn.XLOOKUP(TRIM(tbl_HR_Data[[#This Row],[Age]]),#REF!,#REF!), VALUE(TRIM(tbl_HR_Data[[#This Row],[Age]])))</f>
        <v>40</v>
      </c>
      <c r="N279" t="str">
        <f>IFERROR(_xlfn.XLOOKUP(tbl_HR_Data[[#This Row],[Gender]], Mapping[Gender _Discarded], Mapping[Gender_Correction]), PROPER(TRIM(tbl_HR_Data[[#This Row],[Gender]])))</f>
        <v>Other</v>
      </c>
      <c r="O279" t="str">
        <f>TRIM(tbl_HR_Data[[#This Row],[Position]])</f>
        <v>Clerk</v>
      </c>
      <c r="P279" t="str">
        <f>IFERROR(_xlfn.XLOOKUP(tbl_HR_Data[[#This Row],[Email]], Mapping[Email_Discarded], Mapping[Email_Correction]), LOWER(TRIM(tbl_HR_Data[[#This Row],[Email]])))</f>
        <v>not provided</v>
      </c>
      <c r="Q27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79" t="str" cm="1">
        <f t="array" ref="R279">_xlfn.REDUCE(Q279, {"-","/","_","\","(",")"}, _xlfn.LAMBDA(_xlpm.txt,_xlpm.itm, SUBSTITUTE(_xlpm.txt, _xlpm.itm, "")))</f>
        <v>Not Provided</v>
      </c>
      <c r="S279" s="3">
        <f>IFERROR(_xlfn.XLOOKUP(tbl_HR_Data[[#This Row],[Joining Date]], Mapping[Joining_Discarded], Mapping[Joining_Correction]), VALUE(tbl_HR_Data[[#This Row],[Joining Date]]))</f>
        <v>43477</v>
      </c>
      <c r="T279" t="str">
        <f>TEXT(tbl_HR_Data[[#This Row],[Joining Date]], "mmm")</f>
        <v>Jan</v>
      </c>
      <c r="U279" t="str">
        <f>TEXT(tbl_HR_Data[[#This Row],[Joining Date]], "ddd")</f>
        <v>Sat</v>
      </c>
    </row>
    <row r="280" spans="1:21" x14ac:dyDescent="0.35">
      <c r="A280" t="s">
        <v>102</v>
      </c>
      <c r="B280">
        <v>50</v>
      </c>
      <c r="C280">
        <v>70000</v>
      </c>
      <c r="D280" t="s">
        <v>11</v>
      </c>
      <c r="E280" t="s">
        <v>19</v>
      </c>
      <c r="F280" t="s">
        <v>20</v>
      </c>
      <c r="G280" s="3">
        <v>43477</v>
      </c>
      <c r="H280" t="str">
        <f>TEXT(tbl_HR_Data[[#This Row],[Joining Date]], "mmm")</f>
        <v>Jan</v>
      </c>
      <c r="I280" t="s">
        <v>93</v>
      </c>
      <c r="J280" t="s">
        <v>41</v>
      </c>
      <c r="K280" t="s">
        <v>32</v>
      </c>
      <c r="L280" t="s">
        <v>87</v>
      </c>
      <c r="M280">
        <f>IFERROR( _xlfn.XLOOKUP(TRIM(tbl_HR_Data[[#This Row],[Age]]),#REF!,#REF!), VALUE(TRIM(tbl_HR_Data[[#This Row],[Age]])))</f>
        <v>50</v>
      </c>
      <c r="N280" t="str">
        <f>IFERROR(_xlfn.XLOOKUP(tbl_HR_Data[[#This Row],[Gender]], Mapping[Gender _Discarded], Mapping[Gender_Correction]), PROPER(TRIM(tbl_HR_Data[[#This Row],[Gender]])))</f>
        <v>Male</v>
      </c>
      <c r="O280" t="str">
        <f>TRIM(tbl_HR_Data[[#This Row],[Position]])</f>
        <v>Director</v>
      </c>
      <c r="P280" t="str">
        <f>IFERROR(_xlfn.XLOOKUP(tbl_HR_Data[[#This Row],[Email]], Mapping[Email_Discarded], Mapping[Email_Correction]), LOWER(TRIM(tbl_HR_Data[[#This Row],[Email]])))</f>
        <v>name@company.org</v>
      </c>
      <c r="Q28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80" t="str" cm="1">
        <f t="array" ref="R280">_xlfn.REDUCE(Q280, {"-","/","_","\","(",")"}, _xlfn.LAMBDA(_xlpm.txt,_xlpm.itm, SUBSTITUTE(_xlpm.txt, _xlpm.itm, "")))</f>
        <v>1234567890</v>
      </c>
      <c r="S280" s="3">
        <f>IFERROR(_xlfn.XLOOKUP(tbl_HR_Data[[#This Row],[Joining Date]], Mapping[Joining_Discarded], Mapping[Joining_Correction]), VALUE(tbl_HR_Data[[#This Row],[Joining Date]]))</f>
        <v>43477</v>
      </c>
      <c r="T280" t="str">
        <f>TEXT(tbl_HR_Data[[#This Row],[Joining Date]], "mmm")</f>
        <v>Jan</v>
      </c>
      <c r="U280" t="str">
        <f>TEXT(tbl_HR_Data[[#This Row],[Joining Date]], "ddd")</f>
        <v>Sat</v>
      </c>
    </row>
    <row r="281" spans="1:21" x14ac:dyDescent="0.35">
      <c r="A281" t="s">
        <v>103</v>
      </c>
      <c r="B281">
        <v>50</v>
      </c>
      <c r="C281">
        <v>70000</v>
      </c>
      <c r="D281" t="s">
        <v>11</v>
      </c>
      <c r="E281" t="s">
        <v>19</v>
      </c>
      <c r="F281" t="s">
        <v>43</v>
      </c>
      <c r="G281" s="3">
        <v>43477</v>
      </c>
      <c r="H281" t="str">
        <f>TEXT(tbl_HR_Data[[#This Row],[Joining Date]], "mmm")</f>
        <v>Jan</v>
      </c>
      <c r="I281" t="s">
        <v>93</v>
      </c>
      <c r="J281" t="s">
        <v>41</v>
      </c>
      <c r="K281" t="s">
        <v>15</v>
      </c>
      <c r="L281" t="s">
        <v>77</v>
      </c>
      <c r="M281">
        <f>IFERROR( _xlfn.XLOOKUP(TRIM(tbl_HR_Data[[#This Row],[Age]]),#REF!,#REF!), VALUE(TRIM(tbl_HR_Data[[#This Row],[Age]])))</f>
        <v>50</v>
      </c>
      <c r="N281" t="str">
        <f>IFERROR(_xlfn.XLOOKUP(tbl_HR_Data[[#This Row],[Gender]], Mapping[Gender _Discarded], Mapping[Gender_Correction]), PROPER(TRIM(tbl_HR_Data[[#This Row],[Gender]])))</f>
        <v>Male</v>
      </c>
      <c r="O281" t="str">
        <f>TRIM(tbl_HR_Data[[#This Row],[Position]])</f>
        <v>Assistant</v>
      </c>
      <c r="P281" t="str">
        <f>IFERROR(_xlfn.XLOOKUP(tbl_HR_Data[[#This Row],[Email]], Mapping[Email_Discarded], Mapping[Email_Correction]), LOWER(TRIM(tbl_HR_Data[[#This Row],[Email]])))</f>
        <v>email@example.com</v>
      </c>
      <c r="Q28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81" t="str" cm="1">
        <f t="array" ref="R281">_xlfn.REDUCE(Q281, {"-","/","_","\","(",")"}, _xlfn.LAMBDA(_xlpm.txt,_xlpm.itm, SUBSTITUTE(_xlpm.txt, _xlpm.itm, "")))</f>
        <v>Not Provided</v>
      </c>
      <c r="S281" s="3">
        <f>IFERROR(_xlfn.XLOOKUP(tbl_HR_Data[[#This Row],[Joining Date]], Mapping[Joining_Discarded], Mapping[Joining_Correction]), VALUE(tbl_HR_Data[[#This Row],[Joining Date]]))</f>
        <v>43477</v>
      </c>
      <c r="T281" t="str">
        <f>TEXT(tbl_HR_Data[[#This Row],[Joining Date]], "mmm")</f>
        <v>Jan</v>
      </c>
      <c r="U281" t="str">
        <f>TEXT(tbl_HR_Data[[#This Row],[Joining Date]], "ddd")</f>
        <v>Sat</v>
      </c>
    </row>
    <row r="282" spans="1:21" x14ac:dyDescent="0.35">
      <c r="A282" t="s">
        <v>105</v>
      </c>
      <c r="B282">
        <v>35</v>
      </c>
      <c r="C282">
        <v>55000</v>
      </c>
      <c r="D282" t="s">
        <v>11</v>
      </c>
      <c r="E282" t="s">
        <v>12</v>
      </c>
      <c r="F282" t="s">
        <v>13</v>
      </c>
      <c r="G282" s="3">
        <v>43477</v>
      </c>
      <c r="H282" t="str">
        <f>TEXT(tbl_HR_Data[[#This Row],[Joining Date]], "mmm")</f>
        <v>Jan</v>
      </c>
      <c r="I282" t="s">
        <v>93</v>
      </c>
      <c r="J282" t="s">
        <v>27</v>
      </c>
      <c r="K282" t="s">
        <v>77</v>
      </c>
      <c r="L282" t="s">
        <v>89</v>
      </c>
      <c r="M282">
        <f>IFERROR( _xlfn.XLOOKUP(TRIM(tbl_HR_Data[[#This Row],[Age]]),#REF!,#REF!), VALUE(TRIM(tbl_HR_Data[[#This Row],[Age]])))</f>
        <v>35</v>
      </c>
      <c r="N282" t="str">
        <f>IFERROR(_xlfn.XLOOKUP(tbl_HR_Data[[#This Row],[Gender]], Mapping[Gender _Discarded], Mapping[Gender_Correction]), PROPER(TRIM(tbl_HR_Data[[#This Row],[Gender]])))</f>
        <v>Male</v>
      </c>
      <c r="O282" t="str">
        <f>TRIM(tbl_HR_Data[[#This Row],[Position]])</f>
        <v>Manager</v>
      </c>
      <c r="P282" t="str">
        <f>IFERROR(_xlfn.XLOOKUP(tbl_HR_Data[[#This Row],[Email]], Mapping[Email_Discarded], Mapping[Email_Correction]), LOWER(TRIM(tbl_HR_Data[[#This Row],[Email]])))</f>
        <v>not provided</v>
      </c>
      <c r="Q28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282" t="str" cm="1">
        <f t="array" ref="R282">_xlfn.REDUCE(Q282, {"-","/","_","\","(",")"}, _xlfn.LAMBDA(_xlpm.txt,_xlpm.itm, SUBSTITUTE(_xlpm.txt, _xlpm.itm, "")))</f>
        <v>5555555555</v>
      </c>
      <c r="S282" s="3">
        <f>IFERROR(_xlfn.XLOOKUP(tbl_HR_Data[[#This Row],[Joining Date]], Mapping[Joining_Discarded], Mapping[Joining_Correction]), VALUE(tbl_HR_Data[[#This Row],[Joining Date]]))</f>
        <v>43477</v>
      </c>
      <c r="T282" t="str">
        <f>TEXT(tbl_HR_Data[[#This Row],[Joining Date]], "mmm")</f>
        <v>Jan</v>
      </c>
      <c r="U282" t="str">
        <f>TEXT(tbl_HR_Data[[#This Row],[Joining Date]], "ddd")</f>
        <v>Sat</v>
      </c>
    </row>
    <row r="283" spans="1:21" x14ac:dyDescent="0.35">
      <c r="A283" t="s">
        <v>105</v>
      </c>
      <c r="B283">
        <v>25</v>
      </c>
      <c r="C283">
        <v>65000</v>
      </c>
      <c r="D283" t="s">
        <v>11</v>
      </c>
      <c r="E283" t="s">
        <v>19</v>
      </c>
      <c r="F283" t="s">
        <v>20</v>
      </c>
      <c r="G283" s="3">
        <v>43477</v>
      </c>
      <c r="H283" t="str">
        <f>TEXT(tbl_HR_Data[[#This Row],[Joining Date]], "mmm")</f>
        <v>Jan</v>
      </c>
      <c r="I283" t="s">
        <v>93</v>
      </c>
      <c r="J283" t="s">
        <v>41</v>
      </c>
      <c r="K283" t="s">
        <v>22</v>
      </c>
      <c r="L283" t="s">
        <v>77</v>
      </c>
      <c r="M283">
        <f>IFERROR( _xlfn.XLOOKUP(TRIM(tbl_HR_Data[[#This Row],[Age]]),#REF!,#REF!), VALUE(TRIM(tbl_HR_Data[[#This Row],[Age]])))</f>
        <v>25</v>
      </c>
      <c r="N283" t="str">
        <f>IFERROR(_xlfn.XLOOKUP(tbl_HR_Data[[#This Row],[Gender]], Mapping[Gender _Discarded], Mapping[Gender_Correction]), PROPER(TRIM(tbl_HR_Data[[#This Row],[Gender]])))</f>
        <v>Male</v>
      </c>
      <c r="O283" t="str">
        <f>TRIM(tbl_HR_Data[[#This Row],[Position]])</f>
        <v>Director</v>
      </c>
      <c r="P283" t="str">
        <f>IFERROR(_xlfn.XLOOKUP(tbl_HR_Data[[#This Row],[Email]], Mapping[Email_Discarded], Mapping[Email_Correction]), LOWER(TRIM(tbl_HR_Data[[#This Row],[Email]])))</f>
        <v>user@domain.com</v>
      </c>
      <c r="Q28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83" t="str" cm="1">
        <f t="array" ref="R283">_xlfn.REDUCE(Q283, {"-","/","_","\","(",")"}, _xlfn.LAMBDA(_xlpm.txt,_xlpm.itm, SUBSTITUTE(_xlpm.txt, _xlpm.itm, "")))</f>
        <v>Not Provided</v>
      </c>
      <c r="S283" s="3">
        <f>IFERROR(_xlfn.XLOOKUP(tbl_HR_Data[[#This Row],[Joining Date]], Mapping[Joining_Discarded], Mapping[Joining_Correction]), VALUE(tbl_HR_Data[[#This Row],[Joining Date]]))</f>
        <v>43477</v>
      </c>
      <c r="T283" t="str">
        <f>TEXT(tbl_HR_Data[[#This Row],[Joining Date]], "mmm")</f>
        <v>Jan</v>
      </c>
      <c r="U283" t="str">
        <f>TEXT(tbl_HR_Data[[#This Row],[Joining Date]], "ddd")</f>
        <v>Sat</v>
      </c>
    </row>
    <row r="284" spans="1:21" x14ac:dyDescent="0.35">
      <c r="A284" t="s">
        <v>107</v>
      </c>
      <c r="B284">
        <v>50</v>
      </c>
      <c r="C284">
        <v>50000</v>
      </c>
      <c r="D284" t="s">
        <v>11</v>
      </c>
      <c r="E284" t="s">
        <v>30</v>
      </c>
      <c r="F284" t="s">
        <v>43</v>
      </c>
      <c r="G284" s="3">
        <v>43477</v>
      </c>
      <c r="H284" t="str">
        <f>TEXT(tbl_HR_Data[[#This Row],[Joining Date]], "mmm")</f>
        <v>Jan</v>
      </c>
      <c r="I284" t="s">
        <v>93</v>
      </c>
      <c r="J284" t="s">
        <v>41</v>
      </c>
      <c r="K284" t="s">
        <v>77</v>
      </c>
      <c r="L284" t="s">
        <v>77</v>
      </c>
      <c r="M284">
        <f>IFERROR( _xlfn.XLOOKUP(TRIM(tbl_HR_Data[[#This Row],[Age]]),#REF!,#REF!), VALUE(TRIM(tbl_HR_Data[[#This Row],[Age]])))</f>
        <v>50</v>
      </c>
      <c r="N284" t="str">
        <f>IFERROR(_xlfn.XLOOKUP(tbl_HR_Data[[#This Row],[Gender]], Mapping[Gender _Discarded], Mapping[Gender_Correction]), PROPER(TRIM(tbl_HR_Data[[#This Row],[Gender]])))</f>
        <v>Male</v>
      </c>
      <c r="O284" t="str">
        <f>TRIM(tbl_HR_Data[[#This Row],[Position]])</f>
        <v>Assistant</v>
      </c>
      <c r="P284" t="str">
        <f>IFERROR(_xlfn.XLOOKUP(tbl_HR_Data[[#This Row],[Email]], Mapping[Email_Discarded], Mapping[Email_Correction]), LOWER(TRIM(tbl_HR_Data[[#This Row],[Email]])))</f>
        <v>not provided</v>
      </c>
      <c r="Q28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84" t="str" cm="1">
        <f t="array" ref="R284">_xlfn.REDUCE(Q284, {"-","/","_","\","(",")"}, _xlfn.LAMBDA(_xlpm.txt,_xlpm.itm, SUBSTITUTE(_xlpm.txt, _xlpm.itm, "")))</f>
        <v>Not Provided</v>
      </c>
      <c r="S284" s="3">
        <f>IFERROR(_xlfn.XLOOKUP(tbl_HR_Data[[#This Row],[Joining Date]], Mapping[Joining_Discarded], Mapping[Joining_Correction]), VALUE(tbl_HR_Data[[#This Row],[Joining Date]]))</f>
        <v>43477</v>
      </c>
      <c r="T284" t="str">
        <f>TEXT(tbl_HR_Data[[#This Row],[Joining Date]], "mmm")</f>
        <v>Jan</v>
      </c>
      <c r="U284" t="str">
        <f>TEXT(tbl_HR_Data[[#This Row],[Joining Date]], "ddd")</f>
        <v>Sat</v>
      </c>
    </row>
    <row r="285" spans="1:21" x14ac:dyDescent="0.35">
      <c r="A285" t="s">
        <v>108</v>
      </c>
      <c r="B285">
        <v>40</v>
      </c>
      <c r="C285">
        <v>70000</v>
      </c>
      <c r="D285" t="s">
        <v>11</v>
      </c>
      <c r="E285" t="s">
        <v>37</v>
      </c>
      <c r="F285" t="s">
        <v>43</v>
      </c>
      <c r="G285" s="3">
        <v>43477</v>
      </c>
      <c r="H285" t="str">
        <f>TEXT(tbl_HR_Data[[#This Row],[Joining Date]], "mmm")</f>
        <v>Jan</v>
      </c>
      <c r="I285" t="s">
        <v>93</v>
      </c>
      <c r="J285" t="s">
        <v>41</v>
      </c>
      <c r="K285" t="s">
        <v>77</v>
      </c>
      <c r="L285" t="s">
        <v>88</v>
      </c>
      <c r="M285">
        <f>IFERROR( _xlfn.XLOOKUP(TRIM(tbl_HR_Data[[#This Row],[Age]]),#REF!,#REF!), VALUE(TRIM(tbl_HR_Data[[#This Row],[Age]])))</f>
        <v>40</v>
      </c>
      <c r="N285" t="str">
        <f>IFERROR(_xlfn.XLOOKUP(tbl_HR_Data[[#This Row],[Gender]], Mapping[Gender _Discarded], Mapping[Gender_Correction]), PROPER(TRIM(tbl_HR_Data[[#This Row],[Gender]])))</f>
        <v>Male</v>
      </c>
      <c r="O285" t="str">
        <f>TRIM(tbl_HR_Data[[#This Row],[Position]])</f>
        <v>Assistant</v>
      </c>
      <c r="P285" t="str">
        <f>IFERROR(_xlfn.XLOOKUP(tbl_HR_Data[[#This Row],[Email]], Mapping[Email_Discarded], Mapping[Email_Correction]), LOWER(TRIM(tbl_HR_Data[[#This Row],[Email]])))</f>
        <v>not provided</v>
      </c>
      <c r="Q28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285" t="str" cm="1">
        <f t="array" ref="R285">_xlfn.REDUCE(Q285, {"-","/","_","\","(",")"}, _xlfn.LAMBDA(_xlpm.txt,_xlpm.itm, SUBSTITUTE(_xlpm.txt, _xlpm.itm, "")))</f>
        <v>0987654321</v>
      </c>
      <c r="S285" s="3">
        <f>IFERROR(_xlfn.XLOOKUP(tbl_HR_Data[[#This Row],[Joining Date]], Mapping[Joining_Discarded], Mapping[Joining_Correction]), VALUE(tbl_HR_Data[[#This Row],[Joining Date]]))</f>
        <v>43477</v>
      </c>
      <c r="T285" t="str">
        <f>TEXT(tbl_HR_Data[[#This Row],[Joining Date]], "mmm")</f>
        <v>Jan</v>
      </c>
      <c r="U285" t="str">
        <f>TEXT(tbl_HR_Data[[#This Row],[Joining Date]], "ddd")</f>
        <v>Sat</v>
      </c>
    </row>
    <row r="286" spans="1:21" x14ac:dyDescent="0.35">
      <c r="A286" t="s">
        <v>102</v>
      </c>
      <c r="B286">
        <v>30</v>
      </c>
      <c r="C286">
        <v>65000</v>
      </c>
      <c r="D286" t="s">
        <v>18</v>
      </c>
      <c r="E286" t="s">
        <v>30</v>
      </c>
      <c r="F286" t="s">
        <v>39</v>
      </c>
      <c r="G286" s="3">
        <v>43477</v>
      </c>
      <c r="H286" t="str">
        <f>TEXT(tbl_HR_Data[[#This Row],[Joining Date]], "mmm")</f>
        <v>Jan</v>
      </c>
      <c r="I286" t="s">
        <v>93</v>
      </c>
      <c r="J286" t="s">
        <v>14</v>
      </c>
      <c r="K286" t="s">
        <v>32</v>
      </c>
      <c r="L286" t="s">
        <v>77</v>
      </c>
      <c r="M286">
        <f>IFERROR( _xlfn.XLOOKUP(TRIM(tbl_HR_Data[[#This Row],[Age]]),#REF!,#REF!), VALUE(TRIM(tbl_HR_Data[[#This Row],[Age]])))</f>
        <v>30</v>
      </c>
      <c r="N286" t="str">
        <f>IFERROR(_xlfn.XLOOKUP(tbl_HR_Data[[#This Row],[Gender]], Mapping[Gender _Discarded], Mapping[Gender_Correction]), PROPER(TRIM(tbl_HR_Data[[#This Row],[Gender]])))</f>
        <v>Female</v>
      </c>
      <c r="O286" t="str">
        <f>TRIM(tbl_HR_Data[[#This Row],[Position]])</f>
        <v>Clerk</v>
      </c>
      <c r="P286" t="str">
        <f>IFERROR(_xlfn.XLOOKUP(tbl_HR_Data[[#This Row],[Email]], Mapping[Email_Discarded], Mapping[Email_Correction]), LOWER(TRIM(tbl_HR_Data[[#This Row],[Email]])))</f>
        <v>name@company.org</v>
      </c>
      <c r="Q28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86" t="str" cm="1">
        <f t="array" ref="R286">_xlfn.REDUCE(Q286, {"-","/","_","\","(",")"}, _xlfn.LAMBDA(_xlpm.txt,_xlpm.itm, SUBSTITUTE(_xlpm.txt, _xlpm.itm, "")))</f>
        <v>Not Provided</v>
      </c>
      <c r="S286" s="3">
        <f>IFERROR(_xlfn.XLOOKUP(tbl_HR_Data[[#This Row],[Joining Date]], Mapping[Joining_Discarded], Mapping[Joining_Correction]), VALUE(tbl_HR_Data[[#This Row],[Joining Date]]))</f>
        <v>43477</v>
      </c>
      <c r="T286" t="str">
        <f>TEXT(tbl_HR_Data[[#This Row],[Joining Date]], "mmm")</f>
        <v>Jan</v>
      </c>
      <c r="U286" t="str">
        <f>TEXT(tbl_HR_Data[[#This Row],[Joining Date]], "ddd")</f>
        <v>Sat</v>
      </c>
    </row>
    <row r="287" spans="1:21" x14ac:dyDescent="0.35">
      <c r="A287" t="s">
        <v>102</v>
      </c>
      <c r="B287">
        <v>0</v>
      </c>
      <c r="C287">
        <v>55000</v>
      </c>
      <c r="D287" t="s">
        <v>36</v>
      </c>
      <c r="E287" t="s">
        <v>30</v>
      </c>
      <c r="F287" t="s">
        <v>39</v>
      </c>
      <c r="G287" s="3">
        <v>43477</v>
      </c>
      <c r="H287" t="str">
        <f>TEXT(tbl_HR_Data[[#This Row],[Joining Date]], "mmm")</f>
        <v>Jan</v>
      </c>
      <c r="I287" t="s">
        <v>93</v>
      </c>
      <c r="J287" t="s">
        <v>27</v>
      </c>
      <c r="K287" t="s">
        <v>77</v>
      </c>
      <c r="L287" t="s">
        <v>77</v>
      </c>
      <c r="M287">
        <f>IFERROR( _xlfn.XLOOKUP(TRIM(tbl_HR_Data[[#This Row],[Age]]),#REF!,#REF!), VALUE(TRIM(tbl_HR_Data[[#This Row],[Age]])))</f>
        <v>0</v>
      </c>
      <c r="N287" t="str">
        <f>IFERROR(_xlfn.XLOOKUP(tbl_HR_Data[[#This Row],[Gender]], Mapping[Gender _Discarded], Mapping[Gender_Correction]), PROPER(TRIM(tbl_HR_Data[[#This Row],[Gender]])))</f>
        <v>Other</v>
      </c>
      <c r="O287" t="str">
        <f>TRIM(tbl_HR_Data[[#This Row],[Position]])</f>
        <v>Clerk</v>
      </c>
      <c r="P287" t="str">
        <f>IFERROR(_xlfn.XLOOKUP(tbl_HR_Data[[#This Row],[Email]], Mapping[Email_Discarded], Mapping[Email_Correction]), LOWER(TRIM(tbl_HR_Data[[#This Row],[Email]])))</f>
        <v>not provided</v>
      </c>
      <c r="Q28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87" t="str" cm="1">
        <f t="array" ref="R287">_xlfn.REDUCE(Q287, {"-","/","_","\","(",")"}, _xlfn.LAMBDA(_xlpm.txt,_xlpm.itm, SUBSTITUTE(_xlpm.txt, _xlpm.itm, "")))</f>
        <v>Not Provided</v>
      </c>
      <c r="S287" s="3">
        <f>IFERROR(_xlfn.XLOOKUP(tbl_HR_Data[[#This Row],[Joining Date]], Mapping[Joining_Discarded], Mapping[Joining_Correction]), VALUE(tbl_HR_Data[[#This Row],[Joining Date]]))</f>
        <v>43477</v>
      </c>
      <c r="T287" t="str">
        <f>TEXT(tbl_HR_Data[[#This Row],[Joining Date]], "mmm")</f>
        <v>Jan</v>
      </c>
      <c r="U287" t="str">
        <f>TEXT(tbl_HR_Data[[#This Row],[Joining Date]], "ddd")</f>
        <v>Sat</v>
      </c>
    </row>
    <row r="288" spans="1:21" x14ac:dyDescent="0.35">
      <c r="A288" t="s">
        <v>99</v>
      </c>
      <c r="B288">
        <v>40</v>
      </c>
      <c r="C288">
        <v>70000</v>
      </c>
      <c r="D288" t="s">
        <v>36</v>
      </c>
      <c r="E288" t="s">
        <v>30</v>
      </c>
      <c r="F288" t="s">
        <v>43</v>
      </c>
      <c r="G288" s="3">
        <v>43477</v>
      </c>
      <c r="H288" t="str">
        <f>TEXT(tbl_HR_Data[[#This Row],[Joining Date]], "mmm")</f>
        <v>Jan</v>
      </c>
      <c r="I288" t="s">
        <v>93</v>
      </c>
      <c r="J288" t="s">
        <v>41</v>
      </c>
      <c r="K288" t="s">
        <v>77</v>
      </c>
      <c r="L288" t="s">
        <v>89</v>
      </c>
      <c r="M288">
        <f>IFERROR( _xlfn.XLOOKUP(TRIM(tbl_HR_Data[[#This Row],[Age]]),#REF!,#REF!), VALUE(TRIM(tbl_HR_Data[[#This Row],[Age]])))</f>
        <v>40</v>
      </c>
      <c r="N288" t="str">
        <f>IFERROR(_xlfn.XLOOKUP(tbl_HR_Data[[#This Row],[Gender]], Mapping[Gender _Discarded], Mapping[Gender_Correction]), PROPER(TRIM(tbl_HR_Data[[#This Row],[Gender]])))</f>
        <v>Other</v>
      </c>
      <c r="O288" t="str">
        <f>TRIM(tbl_HR_Data[[#This Row],[Position]])</f>
        <v>Assistant</v>
      </c>
      <c r="P288" t="str">
        <f>IFERROR(_xlfn.XLOOKUP(tbl_HR_Data[[#This Row],[Email]], Mapping[Email_Discarded], Mapping[Email_Correction]), LOWER(TRIM(tbl_HR_Data[[#This Row],[Email]])))</f>
        <v>not provided</v>
      </c>
      <c r="Q28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288" t="str" cm="1">
        <f t="array" ref="R288">_xlfn.REDUCE(Q288, {"-","/","_","\","(",")"}, _xlfn.LAMBDA(_xlpm.txt,_xlpm.itm, SUBSTITUTE(_xlpm.txt, _xlpm.itm, "")))</f>
        <v>5555555555</v>
      </c>
      <c r="S288" s="3">
        <f>IFERROR(_xlfn.XLOOKUP(tbl_HR_Data[[#This Row],[Joining Date]], Mapping[Joining_Discarded], Mapping[Joining_Correction]), VALUE(tbl_HR_Data[[#This Row],[Joining Date]]))</f>
        <v>43477</v>
      </c>
      <c r="T288" t="str">
        <f>TEXT(tbl_HR_Data[[#This Row],[Joining Date]], "mmm")</f>
        <v>Jan</v>
      </c>
      <c r="U288" t="str">
        <f>TEXT(tbl_HR_Data[[#This Row],[Joining Date]], "ddd")</f>
        <v>Sat</v>
      </c>
    </row>
    <row r="289" spans="1:21" x14ac:dyDescent="0.35">
      <c r="A289" t="s">
        <v>105</v>
      </c>
      <c r="B289">
        <v>25</v>
      </c>
      <c r="C289">
        <v>50000</v>
      </c>
      <c r="D289" t="s">
        <v>18</v>
      </c>
      <c r="E289" t="s">
        <v>12</v>
      </c>
      <c r="F289" t="s">
        <v>13</v>
      </c>
      <c r="G289" s="3">
        <v>43477</v>
      </c>
      <c r="H289" t="str">
        <f>TEXT(tbl_HR_Data[[#This Row],[Joining Date]], "mmm")</f>
        <v>Jan</v>
      </c>
      <c r="I289" t="s">
        <v>93</v>
      </c>
      <c r="J289" t="s">
        <v>21</v>
      </c>
      <c r="K289" t="s">
        <v>77</v>
      </c>
      <c r="L289" t="s">
        <v>88</v>
      </c>
      <c r="M289">
        <f>IFERROR( _xlfn.XLOOKUP(TRIM(tbl_HR_Data[[#This Row],[Age]]),#REF!,#REF!), VALUE(TRIM(tbl_HR_Data[[#This Row],[Age]])))</f>
        <v>25</v>
      </c>
      <c r="N289" t="str">
        <f>IFERROR(_xlfn.XLOOKUP(tbl_HR_Data[[#This Row],[Gender]], Mapping[Gender _Discarded], Mapping[Gender_Correction]), PROPER(TRIM(tbl_HR_Data[[#This Row],[Gender]])))</f>
        <v>Female</v>
      </c>
      <c r="O289" t="str">
        <f>TRIM(tbl_HR_Data[[#This Row],[Position]])</f>
        <v>Manager</v>
      </c>
      <c r="P289" t="str">
        <f>IFERROR(_xlfn.XLOOKUP(tbl_HR_Data[[#This Row],[Email]], Mapping[Email_Discarded], Mapping[Email_Correction]), LOWER(TRIM(tbl_HR_Data[[#This Row],[Email]])))</f>
        <v>not provided</v>
      </c>
      <c r="Q28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289" t="str" cm="1">
        <f t="array" ref="R289">_xlfn.REDUCE(Q289, {"-","/","_","\","(",")"}, _xlfn.LAMBDA(_xlpm.txt,_xlpm.itm, SUBSTITUTE(_xlpm.txt, _xlpm.itm, "")))</f>
        <v>0987654321</v>
      </c>
      <c r="S289" s="3">
        <f>IFERROR(_xlfn.XLOOKUP(tbl_HR_Data[[#This Row],[Joining Date]], Mapping[Joining_Discarded], Mapping[Joining_Correction]), VALUE(tbl_HR_Data[[#This Row],[Joining Date]]))</f>
        <v>43477</v>
      </c>
      <c r="T289" t="str">
        <f>TEXT(tbl_HR_Data[[#This Row],[Joining Date]], "mmm")</f>
        <v>Jan</v>
      </c>
      <c r="U289" t="str">
        <f>TEXT(tbl_HR_Data[[#This Row],[Joining Date]], "ddd")</f>
        <v>Sat</v>
      </c>
    </row>
    <row r="290" spans="1:21" x14ac:dyDescent="0.35">
      <c r="A290" t="s">
        <v>105</v>
      </c>
      <c r="B290">
        <v>50</v>
      </c>
      <c r="C290">
        <v>65000</v>
      </c>
      <c r="D290" t="s">
        <v>36</v>
      </c>
      <c r="E290" t="s">
        <v>12</v>
      </c>
      <c r="F290" t="s">
        <v>20</v>
      </c>
      <c r="G290" s="3">
        <v>43477</v>
      </c>
      <c r="H290" t="str">
        <f>TEXT(tbl_HR_Data[[#This Row],[Joining Date]], "mmm")</f>
        <v>Jan</v>
      </c>
      <c r="I290" t="s">
        <v>93</v>
      </c>
      <c r="J290" t="s">
        <v>14</v>
      </c>
      <c r="K290" t="s">
        <v>32</v>
      </c>
      <c r="L290" t="s">
        <v>88</v>
      </c>
      <c r="M290">
        <f>IFERROR( _xlfn.XLOOKUP(TRIM(tbl_HR_Data[[#This Row],[Age]]),#REF!,#REF!), VALUE(TRIM(tbl_HR_Data[[#This Row],[Age]])))</f>
        <v>50</v>
      </c>
      <c r="N290" t="str">
        <f>IFERROR(_xlfn.XLOOKUP(tbl_HR_Data[[#This Row],[Gender]], Mapping[Gender _Discarded], Mapping[Gender_Correction]), PROPER(TRIM(tbl_HR_Data[[#This Row],[Gender]])))</f>
        <v>Other</v>
      </c>
      <c r="O290" t="str">
        <f>TRIM(tbl_HR_Data[[#This Row],[Position]])</f>
        <v>Director</v>
      </c>
      <c r="P290" t="str">
        <f>IFERROR(_xlfn.XLOOKUP(tbl_HR_Data[[#This Row],[Email]], Mapping[Email_Discarded], Mapping[Email_Correction]), LOWER(TRIM(tbl_HR_Data[[#This Row],[Email]])))</f>
        <v>name@company.org</v>
      </c>
      <c r="Q29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290" t="str" cm="1">
        <f t="array" ref="R290">_xlfn.REDUCE(Q290, {"-","/","_","\","(",")"}, _xlfn.LAMBDA(_xlpm.txt,_xlpm.itm, SUBSTITUTE(_xlpm.txt, _xlpm.itm, "")))</f>
        <v>0987654321</v>
      </c>
      <c r="S290" s="3">
        <f>IFERROR(_xlfn.XLOOKUP(tbl_HR_Data[[#This Row],[Joining Date]], Mapping[Joining_Discarded], Mapping[Joining_Correction]), VALUE(tbl_HR_Data[[#This Row],[Joining Date]]))</f>
        <v>43477</v>
      </c>
      <c r="T290" t="str">
        <f>TEXT(tbl_HR_Data[[#This Row],[Joining Date]], "mmm")</f>
        <v>Jan</v>
      </c>
      <c r="U290" t="str">
        <f>TEXT(tbl_HR_Data[[#This Row],[Joining Date]], "ddd")</f>
        <v>Sat</v>
      </c>
    </row>
    <row r="291" spans="1:21" x14ac:dyDescent="0.35">
      <c r="A291" t="s">
        <v>107</v>
      </c>
      <c r="B291">
        <v>30</v>
      </c>
      <c r="C291">
        <v>60000</v>
      </c>
      <c r="D291" t="s">
        <v>11</v>
      </c>
      <c r="E291" t="s">
        <v>26</v>
      </c>
      <c r="F291" t="s">
        <v>43</v>
      </c>
      <c r="G291" s="3">
        <v>43477</v>
      </c>
      <c r="H291" t="str">
        <f>TEXT(tbl_HR_Data[[#This Row],[Joining Date]], "mmm")</f>
        <v>Jan</v>
      </c>
      <c r="I291" t="s">
        <v>93</v>
      </c>
      <c r="J291" t="s">
        <v>21</v>
      </c>
      <c r="K291" t="s">
        <v>77</v>
      </c>
      <c r="L291" t="s">
        <v>89</v>
      </c>
      <c r="M291">
        <f>IFERROR( _xlfn.XLOOKUP(TRIM(tbl_HR_Data[[#This Row],[Age]]),#REF!,#REF!), VALUE(TRIM(tbl_HR_Data[[#This Row],[Age]])))</f>
        <v>30</v>
      </c>
      <c r="N291" t="str">
        <f>IFERROR(_xlfn.XLOOKUP(tbl_HR_Data[[#This Row],[Gender]], Mapping[Gender _Discarded], Mapping[Gender_Correction]), PROPER(TRIM(tbl_HR_Data[[#This Row],[Gender]])))</f>
        <v>Male</v>
      </c>
      <c r="O291" t="str">
        <f>TRIM(tbl_HR_Data[[#This Row],[Position]])</f>
        <v>Assistant</v>
      </c>
      <c r="P291" t="str">
        <f>IFERROR(_xlfn.XLOOKUP(tbl_HR_Data[[#This Row],[Email]], Mapping[Email_Discarded], Mapping[Email_Correction]), LOWER(TRIM(tbl_HR_Data[[#This Row],[Email]])))</f>
        <v>not provided</v>
      </c>
      <c r="Q29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291" t="str" cm="1">
        <f t="array" ref="R291">_xlfn.REDUCE(Q291, {"-","/","_","\","(",")"}, _xlfn.LAMBDA(_xlpm.txt,_xlpm.itm, SUBSTITUTE(_xlpm.txt, _xlpm.itm, "")))</f>
        <v>5555555555</v>
      </c>
      <c r="S291" s="3">
        <f>IFERROR(_xlfn.XLOOKUP(tbl_HR_Data[[#This Row],[Joining Date]], Mapping[Joining_Discarded], Mapping[Joining_Correction]), VALUE(tbl_HR_Data[[#This Row],[Joining Date]]))</f>
        <v>43477</v>
      </c>
      <c r="T291" t="str">
        <f>TEXT(tbl_HR_Data[[#This Row],[Joining Date]], "mmm")</f>
        <v>Jan</v>
      </c>
      <c r="U291" t="str">
        <f>TEXT(tbl_HR_Data[[#This Row],[Joining Date]], "ddd")</f>
        <v>Sat</v>
      </c>
    </row>
    <row r="292" spans="1:21" x14ac:dyDescent="0.35">
      <c r="A292" t="s">
        <v>104</v>
      </c>
      <c r="B292">
        <v>0</v>
      </c>
      <c r="C292">
        <v>65000</v>
      </c>
      <c r="D292" t="s">
        <v>36</v>
      </c>
      <c r="E292" t="s">
        <v>19</v>
      </c>
      <c r="F292" t="s">
        <v>13</v>
      </c>
      <c r="G292" s="3">
        <v>43477</v>
      </c>
      <c r="H292" t="str">
        <f>TEXT(tbl_HR_Data[[#This Row],[Joining Date]], "mmm")</f>
        <v>Jan</v>
      </c>
      <c r="I292" t="s">
        <v>93</v>
      </c>
      <c r="J292" t="s">
        <v>31</v>
      </c>
      <c r="K292" t="s">
        <v>77</v>
      </c>
      <c r="L292" t="s">
        <v>89</v>
      </c>
      <c r="M292">
        <f>IFERROR( _xlfn.XLOOKUP(TRIM(tbl_HR_Data[[#This Row],[Age]]),#REF!,#REF!), VALUE(TRIM(tbl_HR_Data[[#This Row],[Age]])))</f>
        <v>0</v>
      </c>
      <c r="N292" t="str">
        <f>IFERROR(_xlfn.XLOOKUP(tbl_HR_Data[[#This Row],[Gender]], Mapping[Gender _Discarded], Mapping[Gender_Correction]), PROPER(TRIM(tbl_HR_Data[[#This Row],[Gender]])))</f>
        <v>Other</v>
      </c>
      <c r="O292" t="str">
        <f>TRIM(tbl_HR_Data[[#This Row],[Position]])</f>
        <v>Manager</v>
      </c>
      <c r="P292" t="str">
        <f>IFERROR(_xlfn.XLOOKUP(tbl_HR_Data[[#This Row],[Email]], Mapping[Email_Discarded], Mapping[Email_Correction]), LOWER(TRIM(tbl_HR_Data[[#This Row],[Email]])))</f>
        <v>not provided</v>
      </c>
      <c r="Q29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292" t="str" cm="1">
        <f t="array" ref="R292">_xlfn.REDUCE(Q292, {"-","/","_","\","(",")"}, _xlfn.LAMBDA(_xlpm.txt,_xlpm.itm, SUBSTITUTE(_xlpm.txt, _xlpm.itm, "")))</f>
        <v>5555555555</v>
      </c>
      <c r="S292" s="3">
        <f>IFERROR(_xlfn.XLOOKUP(tbl_HR_Data[[#This Row],[Joining Date]], Mapping[Joining_Discarded], Mapping[Joining_Correction]), VALUE(tbl_HR_Data[[#This Row],[Joining Date]]))</f>
        <v>43477</v>
      </c>
      <c r="T292" t="str">
        <f>TEXT(tbl_HR_Data[[#This Row],[Joining Date]], "mmm")</f>
        <v>Jan</v>
      </c>
      <c r="U292" t="str">
        <f>TEXT(tbl_HR_Data[[#This Row],[Joining Date]], "ddd")</f>
        <v>Sat</v>
      </c>
    </row>
    <row r="293" spans="1:21" x14ac:dyDescent="0.35">
      <c r="A293" t="s">
        <v>100</v>
      </c>
      <c r="B293">
        <v>40</v>
      </c>
      <c r="C293">
        <v>60000</v>
      </c>
      <c r="D293" t="s">
        <v>11</v>
      </c>
      <c r="E293" t="s">
        <v>37</v>
      </c>
      <c r="F293" t="s">
        <v>13</v>
      </c>
      <c r="G293" s="3">
        <v>43477</v>
      </c>
      <c r="H293" t="str">
        <f>TEXT(tbl_HR_Data[[#This Row],[Joining Date]], "mmm")</f>
        <v>Jan</v>
      </c>
      <c r="I293" t="s">
        <v>93</v>
      </c>
      <c r="J293" t="s">
        <v>31</v>
      </c>
      <c r="K293" t="s">
        <v>77</v>
      </c>
      <c r="L293" t="s">
        <v>88</v>
      </c>
      <c r="M293">
        <f>IFERROR( _xlfn.XLOOKUP(TRIM(tbl_HR_Data[[#This Row],[Age]]),#REF!,#REF!), VALUE(TRIM(tbl_HR_Data[[#This Row],[Age]])))</f>
        <v>40</v>
      </c>
      <c r="N293" t="str">
        <f>IFERROR(_xlfn.XLOOKUP(tbl_HR_Data[[#This Row],[Gender]], Mapping[Gender _Discarded], Mapping[Gender_Correction]), PROPER(TRIM(tbl_HR_Data[[#This Row],[Gender]])))</f>
        <v>Male</v>
      </c>
      <c r="O293" t="str">
        <f>TRIM(tbl_HR_Data[[#This Row],[Position]])</f>
        <v>Manager</v>
      </c>
      <c r="P293" t="str">
        <f>IFERROR(_xlfn.XLOOKUP(tbl_HR_Data[[#This Row],[Email]], Mapping[Email_Discarded], Mapping[Email_Correction]), LOWER(TRIM(tbl_HR_Data[[#This Row],[Email]])))</f>
        <v>not provided</v>
      </c>
      <c r="Q29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293" t="str" cm="1">
        <f t="array" ref="R293">_xlfn.REDUCE(Q293, {"-","/","_","\","(",")"}, _xlfn.LAMBDA(_xlpm.txt,_xlpm.itm, SUBSTITUTE(_xlpm.txt, _xlpm.itm, "")))</f>
        <v>0987654321</v>
      </c>
      <c r="S293" s="3">
        <f>IFERROR(_xlfn.XLOOKUP(tbl_HR_Data[[#This Row],[Joining Date]], Mapping[Joining_Discarded], Mapping[Joining_Correction]), VALUE(tbl_HR_Data[[#This Row],[Joining Date]]))</f>
        <v>43477</v>
      </c>
      <c r="T293" t="str">
        <f>TEXT(tbl_HR_Data[[#This Row],[Joining Date]], "mmm")</f>
        <v>Jan</v>
      </c>
      <c r="U293" t="str">
        <f>TEXT(tbl_HR_Data[[#This Row],[Joining Date]], "ddd")</f>
        <v>Sat</v>
      </c>
    </row>
    <row r="294" spans="1:21" x14ac:dyDescent="0.35">
      <c r="A294" t="s">
        <v>99</v>
      </c>
      <c r="B294">
        <v>40</v>
      </c>
      <c r="C294">
        <v>70000</v>
      </c>
      <c r="D294" t="s">
        <v>18</v>
      </c>
      <c r="E294" t="s">
        <v>12</v>
      </c>
      <c r="F294" t="s">
        <v>43</v>
      </c>
      <c r="G294" s="3">
        <v>43477</v>
      </c>
      <c r="H294" t="str">
        <f>TEXT(tbl_HR_Data[[#This Row],[Joining Date]], "mmm")</f>
        <v>Jan</v>
      </c>
      <c r="I294" t="s">
        <v>93</v>
      </c>
      <c r="J294" t="s">
        <v>14</v>
      </c>
      <c r="K294" t="s">
        <v>22</v>
      </c>
      <c r="L294" t="s">
        <v>89</v>
      </c>
      <c r="M294">
        <f>IFERROR( _xlfn.XLOOKUP(TRIM(tbl_HR_Data[[#This Row],[Age]]),#REF!,#REF!), VALUE(TRIM(tbl_HR_Data[[#This Row],[Age]])))</f>
        <v>40</v>
      </c>
      <c r="N294" t="str">
        <f>IFERROR(_xlfn.XLOOKUP(tbl_HR_Data[[#This Row],[Gender]], Mapping[Gender _Discarded], Mapping[Gender_Correction]), PROPER(TRIM(tbl_HR_Data[[#This Row],[Gender]])))</f>
        <v>Female</v>
      </c>
      <c r="O294" t="str">
        <f>TRIM(tbl_HR_Data[[#This Row],[Position]])</f>
        <v>Assistant</v>
      </c>
      <c r="P294" t="str">
        <f>IFERROR(_xlfn.XLOOKUP(tbl_HR_Data[[#This Row],[Email]], Mapping[Email_Discarded], Mapping[Email_Correction]), LOWER(TRIM(tbl_HR_Data[[#This Row],[Email]])))</f>
        <v>user@domain.com</v>
      </c>
      <c r="Q29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294" t="str" cm="1">
        <f t="array" ref="R294">_xlfn.REDUCE(Q294, {"-","/","_","\","(",")"}, _xlfn.LAMBDA(_xlpm.txt,_xlpm.itm, SUBSTITUTE(_xlpm.txt, _xlpm.itm, "")))</f>
        <v>5555555555</v>
      </c>
      <c r="S294" s="3">
        <f>IFERROR(_xlfn.XLOOKUP(tbl_HR_Data[[#This Row],[Joining Date]], Mapping[Joining_Discarded], Mapping[Joining_Correction]), VALUE(tbl_HR_Data[[#This Row],[Joining Date]]))</f>
        <v>43477</v>
      </c>
      <c r="T294" t="str">
        <f>TEXT(tbl_HR_Data[[#This Row],[Joining Date]], "mmm")</f>
        <v>Jan</v>
      </c>
      <c r="U294" t="str">
        <f>TEXT(tbl_HR_Data[[#This Row],[Joining Date]], "ddd")</f>
        <v>Sat</v>
      </c>
    </row>
    <row r="295" spans="1:21" x14ac:dyDescent="0.35">
      <c r="A295" t="s">
        <v>99</v>
      </c>
      <c r="B295">
        <v>30</v>
      </c>
      <c r="C295">
        <v>70000</v>
      </c>
      <c r="D295" t="s">
        <v>11</v>
      </c>
      <c r="E295" t="s">
        <v>19</v>
      </c>
      <c r="F295" t="s">
        <v>43</v>
      </c>
      <c r="G295" s="3">
        <v>43477</v>
      </c>
      <c r="H295" t="str">
        <f>TEXT(tbl_HR_Data[[#This Row],[Joining Date]], "mmm")</f>
        <v>Jan</v>
      </c>
      <c r="I295" t="s">
        <v>93</v>
      </c>
      <c r="J295" t="s">
        <v>21</v>
      </c>
      <c r="K295" t="s">
        <v>22</v>
      </c>
      <c r="L295" t="s">
        <v>87</v>
      </c>
      <c r="M295">
        <f>IFERROR( _xlfn.XLOOKUP(TRIM(tbl_HR_Data[[#This Row],[Age]]),#REF!,#REF!), VALUE(TRIM(tbl_HR_Data[[#This Row],[Age]])))</f>
        <v>30</v>
      </c>
      <c r="N295" t="str">
        <f>IFERROR(_xlfn.XLOOKUP(tbl_HR_Data[[#This Row],[Gender]], Mapping[Gender _Discarded], Mapping[Gender_Correction]), PROPER(TRIM(tbl_HR_Data[[#This Row],[Gender]])))</f>
        <v>Male</v>
      </c>
      <c r="O295" t="str">
        <f>TRIM(tbl_HR_Data[[#This Row],[Position]])</f>
        <v>Assistant</v>
      </c>
      <c r="P295" t="str">
        <f>IFERROR(_xlfn.XLOOKUP(tbl_HR_Data[[#This Row],[Email]], Mapping[Email_Discarded], Mapping[Email_Correction]), LOWER(TRIM(tbl_HR_Data[[#This Row],[Email]])))</f>
        <v>user@domain.com</v>
      </c>
      <c r="Q29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295" t="str" cm="1">
        <f t="array" ref="R295">_xlfn.REDUCE(Q295, {"-","/","_","\","(",")"}, _xlfn.LAMBDA(_xlpm.txt,_xlpm.itm, SUBSTITUTE(_xlpm.txt, _xlpm.itm, "")))</f>
        <v>1234567890</v>
      </c>
      <c r="S295" s="3">
        <f>IFERROR(_xlfn.XLOOKUP(tbl_HR_Data[[#This Row],[Joining Date]], Mapping[Joining_Discarded], Mapping[Joining_Correction]), VALUE(tbl_HR_Data[[#This Row],[Joining Date]]))</f>
        <v>43477</v>
      </c>
      <c r="T295" t="str">
        <f>TEXT(tbl_HR_Data[[#This Row],[Joining Date]], "mmm")</f>
        <v>Jan</v>
      </c>
      <c r="U295" t="str">
        <f>TEXT(tbl_HR_Data[[#This Row],[Joining Date]], "ddd")</f>
        <v>Sat</v>
      </c>
    </row>
    <row r="296" spans="1:21" x14ac:dyDescent="0.35">
      <c r="A296" t="s">
        <v>105</v>
      </c>
      <c r="B296">
        <v>40</v>
      </c>
      <c r="C296">
        <v>50000</v>
      </c>
      <c r="D296" t="s">
        <v>11</v>
      </c>
      <c r="E296" t="s">
        <v>26</v>
      </c>
      <c r="F296" t="s">
        <v>44</v>
      </c>
      <c r="G296" s="3">
        <v>43477</v>
      </c>
      <c r="H296" t="str">
        <f>TEXT(tbl_HR_Data[[#This Row],[Joining Date]], "mmm")</f>
        <v>Jan</v>
      </c>
      <c r="I296" t="s">
        <v>93</v>
      </c>
      <c r="J296" t="s">
        <v>41</v>
      </c>
      <c r="K296" t="s">
        <v>77</v>
      </c>
      <c r="L296" t="s">
        <v>77</v>
      </c>
      <c r="M296">
        <f>IFERROR( _xlfn.XLOOKUP(TRIM(tbl_HR_Data[[#This Row],[Age]]),#REF!,#REF!), VALUE(TRIM(tbl_HR_Data[[#This Row],[Age]])))</f>
        <v>40</v>
      </c>
      <c r="N296" t="str">
        <f>IFERROR(_xlfn.XLOOKUP(tbl_HR_Data[[#This Row],[Gender]], Mapping[Gender _Discarded], Mapping[Gender_Correction]), PROPER(TRIM(tbl_HR_Data[[#This Row],[Gender]])))</f>
        <v>Male</v>
      </c>
      <c r="O296" t="str">
        <f>TRIM(tbl_HR_Data[[#This Row],[Position]])</f>
        <v>Analyst</v>
      </c>
      <c r="P296" t="str">
        <f>IFERROR(_xlfn.XLOOKUP(tbl_HR_Data[[#This Row],[Email]], Mapping[Email_Discarded], Mapping[Email_Correction]), LOWER(TRIM(tbl_HR_Data[[#This Row],[Email]])))</f>
        <v>not provided</v>
      </c>
      <c r="Q29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96" t="str" cm="1">
        <f t="array" ref="R296">_xlfn.REDUCE(Q296, {"-","/","_","\","(",")"}, _xlfn.LAMBDA(_xlpm.txt,_xlpm.itm, SUBSTITUTE(_xlpm.txt, _xlpm.itm, "")))</f>
        <v>Not Provided</v>
      </c>
      <c r="S296" s="3">
        <f>IFERROR(_xlfn.XLOOKUP(tbl_HR_Data[[#This Row],[Joining Date]], Mapping[Joining_Discarded], Mapping[Joining_Correction]), VALUE(tbl_HR_Data[[#This Row],[Joining Date]]))</f>
        <v>43477</v>
      </c>
      <c r="T296" t="str">
        <f>TEXT(tbl_HR_Data[[#This Row],[Joining Date]], "mmm")</f>
        <v>Jan</v>
      </c>
      <c r="U296" t="str">
        <f>TEXT(tbl_HR_Data[[#This Row],[Joining Date]], "ddd")</f>
        <v>Sat</v>
      </c>
    </row>
    <row r="297" spans="1:21" x14ac:dyDescent="0.35">
      <c r="A297" t="s">
        <v>102</v>
      </c>
      <c r="B297">
        <v>35</v>
      </c>
      <c r="C297">
        <v>65000</v>
      </c>
      <c r="D297" t="s">
        <v>18</v>
      </c>
      <c r="E297" t="s">
        <v>26</v>
      </c>
      <c r="F297" t="s">
        <v>39</v>
      </c>
      <c r="G297" s="3">
        <v>43477</v>
      </c>
      <c r="H297" t="str">
        <f>TEXT(tbl_HR_Data[[#This Row],[Joining Date]], "mmm")</f>
        <v>Jan</v>
      </c>
      <c r="I297" t="s">
        <v>93</v>
      </c>
      <c r="J297" t="s">
        <v>31</v>
      </c>
      <c r="K297" t="s">
        <v>15</v>
      </c>
      <c r="L297" t="s">
        <v>77</v>
      </c>
      <c r="M297">
        <f>IFERROR( _xlfn.XLOOKUP(TRIM(tbl_HR_Data[[#This Row],[Age]]),#REF!,#REF!), VALUE(TRIM(tbl_HR_Data[[#This Row],[Age]])))</f>
        <v>35</v>
      </c>
      <c r="N297" t="str">
        <f>IFERROR(_xlfn.XLOOKUP(tbl_HR_Data[[#This Row],[Gender]], Mapping[Gender _Discarded], Mapping[Gender_Correction]), PROPER(TRIM(tbl_HR_Data[[#This Row],[Gender]])))</f>
        <v>Female</v>
      </c>
      <c r="O297" t="str">
        <f>TRIM(tbl_HR_Data[[#This Row],[Position]])</f>
        <v>Clerk</v>
      </c>
      <c r="P297" t="str">
        <f>IFERROR(_xlfn.XLOOKUP(tbl_HR_Data[[#This Row],[Email]], Mapping[Email_Discarded], Mapping[Email_Correction]), LOWER(TRIM(tbl_HR_Data[[#This Row],[Email]])))</f>
        <v>email@example.com</v>
      </c>
      <c r="Q29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97" t="str" cm="1">
        <f t="array" ref="R297">_xlfn.REDUCE(Q297, {"-","/","_","\","(",")"}, _xlfn.LAMBDA(_xlpm.txt,_xlpm.itm, SUBSTITUTE(_xlpm.txt, _xlpm.itm, "")))</f>
        <v>Not Provided</v>
      </c>
      <c r="S297" s="3">
        <f>IFERROR(_xlfn.XLOOKUP(tbl_HR_Data[[#This Row],[Joining Date]], Mapping[Joining_Discarded], Mapping[Joining_Correction]), VALUE(tbl_HR_Data[[#This Row],[Joining Date]]))</f>
        <v>43477</v>
      </c>
      <c r="T297" t="str">
        <f>TEXT(tbl_HR_Data[[#This Row],[Joining Date]], "mmm")</f>
        <v>Jan</v>
      </c>
      <c r="U297" t="str">
        <f>TEXT(tbl_HR_Data[[#This Row],[Joining Date]], "ddd")</f>
        <v>Sat</v>
      </c>
    </row>
    <row r="298" spans="1:21" x14ac:dyDescent="0.35">
      <c r="A298" t="s">
        <v>101</v>
      </c>
      <c r="B298">
        <v>40</v>
      </c>
      <c r="C298">
        <v>60000</v>
      </c>
      <c r="D298" t="s">
        <v>11</v>
      </c>
      <c r="E298" t="s">
        <v>12</v>
      </c>
      <c r="F298" t="s">
        <v>13</v>
      </c>
      <c r="G298" s="3">
        <v>43477</v>
      </c>
      <c r="H298" t="str">
        <f>TEXT(tbl_HR_Data[[#This Row],[Joining Date]], "mmm")</f>
        <v>Jan</v>
      </c>
      <c r="I298" t="s">
        <v>93</v>
      </c>
      <c r="J298" t="s">
        <v>21</v>
      </c>
      <c r="K298" t="s">
        <v>32</v>
      </c>
      <c r="L298" t="s">
        <v>77</v>
      </c>
      <c r="M298">
        <f>IFERROR( _xlfn.XLOOKUP(TRIM(tbl_HR_Data[[#This Row],[Age]]),#REF!,#REF!), VALUE(TRIM(tbl_HR_Data[[#This Row],[Age]])))</f>
        <v>40</v>
      </c>
      <c r="N298" t="str">
        <f>IFERROR(_xlfn.XLOOKUP(tbl_HR_Data[[#This Row],[Gender]], Mapping[Gender _Discarded], Mapping[Gender_Correction]), PROPER(TRIM(tbl_HR_Data[[#This Row],[Gender]])))</f>
        <v>Male</v>
      </c>
      <c r="O298" t="str">
        <f>TRIM(tbl_HR_Data[[#This Row],[Position]])</f>
        <v>Manager</v>
      </c>
      <c r="P298" t="str">
        <f>IFERROR(_xlfn.XLOOKUP(tbl_HR_Data[[#This Row],[Email]], Mapping[Email_Discarded], Mapping[Email_Correction]), LOWER(TRIM(tbl_HR_Data[[#This Row],[Email]])))</f>
        <v>name@company.org</v>
      </c>
      <c r="Q29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298" t="str" cm="1">
        <f t="array" ref="R298">_xlfn.REDUCE(Q298, {"-","/","_","\","(",")"}, _xlfn.LAMBDA(_xlpm.txt,_xlpm.itm, SUBSTITUTE(_xlpm.txt, _xlpm.itm, "")))</f>
        <v>Not Provided</v>
      </c>
      <c r="S298" s="3">
        <f>IFERROR(_xlfn.XLOOKUP(tbl_HR_Data[[#This Row],[Joining Date]], Mapping[Joining_Discarded], Mapping[Joining_Correction]), VALUE(tbl_HR_Data[[#This Row],[Joining Date]]))</f>
        <v>43477</v>
      </c>
      <c r="T298" t="str">
        <f>TEXT(tbl_HR_Data[[#This Row],[Joining Date]], "mmm")</f>
        <v>Jan</v>
      </c>
      <c r="U298" t="str">
        <f>TEXT(tbl_HR_Data[[#This Row],[Joining Date]], "ddd")</f>
        <v>Sat</v>
      </c>
    </row>
    <row r="299" spans="1:21" x14ac:dyDescent="0.35">
      <c r="A299" t="s">
        <v>103</v>
      </c>
      <c r="B299">
        <v>35</v>
      </c>
      <c r="C299">
        <v>60000</v>
      </c>
      <c r="D299" t="s">
        <v>36</v>
      </c>
      <c r="E299" t="s">
        <v>30</v>
      </c>
      <c r="F299" t="s">
        <v>20</v>
      </c>
      <c r="G299" s="3">
        <v>43477</v>
      </c>
      <c r="H299" t="str">
        <f>TEXT(tbl_HR_Data[[#This Row],[Joining Date]], "mmm")</f>
        <v>Jan</v>
      </c>
      <c r="I299" t="s">
        <v>93</v>
      </c>
      <c r="J299" t="s">
        <v>31</v>
      </c>
      <c r="K299" t="s">
        <v>22</v>
      </c>
      <c r="L299" t="s">
        <v>89</v>
      </c>
      <c r="M299">
        <f>IFERROR( _xlfn.XLOOKUP(TRIM(tbl_HR_Data[[#This Row],[Age]]),#REF!,#REF!), VALUE(TRIM(tbl_HR_Data[[#This Row],[Age]])))</f>
        <v>35</v>
      </c>
      <c r="N299" t="str">
        <f>IFERROR(_xlfn.XLOOKUP(tbl_HR_Data[[#This Row],[Gender]], Mapping[Gender _Discarded], Mapping[Gender_Correction]), PROPER(TRIM(tbl_HR_Data[[#This Row],[Gender]])))</f>
        <v>Other</v>
      </c>
      <c r="O299" t="str">
        <f>TRIM(tbl_HR_Data[[#This Row],[Position]])</f>
        <v>Director</v>
      </c>
      <c r="P299" t="str">
        <f>IFERROR(_xlfn.XLOOKUP(tbl_HR_Data[[#This Row],[Email]], Mapping[Email_Discarded], Mapping[Email_Correction]), LOWER(TRIM(tbl_HR_Data[[#This Row],[Email]])))</f>
        <v>user@domain.com</v>
      </c>
      <c r="Q29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299" t="str" cm="1">
        <f t="array" ref="R299">_xlfn.REDUCE(Q299, {"-","/","_","\","(",")"}, _xlfn.LAMBDA(_xlpm.txt,_xlpm.itm, SUBSTITUTE(_xlpm.txt, _xlpm.itm, "")))</f>
        <v>5555555555</v>
      </c>
      <c r="S299" s="3">
        <f>IFERROR(_xlfn.XLOOKUP(tbl_HR_Data[[#This Row],[Joining Date]], Mapping[Joining_Discarded], Mapping[Joining_Correction]), VALUE(tbl_HR_Data[[#This Row],[Joining Date]]))</f>
        <v>43477</v>
      </c>
      <c r="T299" t="str">
        <f>TEXT(tbl_HR_Data[[#This Row],[Joining Date]], "mmm")</f>
        <v>Jan</v>
      </c>
      <c r="U299" t="str">
        <f>TEXT(tbl_HR_Data[[#This Row],[Joining Date]], "ddd")</f>
        <v>Sat</v>
      </c>
    </row>
    <row r="300" spans="1:21" x14ac:dyDescent="0.35">
      <c r="A300" t="s">
        <v>108</v>
      </c>
      <c r="B300">
        <v>30</v>
      </c>
      <c r="C300">
        <v>55000</v>
      </c>
      <c r="D300" t="s">
        <v>36</v>
      </c>
      <c r="E300" t="s">
        <v>26</v>
      </c>
      <c r="F300" t="s">
        <v>44</v>
      </c>
      <c r="G300" s="3">
        <v>43477</v>
      </c>
      <c r="H300" t="str">
        <f>TEXT(tbl_HR_Data[[#This Row],[Joining Date]], "mmm")</f>
        <v>Jan</v>
      </c>
      <c r="I300" t="s">
        <v>93</v>
      </c>
      <c r="J300" t="s">
        <v>27</v>
      </c>
      <c r="K300" t="s">
        <v>77</v>
      </c>
      <c r="L300" t="s">
        <v>77</v>
      </c>
      <c r="M300">
        <f>IFERROR( _xlfn.XLOOKUP(TRIM(tbl_HR_Data[[#This Row],[Age]]),#REF!,#REF!), VALUE(TRIM(tbl_HR_Data[[#This Row],[Age]])))</f>
        <v>30</v>
      </c>
      <c r="N300" t="str">
        <f>IFERROR(_xlfn.XLOOKUP(tbl_HR_Data[[#This Row],[Gender]], Mapping[Gender _Discarded], Mapping[Gender_Correction]), PROPER(TRIM(tbl_HR_Data[[#This Row],[Gender]])))</f>
        <v>Other</v>
      </c>
      <c r="O300" t="str">
        <f>TRIM(tbl_HR_Data[[#This Row],[Position]])</f>
        <v>Analyst</v>
      </c>
      <c r="P300" t="str">
        <f>IFERROR(_xlfn.XLOOKUP(tbl_HR_Data[[#This Row],[Email]], Mapping[Email_Discarded], Mapping[Email_Correction]), LOWER(TRIM(tbl_HR_Data[[#This Row],[Email]])))</f>
        <v>not provided</v>
      </c>
      <c r="Q30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00" t="str" cm="1">
        <f t="array" ref="R300">_xlfn.REDUCE(Q300, {"-","/","_","\","(",")"}, _xlfn.LAMBDA(_xlpm.txt,_xlpm.itm, SUBSTITUTE(_xlpm.txt, _xlpm.itm, "")))</f>
        <v>Not Provided</v>
      </c>
      <c r="S300" s="3">
        <f>IFERROR(_xlfn.XLOOKUP(tbl_HR_Data[[#This Row],[Joining Date]], Mapping[Joining_Discarded], Mapping[Joining_Correction]), VALUE(tbl_HR_Data[[#This Row],[Joining Date]]))</f>
        <v>43477</v>
      </c>
      <c r="T300" t="str">
        <f>TEXT(tbl_HR_Data[[#This Row],[Joining Date]], "mmm")</f>
        <v>Jan</v>
      </c>
      <c r="U300" t="str">
        <f>TEXT(tbl_HR_Data[[#This Row],[Joining Date]], "ddd")</f>
        <v>Sat</v>
      </c>
    </row>
    <row r="301" spans="1:21" x14ac:dyDescent="0.35">
      <c r="A301" t="s">
        <v>105</v>
      </c>
      <c r="B301">
        <v>0</v>
      </c>
      <c r="C301">
        <v>0</v>
      </c>
      <c r="D301" t="s">
        <v>11</v>
      </c>
      <c r="E301" t="s">
        <v>26</v>
      </c>
      <c r="F301" t="s">
        <v>44</v>
      </c>
      <c r="G301" s="3">
        <v>43477</v>
      </c>
      <c r="H301" t="str">
        <f>TEXT(tbl_HR_Data[[#This Row],[Joining Date]], "mmm")</f>
        <v>Jan</v>
      </c>
      <c r="I301" t="s">
        <v>93</v>
      </c>
      <c r="J301" t="s">
        <v>27</v>
      </c>
      <c r="K301" t="s">
        <v>15</v>
      </c>
      <c r="L301" t="s">
        <v>77</v>
      </c>
      <c r="M301">
        <f>IFERROR( _xlfn.XLOOKUP(TRIM(tbl_HR_Data[[#This Row],[Age]]),#REF!,#REF!), VALUE(TRIM(tbl_HR_Data[[#This Row],[Age]])))</f>
        <v>0</v>
      </c>
      <c r="N301" t="str">
        <f>IFERROR(_xlfn.XLOOKUP(tbl_HR_Data[[#This Row],[Gender]], Mapping[Gender _Discarded], Mapping[Gender_Correction]), PROPER(TRIM(tbl_HR_Data[[#This Row],[Gender]])))</f>
        <v>Male</v>
      </c>
      <c r="O301" t="str">
        <f>TRIM(tbl_HR_Data[[#This Row],[Position]])</f>
        <v>Analyst</v>
      </c>
      <c r="P301" t="str">
        <f>IFERROR(_xlfn.XLOOKUP(tbl_HR_Data[[#This Row],[Email]], Mapping[Email_Discarded], Mapping[Email_Correction]), LOWER(TRIM(tbl_HR_Data[[#This Row],[Email]])))</f>
        <v>email@example.com</v>
      </c>
      <c r="Q30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01" t="str" cm="1">
        <f t="array" ref="R301">_xlfn.REDUCE(Q301, {"-","/","_","\","(",")"}, _xlfn.LAMBDA(_xlpm.txt,_xlpm.itm, SUBSTITUTE(_xlpm.txt, _xlpm.itm, "")))</f>
        <v>Not Provided</v>
      </c>
      <c r="S301" s="3">
        <f>IFERROR(_xlfn.XLOOKUP(tbl_HR_Data[[#This Row],[Joining Date]], Mapping[Joining_Discarded], Mapping[Joining_Correction]), VALUE(tbl_HR_Data[[#This Row],[Joining Date]]))</f>
        <v>43477</v>
      </c>
      <c r="T301" t="str">
        <f>TEXT(tbl_HR_Data[[#This Row],[Joining Date]], "mmm")</f>
        <v>Jan</v>
      </c>
      <c r="U301" t="str">
        <f>TEXT(tbl_HR_Data[[#This Row],[Joining Date]], "ddd")</f>
        <v>Sat</v>
      </c>
    </row>
    <row r="302" spans="1:21" x14ac:dyDescent="0.35">
      <c r="A302" t="s">
        <v>105</v>
      </c>
      <c r="B302">
        <v>50</v>
      </c>
      <c r="C302">
        <v>65000</v>
      </c>
      <c r="D302" t="s">
        <v>18</v>
      </c>
      <c r="E302" t="s">
        <v>26</v>
      </c>
      <c r="F302" t="s">
        <v>44</v>
      </c>
      <c r="G302" s="3">
        <v>43477</v>
      </c>
      <c r="H302" t="str">
        <f>TEXT(tbl_HR_Data[[#This Row],[Joining Date]], "mmm")</f>
        <v>Jan</v>
      </c>
      <c r="I302" t="s">
        <v>93</v>
      </c>
      <c r="J302" t="s">
        <v>27</v>
      </c>
      <c r="K302" t="s">
        <v>15</v>
      </c>
      <c r="L302" t="s">
        <v>77</v>
      </c>
      <c r="M302">
        <f>IFERROR( _xlfn.XLOOKUP(TRIM(tbl_HR_Data[[#This Row],[Age]]),#REF!,#REF!), VALUE(TRIM(tbl_HR_Data[[#This Row],[Age]])))</f>
        <v>50</v>
      </c>
      <c r="N302" t="str">
        <f>IFERROR(_xlfn.XLOOKUP(tbl_HR_Data[[#This Row],[Gender]], Mapping[Gender _Discarded], Mapping[Gender_Correction]), PROPER(TRIM(tbl_HR_Data[[#This Row],[Gender]])))</f>
        <v>Female</v>
      </c>
      <c r="O302" t="str">
        <f>TRIM(tbl_HR_Data[[#This Row],[Position]])</f>
        <v>Analyst</v>
      </c>
      <c r="P302" t="str">
        <f>IFERROR(_xlfn.XLOOKUP(tbl_HR_Data[[#This Row],[Email]], Mapping[Email_Discarded], Mapping[Email_Correction]), LOWER(TRIM(tbl_HR_Data[[#This Row],[Email]])))</f>
        <v>email@example.com</v>
      </c>
      <c r="Q30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02" t="str" cm="1">
        <f t="array" ref="R302">_xlfn.REDUCE(Q302, {"-","/","_","\","(",")"}, _xlfn.LAMBDA(_xlpm.txt,_xlpm.itm, SUBSTITUTE(_xlpm.txt, _xlpm.itm, "")))</f>
        <v>Not Provided</v>
      </c>
      <c r="S302" s="3">
        <f>IFERROR(_xlfn.XLOOKUP(tbl_HR_Data[[#This Row],[Joining Date]], Mapping[Joining_Discarded], Mapping[Joining_Correction]), VALUE(tbl_HR_Data[[#This Row],[Joining Date]]))</f>
        <v>43477</v>
      </c>
      <c r="T302" t="str">
        <f>TEXT(tbl_HR_Data[[#This Row],[Joining Date]], "mmm")</f>
        <v>Jan</v>
      </c>
      <c r="U302" t="str">
        <f>TEXT(tbl_HR_Data[[#This Row],[Joining Date]], "ddd")</f>
        <v>Sat</v>
      </c>
    </row>
    <row r="303" spans="1:21" x14ac:dyDescent="0.35">
      <c r="A303" t="s">
        <v>99</v>
      </c>
      <c r="B303">
        <v>40</v>
      </c>
      <c r="C303">
        <v>50000</v>
      </c>
      <c r="D303" t="s">
        <v>36</v>
      </c>
      <c r="E303" t="s">
        <v>30</v>
      </c>
      <c r="F303" t="s">
        <v>13</v>
      </c>
      <c r="G303" s="3">
        <v>43477</v>
      </c>
      <c r="H303" t="str">
        <f>TEXT(tbl_HR_Data[[#This Row],[Joining Date]], "mmm")</f>
        <v>Jan</v>
      </c>
      <c r="I303" t="s">
        <v>93</v>
      </c>
      <c r="J303" t="s">
        <v>27</v>
      </c>
      <c r="K303" t="s">
        <v>15</v>
      </c>
      <c r="L303" t="s">
        <v>77</v>
      </c>
      <c r="M303">
        <f>IFERROR( _xlfn.XLOOKUP(TRIM(tbl_HR_Data[[#This Row],[Age]]),#REF!,#REF!), VALUE(TRIM(tbl_HR_Data[[#This Row],[Age]])))</f>
        <v>40</v>
      </c>
      <c r="N303" t="str">
        <f>IFERROR(_xlfn.XLOOKUP(tbl_HR_Data[[#This Row],[Gender]], Mapping[Gender _Discarded], Mapping[Gender_Correction]), PROPER(TRIM(tbl_HR_Data[[#This Row],[Gender]])))</f>
        <v>Other</v>
      </c>
      <c r="O303" t="str">
        <f>TRIM(tbl_HR_Data[[#This Row],[Position]])</f>
        <v>Manager</v>
      </c>
      <c r="P303" t="str">
        <f>IFERROR(_xlfn.XLOOKUP(tbl_HR_Data[[#This Row],[Email]], Mapping[Email_Discarded], Mapping[Email_Correction]), LOWER(TRIM(tbl_HR_Data[[#This Row],[Email]])))</f>
        <v>email@example.com</v>
      </c>
      <c r="Q30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03" t="str" cm="1">
        <f t="array" ref="R303">_xlfn.REDUCE(Q303, {"-","/","_","\","(",")"}, _xlfn.LAMBDA(_xlpm.txt,_xlpm.itm, SUBSTITUTE(_xlpm.txt, _xlpm.itm, "")))</f>
        <v>Not Provided</v>
      </c>
      <c r="S303" s="3">
        <f>IFERROR(_xlfn.XLOOKUP(tbl_HR_Data[[#This Row],[Joining Date]], Mapping[Joining_Discarded], Mapping[Joining_Correction]), VALUE(tbl_HR_Data[[#This Row],[Joining Date]]))</f>
        <v>43477</v>
      </c>
      <c r="T303" t="str">
        <f>TEXT(tbl_HR_Data[[#This Row],[Joining Date]], "mmm")</f>
        <v>Jan</v>
      </c>
      <c r="U303" t="str">
        <f>TEXT(tbl_HR_Data[[#This Row],[Joining Date]], "ddd")</f>
        <v>Sat</v>
      </c>
    </row>
    <row r="304" spans="1:21" x14ac:dyDescent="0.35">
      <c r="A304" t="s">
        <v>100</v>
      </c>
      <c r="B304">
        <v>0</v>
      </c>
      <c r="C304">
        <v>50000</v>
      </c>
      <c r="D304" t="s">
        <v>36</v>
      </c>
      <c r="E304" t="s">
        <v>19</v>
      </c>
      <c r="F304" t="s">
        <v>39</v>
      </c>
      <c r="G304" s="3">
        <v>43477</v>
      </c>
      <c r="H304" t="str">
        <f>TEXT(tbl_HR_Data[[#This Row],[Joining Date]], "mmm")</f>
        <v>Jan</v>
      </c>
      <c r="I304" t="s">
        <v>93</v>
      </c>
      <c r="J304" t="s">
        <v>14</v>
      </c>
      <c r="K304" t="s">
        <v>32</v>
      </c>
      <c r="L304" t="s">
        <v>77</v>
      </c>
      <c r="M304">
        <f>IFERROR( _xlfn.XLOOKUP(TRIM(tbl_HR_Data[[#This Row],[Age]]),#REF!,#REF!), VALUE(TRIM(tbl_HR_Data[[#This Row],[Age]])))</f>
        <v>0</v>
      </c>
      <c r="N304" t="str">
        <f>IFERROR(_xlfn.XLOOKUP(tbl_HR_Data[[#This Row],[Gender]], Mapping[Gender _Discarded], Mapping[Gender_Correction]), PROPER(TRIM(tbl_HR_Data[[#This Row],[Gender]])))</f>
        <v>Other</v>
      </c>
      <c r="O304" t="str">
        <f>TRIM(tbl_HR_Data[[#This Row],[Position]])</f>
        <v>Clerk</v>
      </c>
      <c r="P304" t="str">
        <f>IFERROR(_xlfn.XLOOKUP(tbl_HR_Data[[#This Row],[Email]], Mapping[Email_Discarded], Mapping[Email_Correction]), LOWER(TRIM(tbl_HR_Data[[#This Row],[Email]])))</f>
        <v>name@company.org</v>
      </c>
      <c r="Q30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04" t="str" cm="1">
        <f t="array" ref="R304">_xlfn.REDUCE(Q304, {"-","/","_","\","(",")"}, _xlfn.LAMBDA(_xlpm.txt,_xlpm.itm, SUBSTITUTE(_xlpm.txt, _xlpm.itm, "")))</f>
        <v>Not Provided</v>
      </c>
      <c r="S304" s="3">
        <f>IFERROR(_xlfn.XLOOKUP(tbl_HR_Data[[#This Row],[Joining Date]], Mapping[Joining_Discarded], Mapping[Joining_Correction]), VALUE(tbl_HR_Data[[#This Row],[Joining Date]]))</f>
        <v>43477</v>
      </c>
      <c r="T304" t="str">
        <f>TEXT(tbl_HR_Data[[#This Row],[Joining Date]], "mmm")</f>
        <v>Jan</v>
      </c>
      <c r="U304" t="str">
        <f>TEXT(tbl_HR_Data[[#This Row],[Joining Date]], "ddd")</f>
        <v>Sat</v>
      </c>
    </row>
    <row r="305" spans="1:21" x14ac:dyDescent="0.35">
      <c r="A305" t="s">
        <v>104</v>
      </c>
      <c r="B305">
        <v>0</v>
      </c>
      <c r="C305">
        <v>0</v>
      </c>
      <c r="D305" t="s">
        <v>36</v>
      </c>
      <c r="E305" t="s">
        <v>19</v>
      </c>
      <c r="F305" t="s">
        <v>13</v>
      </c>
      <c r="G305" s="3">
        <v>43477</v>
      </c>
      <c r="H305" t="str">
        <f>TEXT(tbl_HR_Data[[#This Row],[Joining Date]], "mmm")</f>
        <v>Jan</v>
      </c>
      <c r="I305" t="s">
        <v>93</v>
      </c>
      <c r="J305" t="s">
        <v>21</v>
      </c>
      <c r="K305" t="s">
        <v>22</v>
      </c>
      <c r="L305" t="s">
        <v>89</v>
      </c>
      <c r="M305">
        <f>IFERROR( _xlfn.XLOOKUP(TRIM(tbl_HR_Data[[#This Row],[Age]]),#REF!,#REF!), VALUE(TRIM(tbl_HR_Data[[#This Row],[Age]])))</f>
        <v>0</v>
      </c>
      <c r="N305" t="str">
        <f>IFERROR(_xlfn.XLOOKUP(tbl_HR_Data[[#This Row],[Gender]], Mapping[Gender _Discarded], Mapping[Gender_Correction]), PROPER(TRIM(tbl_HR_Data[[#This Row],[Gender]])))</f>
        <v>Other</v>
      </c>
      <c r="O305" t="str">
        <f>TRIM(tbl_HR_Data[[#This Row],[Position]])</f>
        <v>Manager</v>
      </c>
      <c r="P305" t="str">
        <f>IFERROR(_xlfn.XLOOKUP(tbl_HR_Data[[#This Row],[Email]], Mapping[Email_Discarded], Mapping[Email_Correction]), LOWER(TRIM(tbl_HR_Data[[#This Row],[Email]])))</f>
        <v>user@domain.com</v>
      </c>
      <c r="Q30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305" t="str" cm="1">
        <f t="array" ref="R305">_xlfn.REDUCE(Q305, {"-","/","_","\","(",")"}, _xlfn.LAMBDA(_xlpm.txt,_xlpm.itm, SUBSTITUTE(_xlpm.txt, _xlpm.itm, "")))</f>
        <v>5555555555</v>
      </c>
      <c r="S305" s="3">
        <f>IFERROR(_xlfn.XLOOKUP(tbl_HR_Data[[#This Row],[Joining Date]], Mapping[Joining_Discarded], Mapping[Joining_Correction]), VALUE(tbl_HR_Data[[#This Row],[Joining Date]]))</f>
        <v>43477</v>
      </c>
      <c r="T305" t="str">
        <f>TEXT(tbl_HR_Data[[#This Row],[Joining Date]], "mmm")</f>
        <v>Jan</v>
      </c>
      <c r="U305" t="str">
        <f>TEXT(tbl_HR_Data[[#This Row],[Joining Date]], "ddd")</f>
        <v>Sat</v>
      </c>
    </row>
    <row r="306" spans="1:21" x14ac:dyDescent="0.35">
      <c r="A306" t="s">
        <v>104</v>
      </c>
      <c r="B306">
        <v>0</v>
      </c>
      <c r="C306">
        <v>0</v>
      </c>
      <c r="D306" t="s">
        <v>36</v>
      </c>
      <c r="E306" t="s">
        <v>30</v>
      </c>
      <c r="F306" t="s">
        <v>44</v>
      </c>
      <c r="G306" s="3">
        <v>43477</v>
      </c>
      <c r="H306" t="str">
        <f>TEXT(tbl_HR_Data[[#This Row],[Joining Date]], "mmm")</f>
        <v>Jan</v>
      </c>
      <c r="I306" t="s">
        <v>93</v>
      </c>
      <c r="J306" t="s">
        <v>27</v>
      </c>
      <c r="K306" t="s">
        <v>77</v>
      </c>
      <c r="L306" t="s">
        <v>77</v>
      </c>
      <c r="M306">
        <f>IFERROR( _xlfn.XLOOKUP(TRIM(tbl_HR_Data[[#This Row],[Age]]),#REF!,#REF!), VALUE(TRIM(tbl_HR_Data[[#This Row],[Age]])))</f>
        <v>0</v>
      </c>
      <c r="N306" t="str">
        <f>IFERROR(_xlfn.XLOOKUP(tbl_HR_Data[[#This Row],[Gender]], Mapping[Gender _Discarded], Mapping[Gender_Correction]), PROPER(TRIM(tbl_HR_Data[[#This Row],[Gender]])))</f>
        <v>Other</v>
      </c>
      <c r="O306" t="str">
        <f>TRIM(tbl_HR_Data[[#This Row],[Position]])</f>
        <v>Analyst</v>
      </c>
      <c r="P306" t="str">
        <f>IFERROR(_xlfn.XLOOKUP(tbl_HR_Data[[#This Row],[Email]], Mapping[Email_Discarded], Mapping[Email_Correction]), LOWER(TRIM(tbl_HR_Data[[#This Row],[Email]])))</f>
        <v>not provided</v>
      </c>
      <c r="Q30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06" t="str" cm="1">
        <f t="array" ref="R306">_xlfn.REDUCE(Q306, {"-","/","_","\","(",")"}, _xlfn.LAMBDA(_xlpm.txt,_xlpm.itm, SUBSTITUTE(_xlpm.txt, _xlpm.itm, "")))</f>
        <v>Not Provided</v>
      </c>
      <c r="S306" s="3">
        <f>IFERROR(_xlfn.XLOOKUP(tbl_HR_Data[[#This Row],[Joining Date]], Mapping[Joining_Discarded], Mapping[Joining_Correction]), VALUE(tbl_HR_Data[[#This Row],[Joining Date]]))</f>
        <v>43477</v>
      </c>
      <c r="T306" t="str">
        <f>TEXT(tbl_HR_Data[[#This Row],[Joining Date]], "mmm")</f>
        <v>Jan</v>
      </c>
      <c r="U306" t="str">
        <f>TEXT(tbl_HR_Data[[#This Row],[Joining Date]], "ddd")</f>
        <v>Sat</v>
      </c>
    </row>
    <row r="307" spans="1:21" x14ac:dyDescent="0.35">
      <c r="A307" t="s">
        <v>102</v>
      </c>
      <c r="B307">
        <v>25</v>
      </c>
      <c r="C307">
        <v>70000</v>
      </c>
      <c r="D307" t="s">
        <v>11</v>
      </c>
      <c r="E307" t="s">
        <v>26</v>
      </c>
      <c r="F307" t="s">
        <v>44</v>
      </c>
      <c r="G307" s="3">
        <v>43477</v>
      </c>
      <c r="H307" t="str">
        <f>TEXT(tbl_HR_Data[[#This Row],[Joining Date]], "mmm")</f>
        <v>Jan</v>
      </c>
      <c r="I307" t="s">
        <v>93</v>
      </c>
      <c r="J307" t="s">
        <v>14</v>
      </c>
      <c r="K307" t="s">
        <v>77</v>
      </c>
      <c r="L307" t="s">
        <v>77</v>
      </c>
      <c r="M307">
        <f>IFERROR( _xlfn.XLOOKUP(TRIM(tbl_HR_Data[[#This Row],[Age]]),#REF!,#REF!), VALUE(TRIM(tbl_HR_Data[[#This Row],[Age]])))</f>
        <v>25</v>
      </c>
      <c r="N307" t="str">
        <f>IFERROR(_xlfn.XLOOKUP(tbl_HR_Data[[#This Row],[Gender]], Mapping[Gender _Discarded], Mapping[Gender_Correction]), PROPER(TRIM(tbl_HR_Data[[#This Row],[Gender]])))</f>
        <v>Male</v>
      </c>
      <c r="O307" t="str">
        <f>TRIM(tbl_HR_Data[[#This Row],[Position]])</f>
        <v>Analyst</v>
      </c>
      <c r="P307" t="str">
        <f>IFERROR(_xlfn.XLOOKUP(tbl_HR_Data[[#This Row],[Email]], Mapping[Email_Discarded], Mapping[Email_Correction]), LOWER(TRIM(tbl_HR_Data[[#This Row],[Email]])))</f>
        <v>not provided</v>
      </c>
      <c r="Q30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07" t="str" cm="1">
        <f t="array" ref="R307">_xlfn.REDUCE(Q307, {"-","/","_","\","(",")"}, _xlfn.LAMBDA(_xlpm.txt,_xlpm.itm, SUBSTITUTE(_xlpm.txt, _xlpm.itm, "")))</f>
        <v>Not Provided</v>
      </c>
      <c r="S307" s="3">
        <f>IFERROR(_xlfn.XLOOKUP(tbl_HR_Data[[#This Row],[Joining Date]], Mapping[Joining_Discarded], Mapping[Joining_Correction]), VALUE(tbl_HR_Data[[#This Row],[Joining Date]]))</f>
        <v>43477</v>
      </c>
      <c r="T307" t="str">
        <f>TEXT(tbl_HR_Data[[#This Row],[Joining Date]], "mmm")</f>
        <v>Jan</v>
      </c>
      <c r="U307" t="str">
        <f>TEXT(tbl_HR_Data[[#This Row],[Joining Date]], "ddd")</f>
        <v>Sat</v>
      </c>
    </row>
    <row r="308" spans="1:21" x14ac:dyDescent="0.35">
      <c r="A308" t="s">
        <v>106</v>
      </c>
      <c r="B308">
        <v>25</v>
      </c>
      <c r="C308">
        <v>0</v>
      </c>
      <c r="D308" t="s">
        <v>18</v>
      </c>
      <c r="E308" t="s">
        <v>19</v>
      </c>
      <c r="F308" t="s">
        <v>13</v>
      </c>
      <c r="G308" s="3">
        <v>43477</v>
      </c>
      <c r="H308" t="str">
        <f>TEXT(tbl_HR_Data[[#This Row],[Joining Date]], "mmm")</f>
        <v>Jan</v>
      </c>
      <c r="I308" t="s">
        <v>93</v>
      </c>
      <c r="J308" t="s">
        <v>21</v>
      </c>
      <c r="K308" t="s">
        <v>32</v>
      </c>
      <c r="L308" t="s">
        <v>88</v>
      </c>
      <c r="M308">
        <f>IFERROR( _xlfn.XLOOKUP(TRIM(tbl_HR_Data[[#This Row],[Age]]),#REF!,#REF!), VALUE(TRIM(tbl_HR_Data[[#This Row],[Age]])))</f>
        <v>25</v>
      </c>
      <c r="N308" t="str">
        <f>IFERROR(_xlfn.XLOOKUP(tbl_HR_Data[[#This Row],[Gender]], Mapping[Gender _Discarded], Mapping[Gender_Correction]), PROPER(TRIM(tbl_HR_Data[[#This Row],[Gender]])))</f>
        <v>Female</v>
      </c>
      <c r="O308" t="str">
        <f>TRIM(tbl_HR_Data[[#This Row],[Position]])</f>
        <v>Manager</v>
      </c>
      <c r="P308" t="str">
        <f>IFERROR(_xlfn.XLOOKUP(tbl_HR_Data[[#This Row],[Email]], Mapping[Email_Discarded], Mapping[Email_Correction]), LOWER(TRIM(tbl_HR_Data[[#This Row],[Email]])))</f>
        <v>name@company.org</v>
      </c>
      <c r="Q30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308" t="str" cm="1">
        <f t="array" ref="R308">_xlfn.REDUCE(Q308, {"-","/","_","\","(",")"}, _xlfn.LAMBDA(_xlpm.txt,_xlpm.itm, SUBSTITUTE(_xlpm.txt, _xlpm.itm, "")))</f>
        <v>0987654321</v>
      </c>
      <c r="S308" s="3">
        <f>IFERROR(_xlfn.XLOOKUP(tbl_HR_Data[[#This Row],[Joining Date]], Mapping[Joining_Discarded], Mapping[Joining_Correction]), VALUE(tbl_HR_Data[[#This Row],[Joining Date]]))</f>
        <v>43477</v>
      </c>
      <c r="T308" t="str">
        <f>TEXT(tbl_HR_Data[[#This Row],[Joining Date]], "mmm")</f>
        <v>Jan</v>
      </c>
      <c r="U308" t="str">
        <f>TEXT(tbl_HR_Data[[#This Row],[Joining Date]], "ddd")</f>
        <v>Sat</v>
      </c>
    </row>
    <row r="309" spans="1:21" x14ac:dyDescent="0.35">
      <c r="A309" t="s">
        <v>101</v>
      </c>
      <c r="B309">
        <v>50</v>
      </c>
      <c r="C309">
        <v>55000</v>
      </c>
      <c r="D309" t="s">
        <v>36</v>
      </c>
      <c r="E309" t="s">
        <v>26</v>
      </c>
      <c r="F309" t="s">
        <v>13</v>
      </c>
      <c r="G309" s="3">
        <v>43477</v>
      </c>
      <c r="H309" t="str">
        <f>TEXT(tbl_HR_Data[[#This Row],[Joining Date]], "mmm")</f>
        <v>Jan</v>
      </c>
      <c r="I309" t="s">
        <v>93</v>
      </c>
      <c r="J309" t="s">
        <v>31</v>
      </c>
      <c r="K309" t="s">
        <v>15</v>
      </c>
      <c r="L309" t="s">
        <v>87</v>
      </c>
      <c r="M309">
        <f>IFERROR( _xlfn.XLOOKUP(TRIM(tbl_HR_Data[[#This Row],[Age]]),#REF!,#REF!), VALUE(TRIM(tbl_HR_Data[[#This Row],[Age]])))</f>
        <v>50</v>
      </c>
      <c r="N309" t="str">
        <f>IFERROR(_xlfn.XLOOKUP(tbl_HR_Data[[#This Row],[Gender]], Mapping[Gender _Discarded], Mapping[Gender_Correction]), PROPER(TRIM(tbl_HR_Data[[#This Row],[Gender]])))</f>
        <v>Other</v>
      </c>
      <c r="O309" t="str">
        <f>TRIM(tbl_HR_Data[[#This Row],[Position]])</f>
        <v>Manager</v>
      </c>
      <c r="P309" t="str">
        <f>IFERROR(_xlfn.XLOOKUP(tbl_HR_Data[[#This Row],[Email]], Mapping[Email_Discarded], Mapping[Email_Correction]), LOWER(TRIM(tbl_HR_Data[[#This Row],[Email]])))</f>
        <v>email@example.com</v>
      </c>
      <c r="Q30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309" t="str" cm="1">
        <f t="array" ref="R309">_xlfn.REDUCE(Q309, {"-","/","_","\","(",")"}, _xlfn.LAMBDA(_xlpm.txt,_xlpm.itm, SUBSTITUTE(_xlpm.txt, _xlpm.itm, "")))</f>
        <v>1234567890</v>
      </c>
      <c r="S309" s="3">
        <f>IFERROR(_xlfn.XLOOKUP(tbl_HR_Data[[#This Row],[Joining Date]], Mapping[Joining_Discarded], Mapping[Joining_Correction]), VALUE(tbl_HR_Data[[#This Row],[Joining Date]]))</f>
        <v>43477</v>
      </c>
      <c r="T309" t="str">
        <f>TEXT(tbl_HR_Data[[#This Row],[Joining Date]], "mmm")</f>
        <v>Jan</v>
      </c>
      <c r="U309" t="str">
        <f>TEXT(tbl_HR_Data[[#This Row],[Joining Date]], "ddd")</f>
        <v>Sat</v>
      </c>
    </row>
    <row r="310" spans="1:21" x14ac:dyDescent="0.35">
      <c r="A310" t="s">
        <v>101</v>
      </c>
      <c r="B310">
        <v>35</v>
      </c>
      <c r="C310">
        <v>70000</v>
      </c>
      <c r="D310" t="s">
        <v>18</v>
      </c>
      <c r="E310" t="s">
        <v>26</v>
      </c>
      <c r="F310" t="s">
        <v>44</v>
      </c>
      <c r="G310" s="3">
        <v>43477</v>
      </c>
      <c r="H310" t="str">
        <f>TEXT(tbl_HR_Data[[#This Row],[Joining Date]], "mmm")</f>
        <v>Jan</v>
      </c>
      <c r="I310" t="s">
        <v>93</v>
      </c>
      <c r="J310" t="s">
        <v>41</v>
      </c>
      <c r="K310" t="s">
        <v>15</v>
      </c>
      <c r="L310" t="s">
        <v>77</v>
      </c>
      <c r="M310">
        <f>IFERROR( _xlfn.XLOOKUP(TRIM(tbl_HR_Data[[#This Row],[Age]]),#REF!,#REF!), VALUE(TRIM(tbl_HR_Data[[#This Row],[Age]])))</f>
        <v>35</v>
      </c>
      <c r="N310" t="str">
        <f>IFERROR(_xlfn.XLOOKUP(tbl_HR_Data[[#This Row],[Gender]], Mapping[Gender _Discarded], Mapping[Gender_Correction]), PROPER(TRIM(tbl_HR_Data[[#This Row],[Gender]])))</f>
        <v>Female</v>
      </c>
      <c r="O310" t="str">
        <f>TRIM(tbl_HR_Data[[#This Row],[Position]])</f>
        <v>Analyst</v>
      </c>
      <c r="P310" t="str">
        <f>IFERROR(_xlfn.XLOOKUP(tbl_HR_Data[[#This Row],[Email]], Mapping[Email_Discarded], Mapping[Email_Correction]), LOWER(TRIM(tbl_HR_Data[[#This Row],[Email]])))</f>
        <v>email@example.com</v>
      </c>
      <c r="Q31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10" t="str" cm="1">
        <f t="array" ref="R310">_xlfn.REDUCE(Q310, {"-","/","_","\","(",")"}, _xlfn.LAMBDA(_xlpm.txt,_xlpm.itm, SUBSTITUTE(_xlpm.txt, _xlpm.itm, "")))</f>
        <v>Not Provided</v>
      </c>
      <c r="S310" s="3">
        <f>IFERROR(_xlfn.XLOOKUP(tbl_HR_Data[[#This Row],[Joining Date]], Mapping[Joining_Discarded], Mapping[Joining_Correction]), VALUE(tbl_HR_Data[[#This Row],[Joining Date]]))</f>
        <v>43477</v>
      </c>
      <c r="T310" t="str">
        <f>TEXT(tbl_HR_Data[[#This Row],[Joining Date]], "mmm")</f>
        <v>Jan</v>
      </c>
      <c r="U310" t="str">
        <f>TEXT(tbl_HR_Data[[#This Row],[Joining Date]], "ddd")</f>
        <v>Sat</v>
      </c>
    </row>
    <row r="311" spans="1:21" x14ac:dyDescent="0.35">
      <c r="A311" t="s">
        <v>103</v>
      </c>
      <c r="B311">
        <v>35</v>
      </c>
      <c r="C311">
        <v>0</v>
      </c>
      <c r="D311" t="s">
        <v>11</v>
      </c>
      <c r="E311" t="s">
        <v>30</v>
      </c>
      <c r="F311" t="s">
        <v>43</v>
      </c>
      <c r="G311" s="3">
        <v>43477</v>
      </c>
      <c r="H311" t="str">
        <f>TEXT(tbl_HR_Data[[#This Row],[Joining Date]], "mmm")</f>
        <v>Jan</v>
      </c>
      <c r="I311" t="s">
        <v>93</v>
      </c>
      <c r="J311" t="s">
        <v>27</v>
      </c>
      <c r="K311" t="s">
        <v>15</v>
      </c>
      <c r="L311" t="s">
        <v>89</v>
      </c>
      <c r="M311">
        <f>IFERROR( _xlfn.XLOOKUP(TRIM(tbl_HR_Data[[#This Row],[Age]]),#REF!,#REF!), VALUE(TRIM(tbl_HR_Data[[#This Row],[Age]])))</f>
        <v>35</v>
      </c>
      <c r="N311" t="str">
        <f>IFERROR(_xlfn.XLOOKUP(tbl_HR_Data[[#This Row],[Gender]], Mapping[Gender _Discarded], Mapping[Gender_Correction]), PROPER(TRIM(tbl_HR_Data[[#This Row],[Gender]])))</f>
        <v>Male</v>
      </c>
      <c r="O311" t="str">
        <f>TRIM(tbl_HR_Data[[#This Row],[Position]])</f>
        <v>Assistant</v>
      </c>
      <c r="P311" t="str">
        <f>IFERROR(_xlfn.XLOOKUP(tbl_HR_Data[[#This Row],[Email]], Mapping[Email_Discarded], Mapping[Email_Correction]), LOWER(TRIM(tbl_HR_Data[[#This Row],[Email]])))</f>
        <v>email@example.com</v>
      </c>
      <c r="Q31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311" t="str" cm="1">
        <f t="array" ref="R311">_xlfn.REDUCE(Q311, {"-","/","_","\","(",")"}, _xlfn.LAMBDA(_xlpm.txt,_xlpm.itm, SUBSTITUTE(_xlpm.txt, _xlpm.itm, "")))</f>
        <v>5555555555</v>
      </c>
      <c r="S311" s="3">
        <f>IFERROR(_xlfn.XLOOKUP(tbl_HR_Data[[#This Row],[Joining Date]], Mapping[Joining_Discarded], Mapping[Joining_Correction]), VALUE(tbl_HR_Data[[#This Row],[Joining Date]]))</f>
        <v>43477</v>
      </c>
      <c r="T311" t="str">
        <f>TEXT(tbl_HR_Data[[#This Row],[Joining Date]], "mmm")</f>
        <v>Jan</v>
      </c>
      <c r="U311" t="str">
        <f>TEXT(tbl_HR_Data[[#This Row],[Joining Date]], "ddd")</f>
        <v>Sat</v>
      </c>
    </row>
    <row r="312" spans="1:21" x14ac:dyDescent="0.35">
      <c r="A312" t="s">
        <v>100</v>
      </c>
      <c r="B312">
        <v>40</v>
      </c>
      <c r="C312">
        <v>0</v>
      </c>
      <c r="D312" t="s">
        <v>11</v>
      </c>
      <c r="E312" t="s">
        <v>19</v>
      </c>
      <c r="F312" t="s">
        <v>43</v>
      </c>
      <c r="G312" s="3">
        <v>43477</v>
      </c>
      <c r="H312" t="str">
        <f>TEXT(tbl_HR_Data[[#This Row],[Joining Date]], "mmm")</f>
        <v>Jan</v>
      </c>
      <c r="I312" t="s">
        <v>93</v>
      </c>
      <c r="J312" t="s">
        <v>27</v>
      </c>
      <c r="K312" t="s">
        <v>77</v>
      </c>
      <c r="L312" t="s">
        <v>87</v>
      </c>
      <c r="M312">
        <f>IFERROR( _xlfn.XLOOKUP(TRIM(tbl_HR_Data[[#This Row],[Age]]),#REF!,#REF!), VALUE(TRIM(tbl_HR_Data[[#This Row],[Age]])))</f>
        <v>40</v>
      </c>
      <c r="N312" t="str">
        <f>IFERROR(_xlfn.XLOOKUP(tbl_HR_Data[[#This Row],[Gender]], Mapping[Gender _Discarded], Mapping[Gender_Correction]), PROPER(TRIM(tbl_HR_Data[[#This Row],[Gender]])))</f>
        <v>Male</v>
      </c>
      <c r="O312" t="str">
        <f>TRIM(tbl_HR_Data[[#This Row],[Position]])</f>
        <v>Assistant</v>
      </c>
      <c r="P312" t="str">
        <f>IFERROR(_xlfn.XLOOKUP(tbl_HR_Data[[#This Row],[Email]], Mapping[Email_Discarded], Mapping[Email_Correction]), LOWER(TRIM(tbl_HR_Data[[#This Row],[Email]])))</f>
        <v>not provided</v>
      </c>
      <c r="Q31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312" t="str" cm="1">
        <f t="array" ref="R312">_xlfn.REDUCE(Q312, {"-","/","_","\","(",")"}, _xlfn.LAMBDA(_xlpm.txt,_xlpm.itm, SUBSTITUTE(_xlpm.txt, _xlpm.itm, "")))</f>
        <v>1234567890</v>
      </c>
      <c r="S312" s="3">
        <f>IFERROR(_xlfn.XLOOKUP(tbl_HR_Data[[#This Row],[Joining Date]], Mapping[Joining_Discarded], Mapping[Joining_Correction]), VALUE(tbl_HR_Data[[#This Row],[Joining Date]]))</f>
        <v>43477</v>
      </c>
      <c r="T312" t="str">
        <f>TEXT(tbl_HR_Data[[#This Row],[Joining Date]], "mmm")</f>
        <v>Jan</v>
      </c>
      <c r="U312" t="str">
        <f>TEXT(tbl_HR_Data[[#This Row],[Joining Date]], "ddd")</f>
        <v>Sat</v>
      </c>
    </row>
    <row r="313" spans="1:21" x14ac:dyDescent="0.35">
      <c r="A313" t="s">
        <v>107</v>
      </c>
      <c r="B313">
        <v>40</v>
      </c>
      <c r="C313">
        <v>60000</v>
      </c>
      <c r="D313" t="s">
        <v>18</v>
      </c>
      <c r="E313" t="s">
        <v>12</v>
      </c>
      <c r="F313" t="s">
        <v>13</v>
      </c>
      <c r="G313" s="3">
        <v>43477</v>
      </c>
      <c r="H313" t="str">
        <f>TEXT(tbl_HR_Data[[#This Row],[Joining Date]], "mmm")</f>
        <v>Jan</v>
      </c>
      <c r="I313" t="s">
        <v>93</v>
      </c>
      <c r="J313" t="s">
        <v>27</v>
      </c>
      <c r="K313" t="s">
        <v>77</v>
      </c>
      <c r="L313" t="s">
        <v>87</v>
      </c>
      <c r="M313">
        <f>IFERROR( _xlfn.XLOOKUP(TRIM(tbl_HR_Data[[#This Row],[Age]]),#REF!,#REF!), VALUE(TRIM(tbl_HR_Data[[#This Row],[Age]])))</f>
        <v>40</v>
      </c>
      <c r="N313" t="str">
        <f>IFERROR(_xlfn.XLOOKUP(tbl_HR_Data[[#This Row],[Gender]], Mapping[Gender _Discarded], Mapping[Gender_Correction]), PROPER(TRIM(tbl_HR_Data[[#This Row],[Gender]])))</f>
        <v>Female</v>
      </c>
      <c r="O313" t="str">
        <f>TRIM(tbl_HR_Data[[#This Row],[Position]])</f>
        <v>Manager</v>
      </c>
      <c r="P313" t="str">
        <f>IFERROR(_xlfn.XLOOKUP(tbl_HR_Data[[#This Row],[Email]], Mapping[Email_Discarded], Mapping[Email_Correction]), LOWER(TRIM(tbl_HR_Data[[#This Row],[Email]])))</f>
        <v>not provided</v>
      </c>
      <c r="Q31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313" t="str" cm="1">
        <f t="array" ref="R313">_xlfn.REDUCE(Q313, {"-","/","_","\","(",")"}, _xlfn.LAMBDA(_xlpm.txt,_xlpm.itm, SUBSTITUTE(_xlpm.txt, _xlpm.itm, "")))</f>
        <v>1234567890</v>
      </c>
      <c r="S313" s="3">
        <f>IFERROR(_xlfn.XLOOKUP(tbl_HR_Data[[#This Row],[Joining Date]], Mapping[Joining_Discarded], Mapping[Joining_Correction]), VALUE(tbl_HR_Data[[#This Row],[Joining Date]]))</f>
        <v>43477</v>
      </c>
      <c r="T313" t="str">
        <f>TEXT(tbl_HR_Data[[#This Row],[Joining Date]], "mmm")</f>
        <v>Jan</v>
      </c>
      <c r="U313" t="str">
        <f>TEXT(tbl_HR_Data[[#This Row],[Joining Date]], "ddd")</f>
        <v>Sat</v>
      </c>
    </row>
    <row r="314" spans="1:21" x14ac:dyDescent="0.35">
      <c r="A314" t="s">
        <v>100</v>
      </c>
      <c r="B314">
        <v>35</v>
      </c>
      <c r="C314">
        <v>0</v>
      </c>
      <c r="D314" t="s">
        <v>36</v>
      </c>
      <c r="E314" t="s">
        <v>19</v>
      </c>
      <c r="F314" t="s">
        <v>43</v>
      </c>
      <c r="G314" s="3">
        <v>43477</v>
      </c>
      <c r="H314" t="str">
        <f>TEXT(tbl_HR_Data[[#This Row],[Joining Date]], "mmm")</f>
        <v>Jan</v>
      </c>
      <c r="I314" t="s">
        <v>93</v>
      </c>
      <c r="J314" t="s">
        <v>41</v>
      </c>
      <c r="K314" t="s">
        <v>15</v>
      </c>
      <c r="L314" t="s">
        <v>77</v>
      </c>
      <c r="M314">
        <f>IFERROR( _xlfn.XLOOKUP(TRIM(tbl_HR_Data[[#This Row],[Age]]),#REF!,#REF!), VALUE(TRIM(tbl_HR_Data[[#This Row],[Age]])))</f>
        <v>35</v>
      </c>
      <c r="N314" t="str">
        <f>IFERROR(_xlfn.XLOOKUP(tbl_HR_Data[[#This Row],[Gender]], Mapping[Gender _Discarded], Mapping[Gender_Correction]), PROPER(TRIM(tbl_HR_Data[[#This Row],[Gender]])))</f>
        <v>Other</v>
      </c>
      <c r="O314" t="str">
        <f>TRIM(tbl_HR_Data[[#This Row],[Position]])</f>
        <v>Assistant</v>
      </c>
      <c r="P314" t="str">
        <f>IFERROR(_xlfn.XLOOKUP(tbl_HR_Data[[#This Row],[Email]], Mapping[Email_Discarded], Mapping[Email_Correction]), LOWER(TRIM(tbl_HR_Data[[#This Row],[Email]])))</f>
        <v>email@example.com</v>
      </c>
      <c r="Q31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14" t="str" cm="1">
        <f t="array" ref="R314">_xlfn.REDUCE(Q314, {"-","/","_","\","(",")"}, _xlfn.LAMBDA(_xlpm.txt,_xlpm.itm, SUBSTITUTE(_xlpm.txt, _xlpm.itm, "")))</f>
        <v>Not Provided</v>
      </c>
      <c r="S314" s="3">
        <f>IFERROR(_xlfn.XLOOKUP(tbl_HR_Data[[#This Row],[Joining Date]], Mapping[Joining_Discarded], Mapping[Joining_Correction]), VALUE(tbl_HR_Data[[#This Row],[Joining Date]]))</f>
        <v>43477</v>
      </c>
      <c r="T314" t="str">
        <f>TEXT(tbl_HR_Data[[#This Row],[Joining Date]], "mmm")</f>
        <v>Jan</v>
      </c>
      <c r="U314" t="str">
        <f>TEXT(tbl_HR_Data[[#This Row],[Joining Date]], "ddd")</f>
        <v>Sat</v>
      </c>
    </row>
    <row r="315" spans="1:21" x14ac:dyDescent="0.35">
      <c r="A315" t="s">
        <v>107</v>
      </c>
      <c r="B315">
        <v>30</v>
      </c>
      <c r="C315">
        <v>65000</v>
      </c>
      <c r="D315" t="s">
        <v>18</v>
      </c>
      <c r="E315" t="s">
        <v>12</v>
      </c>
      <c r="F315" t="s">
        <v>44</v>
      </c>
      <c r="G315" s="3">
        <v>43477</v>
      </c>
      <c r="H315" t="str">
        <f>TEXT(tbl_HR_Data[[#This Row],[Joining Date]], "mmm")</f>
        <v>Jan</v>
      </c>
      <c r="I315" t="s">
        <v>93</v>
      </c>
      <c r="J315" t="s">
        <v>31</v>
      </c>
      <c r="K315" t="s">
        <v>22</v>
      </c>
      <c r="L315" t="s">
        <v>77</v>
      </c>
      <c r="M315">
        <f>IFERROR( _xlfn.XLOOKUP(TRIM(tbl_HR_Data[[#This Row],[Age]]),#REF!,#REF!), VALUE(TRIM(tbl_HR_Data[[#This Row],[Age]])))</f>
        <v>30</v>
      </c>
      <c r="N315" t="str">
        <f>IFERROR(_xlfn.XLOOKUP(tbl_HR_Data[[#This Row],[Gender]], Mapping[Gender _Discarded], Mapping[Gender_Correction]), PROPER(TRIM(tbl_HR_Data[[#This Row],[Gender]])))</f>
        <v>Female</v>
      </c>
      <c r="O315" t="str">
        <f>TRIM(tbl_HR_Data[[#This Row],[Position]])</f>
        <v>Analyst</v>
      </c>
      <c r="P315" t="str">
        <f>IFERROR(_xlfn.XLOOKUP(tbl_HR_Data[[#This Row],[Email]], Mapping[Email_Discarded], Mapping[Email_Correction]), LOWER(TRIM(tbl_HR_Data[[#This Row],[Email]])))</f>
        <v>user@domain.com</v>
      </c>
      <c r="Q31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15" t="str" cm="1">
        <f t="array" ref="R315">_xlfn.REDUCE(Q315, {"-","/","_","\","(",")"}, _xlfn.LAMBDA(_xlpm.txt,_xlpm.itm, SUBSTITUTE(_xlpm.txt, _xlpm.itm, "")))</f>
        <v>Not Provided</v>
      </c>
      <c r="S315" s="3">
        <f>IFERROR(_xlfn.XLOOKUP(tbl_HR_Data[[#This Row],[Joining Date]], Mapping[Joining_Discarded], Mapping[Joining_Correction]), VALUE(tbl_HR_Data[[#This Row],[Joining Date]]))</f>
        <v>43477</v>
      </c>
      <c r="T315" t="str">
        <f>TEXT(tbl_HR_Data[[#This Row],[Joining Date]], "mmm")</f>
        <v>Jan</v>
      </c>
      <c r="U315" t="str">
        <f>TEXT(tbl_HR_Data[[#This Row],[Joining Date]], "ddd")</f>
        <v>Sat</v>
      </c>
    </row>
    <row r="316" spans="1:21" x14ac:dyDescent="0.35">
      <c r="A316" t="s">
        <v>100</v>
      </c>
      <c r="B316">
        <v>40</v>
      </c>
      <c r="C316">
        <v>70000</v>
      </c>
      <c r="D316" t="s">
        <v>36</v>
      </c>
      <c r="E316" t="s">
        <v>26</v>
      </c>
      <c r="F316" t="s">
        <v>39</v>
      </c>
      <c r="G316" s="3">
        <v>43477</v>
      </c>
      <c r="H316" t="str">
        <f>TEXT(tbl_HR_Data[[#This Row],[Joining Date]], "mmm")</f>
        <v>Jan</v>
      </c>
      <c r="I316" t="s">
        <v>93</v>
      </c>
      <c r="J316" t="s">
        <v>14</v>
      </c>
      <c r="K316" t="s">
        <v>77</v>
      </c>
      <c r="L316" t="s">
        <v>88</v>
      </c>
      <c r="M316">
        <f>IFERROR( _xlfn.XLOOKUP(TRIM(tbl_HR_Data[[#This Row],[Age]]),#REF!,#REF!), VALUE(TRIM(tbl_HR_Data[[#This Row],[Age]])))</f>
        <v>40</v>
      </c>
      <c r="N316" t="str">
        <f>IFERROR(_xlfn.XLOOKUP(tbl_HR_Data[[#This Row],[Gender]], Mapping[Gender _Discarded], Mapping[Gender_Correction]), PROPER(TRIM(tbl_HR_Data[[#This Row],[Gender]])))</f>
        <v>Other</v>
      </c>
      <c r="O316" t="str">
        <f>TRIM(tbl_HR_Data[[#This Row],[Position]])</f>
        <v>Clerk</v>
      </c>
      <c r="P316" t="str">
        <f>IFERROR(_xlfn.XLOOKUP(tbl_HR_Data[[#This Row],[Email]], Mapping[Email_Discarded], Mapping[Email_Correction]), LOWER(TRIM(tbl_HR_Data[[#This Row],[Email]])))</f>
        <v>not provided</v>
      </c>
      <c r="Q31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316" t="str" cm="1">
        <f t="array" ref="R316">_xlfn.REDUCE(Q316, {"-","/","_","\","(",")"}, _xlfn.LAMBDA(_xlpm.txt,_xlpm.itm, SUBSTITUTE(_xlpm.txt, _xlpm.itm, "")))</f>
        <v>0987654321</v>
      </c>
      <c r="S316" s="3">
        <f>IFERROR(_xlfn.XLOOKUP(tbl_HR_Data[[#This Row],[Joining Date]], Mapping[Joining_Discarded], Mapping[Joining_Correction]), VALUE(tbl_HR_Data[[#This Row],[Joining Date]]))</f>
        <v>43477</v>
      </c>
      <c r="T316" t="str">
        <f>TEXT(tbl_HR_Data[[#This Row],[Joining Date]], "mmm")</f>
        <v>Jan</v>
      </c>
      <c r="U316" t="str">
        <f>TEXT(tbl_HR_Data[[#This Row],[Joining Date]], "ddd")</f>
        <v>Sat</v>
      </c>
    </row>
    <row r="317" spans="1:21" x14ac:dyDescent="0.35">
      <c r="A317" t="s">
        <v>101</v>
      </c>
      <c r="B317">
        <v>35</v>
      </c>
      <c r="C317">
        <v>0</v>
      </c>
      <c r="D317" t="s">
        <v>11</v>
      </c>
      <c r="E317" t="s">
        <v>26</v>
      </c>
      <c r="F317" t="s">
        <v>43</v>
      </c>
      <c r="G317" s="3">
        <v>43477</v>
      </c>
      <c r="H317" t="str">
        <f>TEXT(tbl_HR_Data[[#This Row],[Joining Date]], "mmm")</f>
        <v>Jan</v>
      </c>
      <c r="I317" t="s">
        <v>93</v>
      </c>
      <c r="J317" t="s">
        <v>14</v>
      </c>
      <c r="K317" t="s">
        <v>15</v>
      </c>
      <c r="L317" t="s">
        <v>88</v>
      </c>
      <c r="M317">
        <f>IFERROR( _xlfn.XLOOKUP(TRIM(tbl_HR_Data[[#This Row],[Age]]),#REF!,#REF!), VALUE(TRIM(tbl_HR_Data[[#This Row],[Age]])))</f>
        <v>35</v>
      </c>
      <c r="N317" t="str">
        <f>IFERROR(_xlfn.XLOOKUP(tbl_HR_Data[[#This Row],[Gender]], Mapping[Gender _Discarded], Mapping[Gender_Correction]), PROPER(TRIM(tbl_HR_Data[[#This Row],[Gender]])))</f>
        <v>Male</v>
      </c>
      <c r="O317" t="str">
        <f>TRIM(tbl_HR_Data[[#This Row],[Position]])</f>
        <v>Assistant</v>
      </c>
      <c r="P317" t="str">
        <f>IFERROR(_xlfn.XLOOKUP(tbl_HR_Data[[#This Row],[Email]], Mapping[Email_Discarded], Mapping[Email_Correction]), LOWER(TRIM(tbl_HR_Data[[#This Row],[Email]])))</f>
        <v>email@example.com</v>
      </c>
      <c r="Q31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317" t="str" cm="1">
        <f t="array" ref="R317">_xlfn.REDUCE(Q317, {"-","/","_","\","(",")"}, _xlfn.LAMBDA(_xlpm.txt,_xlpm.itm, SUBSTITUTE(_xlpm.txt, _xlpm.itm, "")))</f>
        <v>0987654321</v>
      </c>
      <c r="S317" s="3">
        <f>IFERROR(_xlfn.XLOOKUP(tbl_HR_Data[[#This Row],[Joining Date]], Mapping[Joining_Discarded], Mapping[Joining_Correction]), VALUE(tbl_HR_Data[[#This Row],[Joining Date]]))</f>
        <v>43477</v>
      </c>
      <c r="T317" t="str">
        <f>TEXT(tbl_HR_Data[[#This Row],[Joining Date]], "mmm")</f>
        <v>Jan</v>
      </c>
      <c r="U317" t="str">
        <f>TEXT(tbl_HR_Data[[#This Row],[Joining Date]], "ddd")</f>
        <v>Sat</v>
      </c>
    </row>
    <row r="318" spans="1:21" x14ac:dyDescent="0.35">
      <c r="A318" t="s">
        <v>102</v>
      </c>
      <c r="B318">
        <v>50</v>
      </c>
      <c r="C318">
        <v>70000</v>
      </c>
      <c r="D318" t="s">
        <v>36</v>
      </c>
      <c r="E318" t="s">
        <v>19</v>
      </c>
      <c r="F318" t="s">
        <v>44</v>
      </c>
      <c r="G318" s="3">
        <v>43477</v>
      </c>
      <c r="H318" t="str">
        <f>TEXT(tbl_HR_Data[[#This Row],[Joining Date]], "mmm")</f>
        <v>Jan</v>
      </c>
      <c r="I318" t="s">
        <v>93</v>
      </c>
      <c r="J318" t="s">
        <v>14</v>
      </c>
      <c r="K318" t="s">
        <v>32</v>
      </c>
      <c r="L318" t="s">
        <v>87</v>
      </c>
      <c r="M318">
        <f>IFERROR( _xlfn.XLOOKUP(TRIM(tbl_HR_Data[[#This Row],[Age]]),#REF!,#REF!), VALUE(TRIM(tbl_HR_Data[[#This Row],[Age]])))</f>
        <v>50</v>
      </c>
      <c r="N318" t="str">
        <f>IFERROR(_xlfn.XLOOKUP(tbl_HR_Data[[#This Row],[Gender]], Mapping[Gender _Discarded], Mapping[Gender_Correction]), PROPER(TRIM(tbl_HR_Data[[#This Row],[Gender]])))</f>
        <v>Other</v>
      </c>
      <c r="O318" t="str">
        <f>TRIM(tbl_HR_Data[[#This Row],[Position]])</f>
        <v>Analyst</v>
      </c>
      <c r="P318" t="str">
        <f>IFERROR(_xlfn.XLOOKUP(tbl_HR_Data[[#This Row],[Email]], Mapping[Email_Discarded], Mapping[Email_Correction]), LOWER(TRIM(tbl_HR_Data[[#This Row],[Email]])))</f>
        <v>name@company.org</v>
      </c>
      <c r="Q31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318" t="str" cm="1">
        <f t="array" ref="R318">_xlfn.REDUCE(Q318, {"-","/","_","\","(",")"}, _xlfn.LAMBDA(_xlpm.txt,_xlpm.itm, SUBSTITUTE(_xlpm.txt, _xlpm.itm, "")))</f>
        <v>1234567890</v>
      </c>
      <c r="S318" s="3">
        <f>IFERROR(_xlfn.XLOOKUP(tbl_HR_Data[[#This Row],[Joining Date]], Mapping[Joining_Discarded], Mapping[Joining_Correction]), VALUE(tbl_HR_Data[[#This Row],[Joining Date]]))</f>
        <v>43477</v>
      </c>
      <c r="T318" t="str">
        <f>TEXT(tbl_HR_Data[[#This Row],[Joining Date]], "mmm")</f>
        <v>Jan</v>
      </c>
      <c r="U318" t="str">
        <f>TEXT(tbl_HR_Data[[#This Row],[Joining Date]], "ddd")</f>
        <v>Sat</v>
      </c>
    </row>
    <row r="319" spans="1:21" x14ac:dyDescent="0.35">
      <c r="A319" t="s">
        <v>105</v>
      </c>
      <c r="B319">
        <v>40</v>
      </c>
      <c r="C319">
        <v>55000</v>
      </c>
      <c r="D319" t="s">
        <v>36</v>
      </c>
      <c r="E319" t="s">
        <v>19</v>
      </c>
      <c r="F319" t="s">
        <v>13</v>
      </c>
      <c r="G319" s="3">
        <v>43477</v>
      </c>
      <c r="H319" t="str">
        <f>TEXT(tbl_HR_Data[[#This Row],[Joining Date]], "mmm")</f>
        <v>Jan</v>
      </c>
      <c r="I319" t="s">
        <v>93</v>
      </c>
      <c r="J319" t="s">
        <v>31</v>
      </c>
      <c r="K319" t="s">
        <v>77</v>
      </c>
      <c r="L319" t="s">
        <v>89</v>
      </c>
      <c r="M319">
        <f>IFERROR( _xlfn.XLOOKUP(TRIM(tbl_HR_Data[[#This Row],[Age]]),#REF!,#REF!), VALUE(TRIM(tbl_HR_Data[[#This Row],[Age]])))</f>
        <v>40</v>
      </c>
      <c r="N319" t="str">
        <f>IFERROR(_xlfn.XLOOKUP(tbl_HR_Data[[#This Row],[Gender]], Mapping[Gender _Discarded], Mapping[Gender_Correction]), PROPER(TRIM(tbl_HR_Data[[#This Row],[Gender]])))</f>
        <v>Other</v>
      </c>
      <c r="O319" t="str">
        <f>TRIM(tbl_HR_Data[[#This Row],[Position]])</f>
        <v>Manager</v>
      </c>
      <c r="P319" t="str">
        <f>IFERROR(_xlfn.XLOOKUP(tbl_HR_Data[[#This Row],[Email]], Mapping[Email_Discarded], Mapping[Email_Correction]), LOWER(TRIM(tbl_HR_Data[[#This Row],[Email]])))</f>
        <v>not provided</v>
      </c>
      <c r="Q31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319" t="str" cm="1">
        <f t="array" ref="R319">_xlfn.REDUCE(Q319, {"-","/","_","\","(",")"}, _xlfn.LAMBDA(_xlpm.txt,_xlpm.itm, SUBSTITUTE(_xlpm.txt, _xlpm.itm, "")))</f>
        <v>5555555555</v>
      </c>
      <c r="S319" s="3">
        <f>IFERROR(_xlfn.XLOOKUP(tbl_HR_Data[[#This Row],[Joining Date]], Mapping[Joining_Discarded], Mapping[Joining_Correction]), VALUE(tbl_HR_Data[[#This Row],[Joining Date]]))</f>
        <v>43477</v>
      </c>
      <c r="T319" t="str">
        <f>TEXT(tbl_HR_Data[[#This Row],[Joining Date]], "mmm")</f>
        <v>Jan</v>
      </c>
      <c r="U319" t="str">
        <f>TEXT(tbl_HR_Data[[#This Row],[Joining Date]], "ddd")</f>
        <v>Sat</v>
      </c>
    </row>
    <row r="320" spans="1:21" x14ac:dyDescent="0.35">
      <c r="A320" t="s">
        <v>102</v>
      </c>
      <c r="B320">
        <v>25</v>
      </c>
      <c r="C320">
        <v>50000</v>
      </c>
      <c r="D320" t="s">
        <v>18</v>
      </c>
      <c r="E320" t="s">
        <v>37</v>
      </c>
      <c r="F320" t="s">
        <v>43</v>
      </c>
      <c r="G320" s="3">
        <v>43477</v>
      </c>
      <c r="H320" t="str">
        <f>TEXT(tbl_HR_Data[[#This Row],[Joining Date]], "mmm")</f>
        <v>Jan</v>
      </c>
      <c r="I320" t="s">
        <v>93</v>
      </c>
      <c r="J320" t="s">
        <v>41</v>
      </c>
      <c r="K320" t="s">
        <v>77</v>
      </c>
      <c r="L320" t="s">
        <v>77</v>
      </c>
      <c r="M320">
        <f>IFERROR( _xlfn.XLOOKUP(TRIM(tbl_HR_Data[[#This Row],[Age]]),#REF!,#REF!), VALUE(TRIM(tbl_HR_Data[[#This Row],[Age]])))</f>
        <v>25</v>
      </c>
      <c r="N320" t="str">
        <f>IFERROR(_xlfn.XLOOKUP(tbl_HR_Data[[#This Row],[Gender]], Mapping[Gender _Discarded], Mapping[Gender_Correction]), PROPER(TRIM(tbl_HR_Data[[#This Row],[Gender]])))</f>
        <v>Female</v>
      </c>
      <c r="O320" t="str">
        <f>TRIM(tbl_HR_Data[[#This Row],[Position]])</f>
        <v>Assistant</v>
      </c>
      <c r="P320" t="str">
        <f>IFERROR(_xlfn.XLOOKUP(tbl_HR_Data[[#This Row],[Email]], Mapping[Email_Discarded], Mapping[Email_Correction]), LOWER(TRIM(tbl_HR_Data[[#This Row],[Email]])))</f>
        <v>not provided</v>
      </c>
      <c r="Q32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20" t="str" cm="1">
        <f t="array" ref="R320">_xlfn.REDUCE(Q320, {"-","/","_","\","(",")"}, _xlfn.LAMBDA(_xlpm.txt,_xlpm.itm, SUBSTITUTE(_xlpm.txt, _xlpm.itm, "")))</f>
        <v>Not Provided</v>
      </c>
      <c r="S320" s="3">
        <f>IFERROR(_xlfn.XLOOKUP(tbl_HR_Data[[#This Row],[Joining Date]], Mapping[Joining_Discarded], Mapping[Joining_Correction]), VALUE(tbl_HR_Data[[#This Row],[Joining Date]]))</f>
        <v>43477</v>
      </c>
      <c r="T320" t="str">
        <f>TEXT(tbl_HR_Data[[#This Row],[Joining Date]], "mmm")</f>
        <v>Jan</v>
      </c>
      <c r="U320" t="str">
        <f>TEXT(tbl_HR_Data[[#This Row],[Joining Date]], "ddd")</f>
        <v>Sat</v>
      </c>
    </row>
    <row r="321" spans="1:21" x14ac:dyDescent="0.35">
      <c r="A321" t="s">
        <v>104</v>
      </c>
      <c r="B321">
        <v>30</v>
      </c>
      <c r="C321">
        <v>50000</v>
      </c>
      <c r="D321" t="s">
        <v>18</v>
      </c>
      <c r="E321" t="s">
        <v>19</v>
      </c>
      <c r="F321" t="s">
        <v>13</v>
      </c>
      <c r="G321" s="3">
        <v>43477</v>
      </c>
      <c r="H321" t="str">
        <f>TEXT(tbl_HR_Data[[#This Row],[Joining Date]], "mmm")</f>
        <v>Jan</v>
      </c>
      <c r="I321" t="s">
        <v>93</v>
      </c>
      <c r="J321" t="s">
        <v>14</v>
      </c>
      <c r="K321" t="s">
        <v>22</v>
      </c>
      <c r="L321" t="s">
        <v>89</v>
      </c>
      <c r="M321">
        <f>IFERROR( _xlfn.XLOOKUP(TRIM(tbl_HR_Data[[#This Row],[Age]]),#REF!,#REF!), VALUE(TRIM(tbl_HR_Data[[#This Row],[Age]])))</f>
        <v>30</v>
      </c>
      <c r="N321" t="str">
        <f>IFERROR(_xlfn.XLOOKUP(tbl_HR_Data[[#This Row],[Gender]], Mapping[Gender _Discarded], Mapping[Gender_Correction]), PROPER(TRIM(tbl_HR_Data[[#This Row],[Gender]])))</f>
        <v>Female</v>
      </c>
      <c r="O321" t="str">
        <f>TRIM(tbl_HR_Data[[#This Row],[Position]])</f>
        <v>Manager</v>
      </c>
      <c r="P321" t="str">
        <f>IFERROR(_xlfn.XLOOKUP(tbl_HR_Data[[#This Row],[Email]], Mapping[Email_Discarded], Mapping[Email_Correction]), LOWER(TRIM(tbl_HR_Data[[#This Row],[Email]])))</f>
        <v>user@domain.com</v>
      </c>
      <c r="Q32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321" t="str" cm="1">
        <f t="array" ref="R321">_xlfn.REDUCE(Q321, {"-","/","_","\","(",")"}, _xlfn.LAMBDA(_xlpm.txt,_xlpm.itm, SUBSTITUTE(_xlpm.txt, _xlpm.itm, "")))</f>
        <v>5555555555</v>
      </c>
      <c r="S321" s="3">
        <f>IFERROR(_xlfn.XLOOKUP(tbl_HR_Data[[#This Row],[Joining Date]], Mapping[Joining_Discarded], Mapping[Joining_Correction]), VALUE(tbl_HR_Data[[#This Row],[Joining Date]]))</f>
        <v>43477</v>
      </c>
      <c r="T321" t="str">
        <f>TEXT(tbl_HR_Data[[#This Row],[Joining Date]], "mmm")</f>
        <v>Jan</v>
      </c>
      <c r="U321" t="str">
        <f>TEXT(tbl_HR_Data[[#This Row],[Joining Date]], "ddd")</f>
        <v>Sat</v>
      </c>
    </row>
    <row r="322" spans="1:21" x14ac:dyDescent="0.35">
      <c r="A322" t="s">
        <v>101</v>
      </c>
      <c r="B322">
        <v>25</v>
      </c>
      <c r="C322">
        <v>55000</v>
      </c>
      <c r="D322" t="s">
        <v>18</v>
      </c>
      <c r="E322" t="s">
        <v>19</v>
      </c>
      <c r="F322" t="s">
        <v>43</v>
      </c>
      <c r="G322" s="3">
        <v>43477</v>
      </c>
      <c r="H322" t="str">
        <f>TEXT(tbl_HR_Data[[#This Row],[Joining Date]], "mmm")</f>
        <v>Jan</v>
      </c>
      <c r="I322" t="s">
        <v>93</v>
      </c>
      <c r="J322" t="s">
        <v>14</v>
      </c>
      <c r="K322" t="s">
        <v>77</v>
      </c>
      <c r="L322" t="s">
        <v>77</v>
      </c>
      <c r="M322">
        <f>IFERROR( _xlfn.XLOOKUP(TRIM(tbl_HR_Data[[#This Row],[Age]]),#REF!,#REF!), VALUE(TRIM(tbl_HR_Data[[#This Row],[Age]])))</f>
        <v>25</v>
      </c>
      <c r="N322" t="str">
        <f>IFERROR(_xlfn.XLOOKUP(tbl_HR_Data[[#This Row],[Gender]], Mapping[Gender _Discarded], Mapping[Gender_Correction]), PROPER(TRIM(tbl_HR_Data[[#This Row],[Gender]])))</f>
        <v>Female</v>
      </c>
      <c r="O322" t="str">
        <f>TRIM(tbl_HR_Data[[#This Row],[Position]])</f>
        <v>Assistant</v>
      </c>
      <c r="P322" t="str">
        <f>IFERROR(_xlfn.XLOOKUP(tbl_HR_Data[[#This Row],[Email]], Mapping[Email_Discarded], Mapping[Email_Correction]), LOWER(TRIM(tbl_HR_Data[[#This Row],[Email]])))</f>
        <v>not provided</v>
      </c>
      <c r="Q32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22" t="str" cm="1">
        <f t="array" ref="R322">_xlfn.REDUCE(Q322, {"-","/","_","\","(",")"}, _xlfn.LAMBDA(_xlpm.txt,_xlpm.itm, SUBSTITUTE(_xlpm.txt, _xlpm.itm, "")))</f>
        <v>Not Provided</v>
      </c>
      <c r="S322" s="3">
        <f>IFERROR(_xlfn.XLOOKUP(tbl_HR_Data[[#This Row],[Joining Date]], Mapping[Joining_Discarded], Mapping[Joining_Correction]), VALUE(tbl_HR_Data[[#This Row],[Joining Date]]))</f>
        <v>43477</v>
      </c>
      <c r="T322" t="str">
        <f>TEXT(tbl_HR_Data[[#This Row],[Joining Date]], "mmm")</f>
        <v>Jan</v>
      </c>
      <c r="U322" t="str">
        <f>TEXT(tbl_HR_Data[[#This Row],[Joining Date]], "ddd")</f>
        <v>Sat</v>
      </c>
    </row>
    <row r="323" spans="1:21" x14ac:dyDescent="0.35">
      <c r="A323" t="s">
        <v>108</v>
      </c>
      <c r="B323">
        <v>40</v>
      </c>
      <c r="C323">
        <v>65000</v>
      </c>
      <c r="D323" t="s">
        <v>36</v>
      </c>
      <c r="E323" t="s">
        <v>30</v>
      </c>
      <c r="F323" t="s">
        <v>39</v>
      </c>
      <c r="G323" s="3">
        <v>43477</v>
      </c>
      <c r="H323" t="str">
        <f>TEXT(tbl_HR_Data[[#This Row],[Joining Date]], "mmm")</f>
        <v>Jan</v>
      </c>
      <c r="I323" t="s">
        <v>93</v>
      </c>
      <c r="J323" t="s">
        <v>41</v>
      </c>
      <c r="K323" t="s">
        <v>77</v>
      </c>
      <c r="L323" t="s">
        <v>89</v>
      </c>
      <c r="M323">
        <f>IFERROR( _xlfn.XLOOKUP(TRIM(tbl_HR_Data[[#This Row],[Age]]),#REF!,#REF!), VALUE(TRIM(tbl_HR_Data[[#This Row],[Age]])))</f>
        <v>40</v>
      </c>
      <c r="N323" t="str">
        <f>IFERROR(_xlfn.XLOOKUP(tbl_HR_Data[[#This Row],[Gender]], Mapping[Gender _Discarded], Mapping[Gender_Correction]), PROPER(TRIM(tbl_HR_Data[[#This Row],[Gender]])))</f>
        <v>Other</v>
      </c>
      <c r="O323" t="str">
        <f>TRIM(tbl_HR_Data[[#This Row],[Position]])</f>
        <v>Clerk</v>
      </c>
      <c r="P323" t="str">
        <f>IFERROR(_xlfn.XLOOKUP(tbl_HR_Data[[#This Row],[Email]], Mapping[Email_Discarded], Mapping[Email_Correction]), LOWER(TRIM(tbl_HR_Data[[#This Row],[Email]])))</f>
        <v>not provided</v>
      </c>
      <c r="Q32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323" t="str" cm="1">
        <f t="array" ref="R323">_xlfn.REDUCE(Q323, {"-","/","_","\","(",")"}, _xlfn.LAMBDA(_xlpm.txt,_xlpm.itm, SUBSTITUTE(_xlpm.txt, _xlpm.itm, "")))</f>
        <v>5555555555</v>
      </c>
      <c r="S323" s="3">
        <f>IFERROR(_xlfn.XLOOKUP(tbl_HR_Data[[#This Row],[Joining Date]], Mapping[Joining_Discarded], Mapping[Joining_Correction]), VALUE(tbl_HR_Data[[#This Row],[Joining Date]]))</f>
        <v>43477</v>
      </c>
      <c r="T323" t="str">
        <f>TEXT(tbl_HR_Data[[#This Row],[Joining Date]], "mmm")</f>
        <v>Jan</v>
      </c>
      <c r="U323" t="str">
        <f>TEXT(tbl_HR_Data[[#This Row],[Joining Date]], "ddd")</f>
        <v>Sat</v>
      </c>
    </row>
    <row r="324" spans="1:21" x14ac:dyDescent="0.35">
      <c r="A324" t="s">
        <v>102</v>
      </c>
      <c r="B324">
        <v>50</v>
      </c>
      <c r="C324">
        <v>70000</v>
      </c>
      <c r="D324" t="s">
        <v>11</v>
      </c>
      <c r="E324" t="s">
        <v>30</v>
      </c>
      <c r="F324" t="s">
        <v>20</v>
      </c>
      <c r="G324" s="3">
        <v>43477</v>
      </c>
      <c r="H324" t="str">
        <f>TEXT(tbl_HR_Data[[#This Row],[Joining Date]], "mmm")</f>
        <v>Jan</v>
      </c>
      <c r="I324" t="s">
        <v>93</v>
      </c>
      <c r="J324" t="s">
        <v>27</v>
      </c>
      <c r="K324" t="s">
        <v>77</v>
      </c>
      <c r="L324" t="s">
        <v>77</v>
      </c>
      <c r="M324">
        <f>IFERROR( _xlfn.XLOOKUP(TRIM(tbl_HR_Data[[#This Row],[Age]]),#REF!,#REF!), VALUE(TRIM(tbl_HR_Data[[#This Row],[Age]])))</f>
        <v>50</v>
      </c>
      <c r="N324" t="str">
        <f>IFERROR(_xlfn.XLOOKUP(tbl_HR_Data[[#This Row],[Gender]], Mapping[Gender _Discarded], Mapping[Gender_Correction]), PROPER(TRIM(tbl_HR_Data[[#This Row],[Gender]])))</f>
        <v>Male</v>
      </c>
      <c r="O324" t="str">
        <f>TRIM(tbl_HR_Data[[#This Row],[Position]])</f>
        <v>Director</v>
      </c>
      <c r="P324" t="str">
        <f>IFERROR(_xlfn.XLOOKUP(tbl_HR_Data[[#This Row],[Email]], Mapping[Email_Discarded], Mapping[Email_Correction]), LOWER(TRIM(tbl_HR_Data[[#This Row],[Email]])))</f>
        <v>not provided</v>
      </c>
      <c r="Q32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24" t="str" cm="1">
        <f t="array" ref="R324">_xlfn.REDUCE(Q324, {"-","/","_","\","(",")"}, _xlfn.LAMBDA(_xlpm.txt,_xlpm.itm, SUBSTITUTE(_xlpm.txt, _xlpm.itm, "")))</f>
        <v>Not Provided</v>
      </c>
      <c r="S324" s="3">
        <f>IFERROR(_xlfn.XLOOKUP(tbl_HR_Data[[#This Row],[Joining Date]], Mapping[Joining_Discarded], Mapping[Joining_Correction]), VALUE(tbl_HR_Data[[#This Row],[Joining Date]]))</f>
        <v>43477</v>
      </c>
      <c r="T324" t="str">
        <f>TEXT(tbl_HR_Data[[#This Row],[Joining Date]], "mmm")</f>
        <v>Jan</v>
      </c>
      <c r="U324" t="str">
        <f>TEXT(tbl_HR_Data[[#This Row],[Joining Date]], "ddd")</f>
        <v>Sat</v>
      </c>
    </row>
    <row r="325" spans="1:21" x14ac:dyDescent="0.35">
      <c r="A325" t="s">
        <v>108</v>
      </c>
      <c r="B325">
        <v>50</v>
      </c>
      <c r="C325">
        <v>70000</v>
      </c>
      <c r="D325" t="s">
        <v>18</v>
      </c>
      <c r="E325" t="s">
        <v>37</v>
      </c>
      <c r="F325" t="s">
        <v>43</v>
      </c>
      <c r="G325" s="3">
        <v>43477</v>
      </c>
      <c r="H325" t="str">
        <f>TEXT(tbl_HR_Data[[#This Row],[Joining Date]], "mmm")</f>
        <v>Jan</v>
      </c>
      <c r="I325" t="s">
        <v>93</v>
      </c>
      <c r="J325" t="s">
        <v>27</v>
      </c>
      <c r="K325" t="s">
        <v>77</v>
      </c>
      <c r="L325" t="s">
        <v>77</v>
      </c>
      <c r="M325">
        <f>IFERROR( _xlfn.XLOOKUP(TRIM(tbl_HR_Data[[#This Row],[Age]]),#REF!,#REF!), VALUE(TRIM(tbl_HR_Data[[#This Row],[Age]])))</f>
        <v>50</v>
      </c>
      <c r="N325" t="str">
        <f>IFERROR(_xlfn.XLOOKUP(tbl_HR_Data[[#This Row],[Gender]], Mapping[Gender _Discarded], Mapping[Gender_Correction]), PROPER(TRIM(tbl_HR_Data[[#This Row],[Gender]])))</f>
        <v>Female</v>
      </c>
      <c r="O325" t="str">
        <f>TRIM(tbl_HR_Data[[#This Row],[Position]])</f>
        <v>Assistant</v>
      </c>
      <c r="P325" t="str">
        <f>IFERROR(_xlfn.XLOOKUP(tbl_HR_Data[[#This Row],[Email]], Mapping[Email_Discarded], Mapping[Email_Correction]), LOWER(TRIM(tbl_HR_Data[[#This Row],[Email]])))</f>
        <v>not provided</v>
      </c>
      <c r="Q32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25" t="str" cm="1">
        <f t="array" ref="R325">_xlfn.REDUCE(Q325, {"-","/","_","\","(",")"}, _xlfn.LAMBDA(_xlpm.txt,_xlpm.itm, SUBSTITUTE(_xlpm.txt, _xlpm.itm, "")))</f>
        <v>Not Provided</v>
      </c>
      <c r="S325" s="3">
        <f>IFERROR(_xlfn.XLOOKUP(tbl_HR_Data[[#This Row],[Joining Date]], Mapping[Joining_Discarded], Mapping[Joining_Correction]), VALUE(tbl_HR_Data[[#This Row],[Joining Date]]))</f>
        <v>43477</v>
      </c>
      <c r="T325" t="str">
        <f>TEXT(tbl_HR_Data[[#This Row],[Joining Date]], "mmm")</f>
        <v>Jan</v>
      </c>
      <c r="U325" t="str">
        <f>TEXT(tbl_HR_Data[[#This Row],[Joining Date]], "ddd")</f>
        <v>Sat</v>
      </c>
    </row>
    <row r="326" spans="1:21" x14ac:dyDescent="0.35">
      <c r="A326" t="s">
        <v>108</v>
      </c>
      <c r="B326">
        <v>50</v>
      </c>
      <c r="C326">
        <v>70000</v>
      </c>
      <c r="D326" t="s">
        <v>36</v>
      </c>
      <c r="E326" t="s">
        <v>19</v>
      </c>
      <c r="F326" t="s">
        <v>44</v>
      </c>
      <c r="G326" s="3">
        <v>43477</v>
      </c>
      <c r="H326" t="str">
        <f>TEXT(tbl_HR_Data[[#This Row],[Joining Date]], "mmm")</f>
        <v>Jan</v>
      </c>
      <c r="I326" t="s">
        <v>93</v>
      </c>
      <c r="J326" t="s">
        <v>41</v>
      </c>
      <c r="K326" t="s">
        <v>15</v>
      </c>
      <c r="L326" t="s">
        <v>77</v>
      </c>
      <c r="M326">
        <f>IFERROR( _xlfn.XLOOKUP(TRIM(tbl_HR_Data[[#This Row],[Age]]),#REF!,#REF!), VALUE(TRIM(tbl_HR_Data[[#This Row],[Age]])))</f>
        <v>50</v>
      </c>
      <c r="N326" t="str">
        <f>IFERROR(_xlfn.XLOOKUP(tbl_HR_Data[[#This Row],[Gender]], Mapping[Gender _Discarded], Mapping[Gender_Correction]), PROPER(TRIM(tbl_HR_Data[[#This Row],[Gender]])))</f>
        <v>Other</v>
      </c>
      <c r="O326" t="str">
        <f>TRIM(tbl_HR_Data[[#This Row],[Position]])</f>
        <v>Analyst</v>
      </c>
      <c r="P326" t="str">
        <f>IFERROR(_xlfn.XLOOKUP(tbl_HR_Data[[#This Row],[Email]], Mapping[Email_Discarded], Mapping[Email_Correction]), LOWER(TRIM(tbl_HR_Data[[#This Row],[Email]])))</f>
        <v>email@example.com</v>
      </c>
      <c r="Q32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26" t="str" cm="1">
        <f t="array" ref="R326">_xlfn.REDUCE(Q326, {"-","/","_","\","(",")"}, _xlfn.LAMBDA(_xlpm.txt,_xlpm.itm, SUBSTITUTE(_xlpm.txt, _xlpm.itm, "")))</f>
        <v>Not Provided</v>
      </c>
      <c r="S326" s="3">
        <f>IFERROR(_xlfn.XLOOKUP(tbl_HR_Data[[#This Row],[Joining Date]], Mapping[Joining_Discarded], Mapping[Joining_Correction]), VALUE(tbl_HR_Data[[#This Row],[Joining Date]]))</f>
        <v>43477</v>
      </c>
      <c r="T326" t="str">
        <f>TEXT(tbl_HR_Data[[#This Row],[Joining Date]], "mmm")</f>
        <v>Jan</v>
      </c>
      <c r="U326" t="str">
        <f>TEXT(tbl_HR_Data[[#This Row],[Joining Date]], "ddd")</f>
        <v>Sat</v>
      </c>
    </row>
    <row r="327" spans="1:21" x14ac:dyDescent="0.35">
      <c r="A327" t="s">
        <v>99</v>
      </c>
      <c r="B327">
        <v>25</v>
      </c>
      <c r="C327">
        <v>50000</v>
      </c>
      <c r="D327" t="s">
        <v>18</v>
      </c>
      <c r="E327" t="s">
        <v>37</v>
      </c>
      <c r="F327" t="s">
        <v>20</v>
      </c>
      <c r="G327" s="3">
        <v>43477</v>
      </c>
      <c r="H327" t="str">
        <f>TEXT(tbl_HR_Data[[#This Row],[Joining Date]], "mmm")</f>
        <v>Jan</v>
      </c>
      <c r="I327" t="s">
        <v>93</v>
      </c>
      <c r="J327" t="s">
        <v>41</v>
      </c>
      <c r="K327" t="s">
        <v>77</v>
      </c>
      <c r="L327" t="s">
        <v>87</v>
      </c>
      <c r="M327">
        <f>IFERROR( _xlfn.XLOOKUP(TRIM(tbl_HR_Data[[#This Row],[Age]]),#REF!,#REF!), VALUE(TRIM(tbl_HR_Data[[#This Row],[Age]])))</f>
        <v>25</v>
      </c>
      <c r="N327" t="str">
        <f>IFERROR(_xlfn.XLOOKUP(tbl_HR_Data[[#This Row],[Gender]], Mapping[Gender _Discarded], Mapping[Gender_Correction]), PROPER(TRIM(tbl_HR_Data[[#This Row],[Gender]])))</f>
        <v>Female</v>
      </c>
      <c r="O327" t="str">
        <f>TRIM(tbl_HR_Data[[#This Row],[Position]])</f>
        <v>Director</v>
      </c>
      <c r="P327" t="str">
        <f>IFERROR(_xlfn.XLOOKUP(tbl_HR_Data[[#This Row],[Email]], Mapping[Email_Discarded], Mapping[Email_Correction]), LOWER(TRIM(tbl_HR_Data[[#This Row],[Email]])))</f>
        <v>not provided</v>
      </c>
      <c r="Q32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327" t="str" cm="1">
        <f t="array" ref="R327">_xlfn.REDUCE(Q327, {"-","/","_","\","(",")"}, _xlfn.LAMBDA(_xlpm.txt,_xlpm.itm, SUBSTITUTE(_xlpm.txt, _xlpm.itm, "")))</f>
        <v>1234567890</v>
      </c>
      <c r="S327" s="3">
        <f>IFERROR(_xlfn.XLOOKUP(tbl_HR_Data[[#This Row],[Joining Date]], Mapping[Joining_Discarded], Mapping[Joining_Correction]), VALUE(tbl_HR_Data[[#This Row],[Joining Date]]))</f>
        <v>43477</v>
      </c>
      <c r="T327" t="str">
        <f>TEXT(tbl_HR_Data[[#This Row],[Joining Date]], "mmm")</f>
        <v>Jan</v>
      </c>
      <c r="U327" t="str">
        <f>TEXT(tbl_HR_Data[[#This Row],[Joining Date]], "ddd")</f>
        <v>Sat</v>
      </c>
    </row>
    <row r="328" spans="1:21" x14ac:dyDescent="0.35">
      <c r="A328" t="s">
        <v>108</v>
      </c>
      <c r="B328">
        <v>35</v>
      </c>
      <c r="C328">
        <v>0</v>
      </c>
      <c r="D328" t="s">
        <v>18</v>
      </c>
      <c r="E328" t="s">
        <v>26</v>
      </c>
      <c r="F328" t="s">
        <v>43</v>
      </c>
      <c r="G328" s="3">
        <v>43477</v>
      </c>
      <c r="H328" t="str">
        <f>TEXT(tbl_HR_Data[[#This Row],[Joining Date]], "mmm")</f>
        <v>Jan</v>
      </c>
      <c r="I328" t="s">
        <v>93</v>
      </c>
      <c r="J328" t="s">
        <v>21</v>
      </c>
      <c r="K328" t="s">
        <v>77</v>
      </c>
      <c r="L328" t="s">
        <v>87</v>
      </c>
      <c r="M328">
        <f>IFERROR( _xlfn.XLOOKUP(TRIM(tbl_HR_Data[[#This Row],[Age]]),#REF!,#REF!), VALUE(TRIM(tbl_HR_Data[[#This Row],[Age]])))</f>
        <v>35</v>
      </c>
      <c r="N328" t="str">
        <f>IFERROR(_xlfn.XLOOKUP(tbl_HR_Data[[#This Row],[Gender]], Mapping[Gender _Discarded], Mapping[Gender_Correction]), PROPER(TRIM(tbl_HR_Data[[#This Row],[Gender]])))</f>
        <v>Female</v>
      </c>
      <c r="O328" t="str">
        <f>TRIM(tbl_HR_Data[[#This Row],[Position]])</f>
        <v>Assistant</v>
      </c>
      <c r="P328" t="str">
        <f>IFERROR(_xlfn.XLOOKUP(tbl_HR_Data[[#This Row],[Email]], Mapping[Email_Discarded], Mapping[Email_Correction]), LOWER(TRIM(tbl_HR_Data[[#This Row],[Email]])))</f>
        <v>not provided</v>
      </c>
      <c r="Q32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328" t="str" cm="1">
        <f t="array" ref="R328">_xlfn.REDUCE(Q328, {"-","/","_","\","(",")"}, _xlfn.LAMBDA(_xlpm.txt,_xlpm.itm, SUBSTITUTE(_xlpm.txt, _xlpm.itm, "")))</f>
        <v>1234567890</v>
      </c>
      <c r="S328" s="3">
        <f>IFERROR(_xlfn.XLOOKUP(tbl_HR_Data[[#This Row],[Joining Date]], Mapping[Joining_Discarded], Mapping[Joining_Correction]), VALUE(tbl_HR_Data[[#This Row],[Joining Date]]))</f>
        <v>43477</v>
      </c>
      <c r="T328" t="str">
        <f>TEXT(tbl_HR_Data[[#This Row],[Joining Date]], "mmm")</f>
        <v>Jan</v>
      </c>
      <c r="U328" t="str">
        <f>TEXT(tbl_HR_Data[[#This Row],[Joining Date]], "ddd")</f>
        <v>Sat</v>
      </c>
    </row>
    <row r="329" spans="1:21" x14ac:dyDescent="0.35">
      <c r="A329" t="s">
        <v>106</v>
      </c>
      <c r="B329">
        <v>50</v>
      </c>
      <c r="C329">
        <v>55000</v>
      </c>
      <c r="D329" t="s">
        <v>18</v>
      </c>
      <c r="E329" t="s">
        <v>26</v>
      </c>
      <c r="F329" t="s">
        <v>43</v>
      </c>
      <c r="G329" s="3">
        <v>43477</v>
      </c>
      <c r="H329" t="str">
        <f>TEXT(tbl_HR_Data[[#This Row],[Joining Date]], "mmm")</f>
        <v>Jan</v>
      </c>
      <c r="I329" t="s">
        <v>93</v>
      </c>
      <c r="J329" t="s">
        <v>21</v>
      </c>
      <c r="K329" t="s">
        <v>32</v>
      </c>
      <c r="L329" t="s">
        <v>77</v>
      </c>
      <c r="M329">
        <f>IFERROR( _xlfn.XLOOKUP(TRIM(tbl_HR_Data[[#This Row],[Age]]),#REF!,#REF!), VALUE(TRIM(tbl_HR_Data[[#This Row],[Age]])))</f>
        <v>50</v>
      </c>
      <c r="N329" t="str">
        <f>IFERROR(_xlfn.XLOOKUP(tbl_HR_Data[[#This Row],[Gender]], Mapping[Gender _Discarded], Mapping[Gender_Correction]), PROPER(TRIM(tbl_HR_Data[[#This Row],[Gender]])))</f>
        <v>Female</v>
      </c>
      <c r="O329" t="str">
        <f>TRIM(tbl_HR_Data[[#This Row],[Position]])</f>
        <v>Assistant</v>
      </c>
      <c r="P329" t="str">
        <f>IFERROR(_xlfn.XLOOKUP(tbl_HR_Data[[#This Row],[Email]], Mapping[Email_Discarded], Mapping[Email_Correction]), LOWER(TRIM(tbl_HR_Data[[#This Row],[Email]])))</f>
        <v>name@company.org</v>
      </c>
      <c r="Q32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29" t="str" cm="1">
        <f t="array" ref="R329">_xlfn.REDUCE(Q329, {"-","/","_","\","(",")"}, _xlfn.LAMBDA(_xlpm.txt,_xlpm.itm, SUBSTITUTE(_xlpm.txt, _xlpm.itm, "")))</f>
        <v>Not Provided</v>
      </c>
      <c r="S329" s="3">
        <f>IFERROR(_xlfn.XLOOKUP(tbl_HR_Data[[#This Row],[Joining Date]], Mapping[Joining_Discarded], Mapping[Joining_Correction]), VALUE(tbl_HR_Data[[#This Row],[Joining Date]]))</f>
        <v>43477</v>
      </c>
      <c r="T329" t="str">
        <f>TEXT(tbl_HR_Data[[#This Row],[Joining Date]], "mmm")</f>
        <v>Jan</v>
      </c>
      <c r="U329" t="str">
        <f>TEXT(tbl_HR_Data[[#This Row],[Joining Date]], "ddd")</f>
        <v>Sat</v>
      </c>
    </row>
    <row r="330" spans="1:21" x14ac:dyDescent="0.35">
      <c r="A330" t="s">
        <v>99</v>
      </c>
      <c r="B330">
        <v>50</v>
      </c>
      <c r="C330">
        <v>0</v>
      </c>
      <c r="D330" t="s">
        <v>11</v>
      </c>
      <c r="E330" t="s">
        <v>30</v>
      </c>
      <c r="F330" t="s">
        <v>39</v>
      </c>
      <c r="G330" s="3">
        <v>43477</v>
      </c>
      <c r="H330" t="str">
        <f>TEXT(tbl_HR_Data[[#This Row],[Joining Date]], "mmm")</f>
        <v>Jan</v>
      </c>
      <c r="I330" t="s">
        <v>93</v>
      </c>
      <c r="J330" t="s">
        <v>14</v>
      </c>
      <c r="K330" t="s">
        <v>22</v>
      </c>
      <c r="L330" t="s">
        <v>77</v>
      </c>
      <c r="M330">
        <f>IFERROR( _xlfn.XLOOKUP(TRIM(tbl_HR_Data[[#This Row],[Age]]),#REF!,#REF!), VALUE(TRIM(tbl_HR_Data[[#This Row],[Age]])))</f>
        <v>50</v>
      </c>
      <c r="N330" t="str">
        <f>IFERROR(_xlfn.XLOOKUP(tbl_HR_Data[[#This Row],[Gender]], Mapping[Gender _Discarded], Mapping[Gender_Correction]), PROPER(TRIM(tbl_HR_Data[[#This Row],[Gender]])))</f>
        <v>Male</v>
      </c>
      <c r="O330" t="str">
        <f>TRIM(tbl_HR_Data[[#This Row],[Position]])</f>
        <v>Clerk</v>
      </c>
      <c r="P330" t="str">
        <f>IFERROR(_xlfn.XLOOKUP(tbl_HR_Data[[#This Row],[Email]], Mapping[Email_Discarded], Mapping[Email_Correction]), LOWER(TRIM(tbl_HR_Data[[#This Row],[Email]])))</f>
        <v>user@domain.com</v>
      </c>
      <c r="Q33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30" t="str" cm="1">
        <f t="array" ref="R330">_xlfn.REDUCE(Q330, {"-","/","_","\","(",")"}, _xlfn.LAMBDA(_xlpm.txt,_xlpm.itm, SUBSTITUTE(_xlpm.txt, _xlpm.itm, "")))</f>
        <v>Not Provided</v>
      </c>
      <c r="S330" s="3">
        <f>IFERROR(_xlfn.XLOOKUP(tbl_HR_Data[[#This Row],[Joining Date]], Mapping[Joining_Discarded], Mapping[Joining_Correction]), VALUE(tbl_HR_Data[[#This Row],[Joining Date]]))</f>
        <v>43477</v>
      </c>
      <c r="T330" t="str">
        <f>TEXT(tbl_HR_Data[[#This Row],[Joining Date]], "mmm")</f>
        <v>Jan</v>
      </c>
      <c r="U330" t="str">
        <f>TEXT(tbl_HR_Data[[#This Row],[Joining Date]], "ddd")</f>
        <v>Sat</v>
      </c>
    </row>
    <row r="331" spans="1:21" x14ac:dyDescent="0.35">
      <c r="A331" t="s">
        <v>107</v>
      </c>
      <c r="B331">
        <v>25</v>
      </c>
      <c r="C331">
        <v>0</v>
      </c>
      <c r="D331" t="s">
        <v>18</v>
      </c>
      <c r="E331" t="s">
        <v>12</v>
      </c>
      <c r="F331" t="s">
        <v>20</v>
      </c>
      <c r="G331" s="3">
        <v>43477</v>
      </c>
      <c r="H331" t="str">
        <f>TEXT(tbl_HR_Data[[#This Row],[Joining Date]], "mmm")</f>
        <v>Jan</v>
      </c>
      <c r="I331" t="s">
        <v>93</v>
      </c>
      <c r="J331" t="s">
        <v>41</v>
      </c>
      <c r="K331" t="s">
        <v>15</v>
      </c>
      <c r="L331" t="s">
        <v>87</v>
      </c>
      <c r="M331">
        <f>IFERROR( _xlfn.XLOOKUP(TRIM(tbl_HR_Data[[#This Row],[Age]]),#REF!,#REF!), VALUE(TRIM(tbl_HR_Data[[#This Row],[Age]])))</f>
        <v>25</v>
      </c>
      <c r="N331" t="str">
        <f>IFERROR(_xlfn.XLOOKUP(tbl_HR_Data[[#This Row],[Gender]], Mapping[Gender _Discarded], Mapping[Gender_Correction]), PROPER(TRIM(tbl_HR_Data[[#This Row],[Gender]])))</f>
        <v>Female</v>
      </c>
      <c r="O331" t="str">
        <f>TRIM(tbl_HR_Data[[#This Row],[Position]])</f>
        <v>Director</v>
      </c>
      <c r="P331" t="str">
        <f>IFERROR(_xlfn.XLOOKUP(tbl_HR_Data[[#This Row],[Email]], Mapping[Email_Discarded], Mapping[Email_Correction]), LOWER(TRIM(tbl_HR_Data[[#This Row],[Email]])))</f>
        <v>email@example.com</v>
      </c>
      <c r="Q33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331" t="str" cm="1">
        <f t="array" ref="R331">_xlfn.REDUCE(Q331, {"-","/","_","\","(",")"}, _xlfn.LAMBDA(_xlpm.txt,_xlpm.itm, SUBSTITUTE(_xlpm.txt, _xlpm.itm, "")))</f>
        <v>1234567890</v>
      </c>
      <c r="S331" s="3">
        <f>IFERROR(_xlfn.XLOOKUP(tbl_HR_Data[[#This Row],[Joining Date]], Mapping[Joining_Discarded], Mapping[Joining_Correction]), VALUE(tbl_HR_Data[[#This Row],[Joining Date]]))</f>
        <v>43477</v>
      </c>
      <c r="T331" t="str">
        <f>TEXT(tbl_HR_Data[[#This Row],[Joining Date]], "mmm")</f>
        <v>Jan</v>
      </c>
      <c r="U331" t="str">
        <f>TEXT(tbl_HR_Data[[#This Row],[Joining Date]], "ddd")</f>
        <v>Sat</v>
      </c>
    </row>
    <row r="332" spans="1:21" x14ac:dyDescent="0.35">
      <c r="A332" t="s">
        <v>104</v>
      </c>
      <c r="B332">
        <v>30</v>
      </c>
      <c r="C332">
        <v>0</v>
      </c>
      <c r="D332" t="s">
        <v>18</v>
      </c>
      <c r="E332" t="s">
        <v>30</v>
      </c>
      <c r="F332" t="s">
        <v>43</v>
      </c>
      <c r="G332" s="3">
        <v>43477</v>
      </c>
      <c r="H332" t="str">
        <f>TEXT(tbl_HR_Data[[#This Row],[Joining Date]], "mmm")</f>
        <v>Jan</v>
      </c>
      <c r="I332" t="s">
        <v>93</v>
      </c>
      <c r="J332" t="s">
        <v>41</v>
      </c>
      <c r="K332" t="s">
        <v>22</v>
      </c>
      <c r="L332" t="s">
        <v>77</v>
      </c>
      <c r="M332">
        <f>IFERROR( _xlfn.XLOOKUP(TRIM(tbl_HR_Data[[#This Row],[Age]]),#REF!,#REF!), VALUE(TRIM(tbl_HR_Data[[#This Row],[Age]])))</f>
        <v>30</v>
      </c>
      <c r="N332" t="str">
        <f>IFERROR(_xlfn.XLOOKUP(tbl_HR_Data[[#This Row],[Gender]], Mapping[Gender _Discarded], Mapping[Gender_Correction]), PROPER(TRIM(tbl_HR_Data[[#This Row],[Gender]])))</f>
        <v>Female</v>
      </c>
      <c r="O332" t="str">
        <f>TRIM(tbl_HR_Data[[#This Row],[Position]])</f>
        <v>Assistant</v>
      </c>
      <c r="P332" t="str">
        <f>IFERROR(_xlfn.XLOOKUP(tbl_HR_Data[[#This Row],[Email]], Mapping[Email_Discarded], Mapping[Email_Correction]), LOWER(TRIM(tbl_HR_Data[[#This Row],[Email]])))</f>
        <v>user@domain.com</v>
      </c>
      <c r="Q33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32" t="str" cm="1">
        <f t="array" ref="R332">_xlfn.REDUCE(Q332, {"-","/","_","\","(",")"}, _xlfn.LAMBDA(_xlpm.txt,_xlpm.itm, SUBSTITUTE(_xlpm.txt, _xlpm.itm, "")))</f>
        <v>Not Provided</v>
      </c>
      <c r="S332" s="3">
        <f>IFERROR(_xlfn.XLOOKUP(tbl_HR_Data[[#This Row],[Joining Date]], Mapping[Joining_Discarded], Mapping[Joining_Correction]), VALUE(tbl_HR_Data[[#This Row],[Joining Date]]))</f>
        <v>43477</v>
      </c>
      <c r="T332" t="str">
        <f>TEXT(tbl_HR_Data[[#This Row],[Joining Date]], "mmm")</f>
        <v>Jan</v>
      </c>
      <c r="U332" t="str">
        <f>TEXT(tbl_HR_Data[[#This Row],[Joining Date]], "ddd")</f>
        <v>Sat</v>
      </c>
    </row>
    <row r="333" spans="1:21" x14ac:dyDescent="0.35">
      <c r="A333" t="s">
        <v>105</v>
      </c>
      <c r="B333">
        <v>25</v>
      </c>
      <c r="C333">
        <v>65000</v>
      </c>
      <c r="D333" t="s">
        <v>18</v>
      </c>
      <c r="E333" t="s">
        <v>37</v>
      </c>
      <c r="F333" t="s">
        <v>43</v>
      </c>
      <c r="G333" s="3">
        <v>43477</v>
      </c>
      <c r="H333" t="str">
        <f>TEXT(tbl_HR_Data[[#This Row],[Joining Date]], "mmm")</f>
        <v>Jan</v>
      </c>
      <c r="I333" t="s">
        <v>93</v>
      </c>
      <c r="J333" t="s">
        <v>41</v>
      </c>
      <c r="K333" t="s">
        <v>32</v>
      </c>
      <c r="L333" t="s">
        <v>89</v>
      </c>
      <c r="M333">
        <f>IFERROR( _xlfn.XLOOKUP(TRIM(tbl_HR_Data[[#This Row],[Age]]),#REF!,#REF!), VALUE(TRIM(tbl_HR_Data[[#This Row],[Age]])))</f>
        <v>25</v>
      </c>
      <c r="N333" t="str">
        <f>IFERROR(_xlfn.XLOOKUP(tbl_HR_Data[[#This Row],[Gender]], Mapping[Gender _Discarded], Mapping[Gender_Correction]), PROPER(TRIM(tbl_HR_Data[[#This Row],[Gender]])))</f>
        <v>Female</v>
      </c>
      <c r="O333" t="str">
        <f>TRIM(tbl_HR_Data[[#This Row],[Position]])</f>
        <v>Assistant</v>
      </c>
      <c r="P333" t="str">
        <f>IFERROR(_xlfn.XLOOKUP(tbl_HR_Data[[#This Row],[Email]], Mapping[Email_Discarded], Mapping[Email_Correction]), LOWER(TRIM(tbl_HR_Data[[#This Row],[Email]])))</f>
        <v>name@company.org</v>
      </c>
      <c r="Q33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333" t="str" cm="1">
        <f t="array" ref="R333">_xlfn.REDUCE(Q333, {"-","/","_","\","(",")"}, _xlfn.LAMBDA(_xlpm.txt,_xlpm.itm, SUBSTITUTE(_xlpm.txt, _xlpm.itm, "")))</f>
        <v>5555555555</v>
      </c>
      <c r="S333" s="3">
        <f>IFERROR(_xlfn.XLOOKUP(tbl_HR_Data[[#This Row],[Joining Date]], Mapping[Joining_Discarded], Mapping[Joining_Correction]), VALUE(tbl_HR_Data[[#This Row],[Joining Date]]))</f>
        <v>43477</v>
      </c>
      <c r="T333" t="str">
        <f>TEXT(tbl_HR_Data[[#This Row],[Joining Date]], "mmm")</f>
        <v>Jan</v>
      </c>
      <c r="U333" t="str">
        <f>TEXT(tbl_HR_Data[[#This Row],[Joining Date]], "ddd")</f>
        <v>Sat</v>
      </c>
    </row>
    <row r="334" spans="1:21" x14ac:dyDescent="0.35">
      <c r="A334" t="s">
        <v>105</v>
      </c>
      <c r="B334">
        <v>25</v>
      </c>
      <c r="C334">
        <v>0</v>
      </c>
      <c r="D334" t="s">
        <v>18</v>
      </c>
      <c r="E334" t="s">
        <v>12</v>
      </c>
      <c r="F334" t="s">
        <v>39</v>
      </c>
      <c r="G334" s="3">
        <v>43477</v>
      </c>
      <c r="H334" t="str">
        <f>TEXT(tbl_HR_Data[[#This Row],[Joining Date]], "mmm")</f>
        <v>Jan</v>
      </c>
      <c r="I334" t="s">
        <v>93</v>
      </c>
      <c r="J334" t="s">
        <v>31</v>
      </c>
      <c r="K334" t="s">
        <v>15</v>
      </c>
      <c r="L334" t="s">
        <v>88</v>
      </c>
      <c r="M334">
        <f>IFERROR( _xlfn.XLOOKUP(TRIM(tbl_HR_Data[[#This Row],[Age]]),#REF!,#REF!), VALUE(TRIM(tbl_HR_Data[[#This Row],[Age]])))</f>
        <v>25</v>
      </c>
      <c r="N334" t="str">
        <f>IFERROR(_xlfn.XLOOKUP(tbl_HR_Data[[#This Row],[Gender]], Mapping[Gender _Discarded], Mapping[Gender_Correction]), PROPER(TRIM(tbl_HR_Data[[#This Row],[Gender]])))</f>
        <v>Female</v>
      </c>
      <c r="O334" t="str">
        <f>TRIM(tbl_HR_Data[[#This Row],[Position]])</f>
        <v>Clerk</v>
      </c>
      <c r="P334" t="str">
        <f>IFERROR(_xlfn.XLOOKUP(tbl_HR_Data[[#This Row],[Email]], Mapping[Email_Discarded], Mapping[Email_Correction]), LOWER(TRIM(tbl_HR_Data[[#This Row],[Email]])))</f>
        <v>email@example.com</v>
      </c>
      <c r="Q33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334" t="str" cm="1">
        <f t="array" ref="R334">_xlfn.REDUCE(Q334, {"-","/","_","\","(",")"}, _xlfn.LAMBDA(_xlpm.txt,_xlpm.itm, SUBSTITUTE(_xlpm.txt, _xlpm.itm, "")))</f>
        <v>0987654321</v>
      </c>
      <c r="S334" s="3">
        <f>IFERROR(_xlfn.XLOOKUP(tbl_HR_Data[[#This Row],[Joining Date]], Mapping[Joining_Discarded], Mapping[Joining_Correction]), VALUE(tbl_HR_Data[[#This Row],[Joining Date]]))</f>
        <v>43477</v>
      </c>
      <c r="T334" t="str">
        <f>TEXT(tbl_HR_Data[[#This Row],[Joining Date]], "mmm")</f>
        <v>Jan</v>
      </c>
      <c r="U334" t="str">
        <f>TEXT(tbl_HR_Data[[#This Row],[Joining Date]], "ddd")</f>
        <v>Sat</v>
      </c>
    </row>
    <row r="335" spans="1:21" x14ac:dyDescent="0.35">
      <c r="A335" t="s">
        <v>100</v>
      </c>
      <c r="B335">
        <v>40</v>
      </c>
      <c r="C335">
        <v>50000</v>
      </c>
      <c r="D335" t="s">
        <v>11</v>
      </c>
      <c r="E335" t="s">
        <v>12</v>
      </c>
      <c r="F335" t="s">
        <v>39</v>
      </c>
      <c r="G335" s="3">
        <v>43477</v>
      </c>
      <c r="H335" t="str">
        <f>TEXT(tbl_HR_Data[[#This Row],[Joining Date]], "mmm")</f>
        <v>Jan</v>
      </c>
      <c r="I335" t="s">
        <v>93</v>
      </c>
      <c r="J335" t="s">
        <v>21</v>
      </c>
      <c r="K335" t="s">
        <v>32</v>
      </c>
      <c r="L335" t="s">
        <v>77</v>
      </c>
      <c r="M335">
        <f>IFERROR( _xlfn.XLOOKUP(TRIM(tbl_HR_Data[[#This Row],[Age]]),#REF!,#REF!), VALUE(TRIM(tbl_HR_Data[[#This Row],[Age]])))</f>
        <v>40</v>
      </c>
      <c r="N335" t="str">
        <f>IFERROR(_xlfn.XLOOKUP(tbl_HR_Data[[#This Row],[Gender]], Mapping[Gender _Discarded], Mapping[Gender_Correction]), PROPER(TRIM(tbl_HR_Data[[#This Row],[Gender]])))</f>
        <v>Male</v>
      </c>
      <c r="O335" t="str">
        <f>TRIM(tbl_HR_Data[[#This Row],[Position]])</f>
        <v>Clerk</v>
      </c>
      <c r="P335" t="str">
        <f>IFERROR(_xlfn.XLOOKUP(tbl_HR_Data[[#This Row],[Email]], Mapping[Email_Discarded], Mapping[Email_Correction]), LOWER(TRIM(tbl_HR_Data[[#This Row],[Email]])))</f>
        <v>name@company.org</v>
      </c>
      <c r="Q33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35" t="str" cm="1">
        <f t="array" ref="R335">_xlfn.REDUCE(Q335, {"-","/","_","\","(",")"}, _xlfn.LAMBDA(_xlpm.txt,_xlpm.itm, SUBSTITUTE(_xlpm.txt, _xlpm.itm, "")))</f>
        <v>Not Provided</v>
      </c>
      <c r="S335" s="3">
        <f>IFERROR(_xlfn.XLOOKUP(tbl_HR_Data[[#This Row],[Joining Date]], Mapping[Joining_Discarded], Mapping[Joining_Correction]), VALUE(tbl_HR_Data[[#This Row],[Joining Date]]))</f>
        <v>43477</v>
      </c>
      <c r="T335" t="str">
        <f>TEXT(tbl_HR_Data[[#This Row],[Joining Date]], "mmm")</f>
        <v>Jan</v>
      </c>
      <c r="U335" t="str">
        <f>TEXT(tbl_HR_Data[[#This Row],[Joining Date]], "ddd")</f>
        <v>Sat</v>
      </c>
    </row>
    <row r="336" spans="1:21" x14ac:dyDescent="0.35">
      <c r="A336" t="s">
        <v>100</v>
      </c>
      <c r="B336">
        <v>50</v>
      </c>
      <c r="C336">
        <v>50000</v>
      </c>
      <c r="D336" t="s">
        <v>18</v>
      </c>
      <c r="E336" t="s">
        <v>19</v>
      </c>
      <c r="F336" t="s">
        <v>43</v>
      </c>
      <c r="G336" s="3">
        <v>43477</v>
      </c>
      <c r="H336" t="str">
        <f>TEXT(tbl_HR_Data[[#This Row],[Joining Date]], "mmm")</f>
        <v>Jan</v>
      </c>
      <c r="I336" t="s">
        <v>93</v>
      </c>
      <c r="J336" t="s">
        <v>14</v>
      </c>
      <c r="K336" t="s">
        <v>77</v>
      </c>
      <c r="L336" t="s">
        <v>88</v>
      </c>
      <c r="M336">
        <f>IFERROR( _xlfn.XLOOKUP(TRIM(tbl_HR_Data[[#This Row],[Age]]),#REF!,#REF!), VALUE(TRIM(tbl_HR_Data[[#This Row],[Age]])))</f>
        <v>50</v>
      </c>
      <c r="N336" t="str">
        <f>IFERROR(_xlfn.XLOOKUP(tbl_HR_Data[[#This Row],[Gender]], Mapping[Gender _Discarded], Mapping[Gender_Correction]), PROPER(TRIM(tbl_HR_Data[[#This Row],[Gender]])))</f>
        <v>Female</v>
      </c>
      <c r="O336" t="str">
        <f>TRIM(tbl_HR_Data[[#This Row],[Position]])</f>
        <v>Assistant</v>
      </c>
      <c r="P336" t="str">
        <f>IFERROR(_xlfn.XLOOKUP(tbl_HR_Data[[#This Row],[Email]], Mapping[Email_Discarded], Mapping[Email_Correction]), LOWER(TRIM(tbl_HR_Data[[#This Row],[Email]])))</f>
        <v>not provided</v>
      </c>
      <c r="Q33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336" t="str" cm="1">
        <f t="array" ref="R336">_xlfn.REDUCE(Q336, {"-","/","_","\","(",")"}, _xlfn.LAMBDA(_xlpm.txt,_xlpm.itm, SUBSTITUTE(_xlpm.txt, _xlpm.itm, "")))</f>
        <v>0987654321</v>
      </c>
      <c r="S336" s="3">
        <f>IFERROR(_xlfn.XLOOKUP(tbl_HR_Data[[#This Row],[Joining Date]], Mapping[Joining_Discarded], Mapping[Joining_Correction]), VALUE(tbl_HR_Data[[#This Row],[Joining Date]]))</f>
        <v>43477</v>
      </c>
      <c r="T336" t="str">
        <f>TEXT(tbl_HR_Data[[#This Row],[Joining Date]], "mmm")</f>
        <v>Jan</v>
      </c>
      <c r="U336" t="str">
        <f>TEXT(tbl_HR_Data[[#This Row],[Joining Date]], "ddd")</f>
        <v>Sat</v>
      </c>
    </row>
    <row r="337" spans="1:21" x14ac:dyDescent="0.35">
      <c r="A337" t="s">
        <v>106</v>
      </c>
      <c r="B337">
        <v>0</v>
      </c>
      <c r="C337">
        <v>50000</v>
      </c>
      <c r="D337" t="s">
        <v>11</v>
      </c>
      <c r="E337" t="s">
        <v>12</v>
      </c>
      <c r="F337" t="s">
        <v>39</v>
      </c>
      <c r="G337" s="3">
        <v>43477</v>
      </c>
      <c r="H337" t="str">
        <f>TEXT(tbl_HR_Data[[#This Row],[Joining Date]], "mmm")</f>
        <v>Jan</v>
      </c>
      <c r="I337" t="s">
        <v>93</v>
      </c>
      <c r="J337" t="s">
        <v>14</v>
      </c>
      <c r="K337" t="s">
        <v>77</v>
      </c>
      <c r="L337" t="s">
        <v>89</v>
      </c>
      <c r="M337">
        <f>IFERROR( _xlfn.XLOOKUP(TRIM(tbl_HR_Data[[#This Row],[Age]]),#REF!,#REF!), VALUE(TRIM(tbl_HR_Data[[#This Row],[Age]])))</f>
        <v>0</v>
      </c>
      <c r="N337" t="str">
        <f>IFERROR(_xlfn.XLOOKUP(tbl_HR_Data[[#This Row],[Gender]], Mapping[Gender _Discarded], Mapping[Gender_Correction]), PROPER(TRIM(tbl_HR_Data[[#This Row],[Gender]])))</f>
        <v>Male</v>
      </c>
      <c r="O337" t="str">
        <f>TRIM(tbl_HR_Data[[#This Row],[Position]])</f>
        <v>Clerk</v>
      </c>
      <c r="P337" t="str">
        <f>IFERROR(_xlfn.XLOOKUP(tbl_HR_Data[[#This Row],[Email]], Mapping[Email_Discarded], Mapping[Email_Correction]), LOWER(TRIM(tbl_HR_Data[[#This Row],[Email]])))</f>
        <v>not provided</v>
      </c>
      <c r="Q33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337" t="str" cm="1">
        <f t="array" ref="R337">_xlfn.REDUCE(Q337, {"-","/","_","\","(",")"}, _xlfn.LAMBDA(_xlpm.txt,_xlpm.itm, SUBSTITUTE(_xlpm.txt, _xlpm.itm, "")))</f>
        <v>5555555555</v>
      </c>
      <c r="S337" s="3">
        <f>IFERROR(_xlfn.XLOOKUP(tbl_HR_Data[[#This Row],[Joining Date]], Mapping[Joining_Discarded], Mapping[Joining_Correction]), VALUE(tbl_HR_Data[[#This Row],[Joining Date]]))</f>
        <v>43477</v>
      </c>
      <c r="T337" t="str">
        <f>TEXT(tbl_HR_Data[[#This Row],[Joining Date]], "mmm")</f>
        <v>Jan</v>
      </c>
      <c r="U337" t="str">
        <f>TEXT(tbl_HR_Data[[#This Row],[Joining Date]], "ddd")</f>
        <v>Sat</v>
      </c>
    </row>
    <row r="338" spans="1:21" x14ac:dyDescent="0.35">
      <c r="A338" t="s">
        <v>102</v>
      </c>
      <c r="B338">
        <v>30</v>
      </c>
      <c r="C338">
        <v>60000</v>
      </c>
      <c r="D338" t="s">
        <v>11</v>
      </c>
      <c r="E338" t="s">
        <v>26</v>
      </c>
      <c r="F338" t="s">
        <v>20</v>
      </c>
      <c r="G338" s="3">
        <v>43477</v>
      </c>
      <c r="H338" t="str">
        <f>TEXT(tbl_HR_Data[[#This Row],[Joining Date]], "mmm")</f>
        <v>Jan</v>
      </c>
      <c r="I338" t="s">
        <v>93</v>
      </c>
      <c r="J338" t="s">
        <v>41</v>
      </c>
      <c r="K338" t="s">
        <v>15</v>
      </c>
      <c r="L338" t="s">
        <v>87</v>
      </c>
      <c r="M338">
        <f>IFERROR( _xlfn.XLOOKUP(TRIM(tbl_HR_Data[[#This Row],[Age]]),#REF!,#REF!), VALUE(TRIM(tbl_HR_Data[[#This Row],[Age]])))</f>
        <v>30</v>
      </c>
      <c r="N338" t="str">
        <f>IFERROR(_xlfn.XLOOKUP(tbl_HR_Data[[#This Row],[Gender]], Mapping[Gender _Discarded], Mapping[Gender_Correction]), PROPER(TRIM(tbl_HR_Data[[#This Row],[Gender]])))</f>
        <v>Male</v>
      </c>
      <c r="O338" t="str">
        <f>TRIM(tbl_HR_Data[[#This Row],[Position]])</f>
        <v>Director</v>
      </c>
      <c r="P338" t="str">
        <f>IFERROR(_xlfn.XLOOKUP(tbl_HR_Data[[#This Row],[Email]], Mapping[Email_Discarded], Mapping[Email_Correction]), LOWER(TRIM(tbl_HR_Data[[#This Row],[Email]])))</f>
        <v>email@example.com</v>
      </c>
      <c r="Q33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338" t="str" cm="1">
        <f t="array" ref="R338">_xlfn.REDUCE(Q338, {"-","/","_","\","(",")"}, _xlfn.LAMBDA(_xlpm.txt,_xlpm.itm, SUBSTITUTE(_xlpm.txt, _xlpm.itm, "")))</f>
        <v>1234567890</v>
      </c>
      <c r="S338" s="3">
        <f>IFERROR(_xlfn.XLOOKUP(tbl_HR_Data[[#This Row],[Joining Date]], Mapping[Joining_Discarded], Mapping[Joining_Correction]), VALUE(tbl_HR_Data[[#This Row],[Joining Date]]))</f>
        <v>43477</v>
      </c>
      <c r="T338" t="str">
        <f>TEXT(tbl_HR_Data[[#This Row],[Joining Date]], "mmm")</f>
        <v>Jan</v>
      </c>
      <c r="U338" t="str">
        <f>TEXT(tbl_HR_Data[[#This Row],[Joining Date]], "ddd")</f>
        <v>Sat</v>
      </c>
    </row>
    <row r="339" spans="1:21" x14ac:dyDescent="0.35">
      <c r="A339" t="s">
        <v>100</v>
      </c>
      <c r="B339">
        <v>50</v>
      </c>
      <c r="C339">
        <v>60000</v>
      </c>
      <c r="D339" t="s">
        <v>36</v>
      </c>
      <c r="E339" t="s">
        <v>30</v>
      </c>
      <c r="F339" t="s">
        <v>43</v>
      </c>
      <c r="G339" s="3">
        <v>43477</v>
      </c>
      <c r="H339" t="str">
        <f>TEXT(tbl_HR_Data[[#This Row],[Joining Date]], "mmm")</f>
        <v>Jan</v>
      </c>
      <c r="I339" t="s">
        <v>93</v>
      </c>
      <c r="J339" t="s">
        <v>14</v>
      </c>
      <c r="K339" t="s">
        <v>77</v>
      </c>
      <c r="L339" t="s">
        <v>77</v>
      </c>
      <c r="M339">
        <f>IFERROR( _xlfn.XLOOKUP(TRIM(tbl_HR_Data[[#This Row],[Age]]),#REF!,#REF!), VALUE(TRIM(tbl_HR_Data[[#This Row],[Age]])))</f>
        <v>50</v>
      </c>
      <c r="N339" t="str">
        <f>IFERROR(_xlfn.XLOOKUP(tbl_HR_Data[[#This Row],[Gender]], Mapping[Gender _Discarded], Mapping[Gender_Correction]), PROPER(TRIM(tbl_HR_Data[[#This Row],[Gender]])))</f>
        <v>Other</v>
      </c>
      <c r="O339" t="str">
        <f>TRIM(tbl_HR_Data[[#This Row],[Position]])</f>
        <v>Assistant</v>
      </c>
      <c r="P339" t="str">
        <f>IFERROR(_xlfn.XLOOKUP(tbl_HR_Data[[#This Row],[Email]], Mapping[Email_Discarded], Mapping[Email_Correction]), LOWER(TRIM(tbl_HR_Data[[#This Row],[Email]])))</f>
        <v>not provided</v>
      </c>
      <c r="Q33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39" t="str" cm="1">
        <f t="array" ref="R339">_xlfn.REDUCE(Q339, {"-","/","_","\","(",")"}, _xlfn.LAMBDA(_xlpm.txt,_xlpm.itm, SUBSTITUTE(_xlpm.txt, _xlpm.itm, "")))</f>
        <v>Not Provided</v>
      </c>
      <c r="S339" s="3">
        <f>IFERROR(_xlfn.XLOOKUP(tbl_HR_Data[[#This Row],[Joining Date]], Mapping[Joining_Discarded], Mapping[Joining_Correction]), VALUE(tbl_HR_Data[[#This Row],[Joining Date]]))</f>
        <v>43477</v>
      </c>
      <c r="T339" t="str">
        <f>TEXT(tbl_HR_Data[[#This Row],[Joining Date]], "mmm")</f>
        <v>Jan</v>
      </c>
      <c r="U339" t="str">
        <f>TEXT(tbl_HR_Data[[#This Row],[Joining Date]], "ddd")</f>
        <v>Sat</v>
      </c>
    </row>
    <row r="340" spans="1:21" x14ac:dyDescent="0.35">
      <c r="A340" t="s">
        <v>102</v>
      </c>
      <c r="B340">
        <v>30</v>
      </c>
      <c r="C340">
        <v>70000</v>
      </c>
      <c r="D340" t="s">
        <v>18</v>
      </c>
      <c r="E340" t="s">
        <v>30</v>
      </c>
      <c r="F340" t="s">
        <v>39</v>
      </c>
      <c r="G340" s="3">
        <v>43477</v>
      </c>
      <c r="H340" t="str">
        <f>TEXT(tbl_HR_Data[[#This Row],[Joining Date]], "mmm")</f>
        <v>Jan</v>
      </c>
      <c r="I340" t="s">
        <v>93</v>
      </c>
      <c r="J340" t="s">
        <v>31</v>
      </c>
      <c r="K340" t="s">
        <v>15</v>
      </c>
      <c r="L340" t="s">
        <v>89</v>
      </c>
      <c r="M340">
        <f>IFERROR( _xlfn.XLOOKUP(TRIM(tbl_HR_Data[[#This Row],[Age]]),#REF!,#REF!), VALUE(TRIM(tbl_HR_Data[[#This Row],[Age]])))</f>
        <v>30</v>
      </c>
      <c r="N340" t="str">
        <f>IFERROR(_xlfn.XLOOKUP(tbl_HR_Data[[#This Row],[Gender]], Mapping[Gender _Discarded], Mapping[Gender_Correction]), PROPER(TRIM(tbl_HR_Data[[#This Row],[Gender]])))</f>
        <v>Female</v>
      </c>
      <c r="O340" t="str">
        <f>TRIM(tbl_HR_Data[[#This Row],[Position]])</f>
        <v>Clerk</v>
      </c>
      <c r="P340" t="str">
        <f>IFERROR(_xlfn.XLOOKUP(tbl_HR_Data[[#This Row],[Email]], Mapping[Email_Discarded], Mapping[Email_Correction]), LOWER(TRIM(tbl_HR_Data[[#This Row],[Email]])))</f>
        <v>email@example.com</v>
      </c>
      <c r="Q34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340" t="str" cm="1">
        <f t="array" ref="R340">_xlfn.REDUCE(Q340, {"-","/","_","\","(",")"}, _xlfn.LAMBDA(_xlpm.txt,_xlpm.itm, SUBSTITUTE(_xlpm.txt, _xlpm.itm, "")))</f>
        <v>5555555555</v>
      </c>
      <c r="S340" s="3">
        <f>IFERROR(_xlfn.XLOOKUP(tbl_HR_Data[[#This Row],[Joining Date]], Mapping[Joining_Discarded], Mapping[Joining_Correction]), VALUE(tbl_HR_Data[[#This Row],[Joining Date]]))</f>
        <v>43477</v>
      </c>
      <c r="T340" t="str">
        <f>TEXT(tbl_HR_Data[[#This Row],[Joining Date]], "mmm")</f>
        <v>Jan</v>
      </c>
      <c r="U340" t="str">
        <f>TEXT(tbl_HR_Data[[#This Row],[Joining Date]], "ddd")</f>
        <v>Sat</v>
      </c>
    </row>
    <row r="341" spans="1:21" x14ac:dyDescent="0.35">
      <c r="A341" t="s">
        <v>106</v>
      </c>
      <c r="B341">
        <v>0</v>
      </c>
      <c r="C341">
        <v>55000</v>
      </c>
      <c r="D341" t="s">
        <v>11</v>
      </c>
      <c r="E341" t="s">
        <v>30</v>
      </c>
      <c r="F341" t="s">
        <v>43</v>
      </c>
      <c r="G341" s="3">
        <v>43477</v>
      </c>
      <c r="H341" t="str">
        <f>TEXT(tbl_HR_Data[[#This Row],[Joining Date]], "mmm")</f>
        <v>Jan</v>
      </c>
      <c r="I341" t="s">
        <v>93</v>
      </c>
      <c r="J341" t="s">
        <v>27</v>
      </c>
      <c r="K341" t="s">
        <v>15</v>
      </c>
      <c r="L341" t="s">
        <v>87</v>
      </c>
      <c r="M341">
        <f>IFERROR( _xlfn.XLOOKUP(TRIM(tbl_HR_Data[[#This Row],[Age]]),#REF!,#REF!), VALUE(TRIM(tbl_HR_Data[[#This Row],[Age]])))</f>
        <v>0</v>
      </c>
      <c r="N341" t="str">
        <f>IFERROR(_xlfn.XLOOKUP(tbl_HR_Data[[#This Row],[Gender]], Mapping[Gender _Discarded], Mapping[Gender_Correction]), PROPER(TRIM(tbl_HR_Data[[#This Row],[Gender]])))</f>
        <v>Male</v>
      </c>
      <c r="O341" t="str">
        <f>TRIM(tbl_HR_Data[[#This Row],[Position]])</f>
        <v>Assistant</v>
      </c>
      <c r="P341" t="str">
        <f>IFERROR(_xlfn.XLOOKUP(tbl_HR_Data[[#This Row],[Email]], Mapping[Email_Discarded], Mapping[Email_Correction]), LOWER(TRIM(tbl_HR_Data[[#This Row],[Email]])))</f>
        <v>email@example.com</v>
      </c>
      <c r="Q34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341" t="str" cm="1">
        <f t="array" ref="R341">_xlfn.REDUCE(Q341, {"-","/","_","\","(",")"}, _xlfn.LAMBDA(_xlpm.txt,_xlpm.itm, SUBSTITUTE(_xlpm.txt, _xlpm.itm, "")))</f>
        <v>1234567890</v>
      </c>
      <c r="S341" s="3">
        <f>IFERROR(_xlfn.XLOOKUP(tbl_HR_Data[[#This Row],[Joining Date]], Mapping[Joining_Discarded], Mapping[Joining_Correction]), VALUE(tbl_HR_Data[[#This Row],[Joining Date]]))</f>
        <v>43477</v>
      </c>
      <c r="T341" t="str">
        <f>TEXT(tbl_HR_Data[[#This Row],[Joining Date]], "mmm")</f>
        <v>Jan</v>
      </c>
      <c r="U341" t="str">
        <f>TEXT(tbl_HR_Data[[#This Row],[Joining Date]], "ddd")</f>
        <v>Sat</v>
      </c>
    </row>
    <row r="342" spans="1:21" x14ac:dyDescent="0.35">
      <c r="A342" t="s">
        <v>101</v>
      </c>
      <c r="B342">
        <v>50</v>
      </c>
      <c r="C342">
        <v>70000</v>
      </c>
      <c r="D342" t="s">
        <v>36</v>
      </c>
      <c r="E342" t="s">
        <v>26</v>
      </c>
      <c r="F342" t="s">
        <v>43</v>
      </c>
      <c r="G342" s="3">
        <v>43477</v>
      </c>
      <c r="H342" t="str">
        <f>TEXT(tbl_HR_Data[[#This Row],[Joining Date]], "mmm")</f>
        <v>Jan</v>
      </c>
      <c r="I342" t="s">
        <v>93</v>
      </c>
      <c r="J342" t="s">
        <v>27</v>
      </c>
      <c r="K342" t="s">
        <v>22</v>
      </c>
      <c r="L342" t="s">
        <v>77</v>
      </c>
      <c r="M342">
        <f>IFERROR( _xlfn.XLOOKUP(TRIM(tbl_HR_Data[[#This Row],[Age]]),#REF!,#REF!), VALUE(TRIM(tbl_HR_Data[[#This Row],[Age]])))</f>
        <v>50</v>
      </c>
      <c r="N342" t="str">
        <f>IFERROR(_xlfn.XLOOKUP(tbl_HR_Data[[#This Row],[Gender]], Mapping[Gender _Discarded], Mapping[Gender_Correction]), PROPER(TRIM(tbl_HR_Data[[#This Row],[Gender]])))</f>
        <v>Other</v>
      </c>
      <c r="O342" t="str">
        <f>TRIM(tbl_HR_Data[[#This Row],[Position]])</f>
        <v>Assistant</v>
      </c>
      <c r="P342" t="str">
        <f>IFERROR(_xlfn.XLOOKUP(tbl_HR_Data[[#This Row],[Email]], Mapping[Email_Discarded], Mapping[Email_Correction]), LOWER(TRIM(tbl_HR_Data[[#This Row],[Email]])))</f>
        <v>user@domain.com</v>
      </c>
      <c r="Q34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42" t="str" cm="1">
        <f t="array" ref="R342">_xlfn.REDUCE(Q342, {"-","/","_","\","(",")"}, _xlfn.LAMBDA(_xlpm.txt,_xlpm.itm, SUBSTITUTE(_xlpm.txt, _xlpm.itm, "")))</f>
        <v>Not Provided</v>
      </c>
      <c r="S342" s="3">
        <f>IFERROR(_xlfn.XLOOKUP(tbl_HR_Data[[#This Row],[Joining Date]], Mapping[Joining_Discarded], Mapping[Joining_Correction]), VALUE(tbl_HR_Data[[#This Row],[Joining Date]]))</f>
        <v>43477</v>
      </c>
      <c r="T342" t="str">
        <f>TEXT(tbl_HR_Data[[#This Row],[Joining Date]], "mmm")</f>
        <v>Jan</v>
      </c>
      <c r="U342" t="str">
        <f>TEXT(tbl_HR_Data[[#This Row],[Joining Date]], "ddd")</f>
        <v>Sat</v>
      </c>
    </row>
    <row r="343" spans="1:21" x14ac:dyDescent="0.35">
      <c r="A343" t="s">
        <v>105</v>
      </c>
      <c r="B343">
        <v>0</v>
      </c>
      <c r="C343">
        <v>0</v>
      </c>
      <c r="D343" t="s">
        <v>36</v>
      </c>
      <c r="E343" t="s">
        <v>19</v>
      </c>
      <c r="F343" t="s">
        <v>43</v>
      </c>
      <c r="G343" s="3">
        <v>43477</v>
      </c>
      <c r="H343" t="str">
        <f>TEXT(tbl_HR_Data[[#This Row],[Joining Date]], "mmm")</f>
        <v>Jan</v>
      </c>
      <c r="I343" t="s">
        <v>93</v>
      </c>
      <c r="J343" t="s">
        <v>31</v>
      </c>
      <c r="K343" t="s">
        <v>22</v>
      </c>
      <c r="L343" t="s">
        <v>77</v>
      </c>
      <c r="M343">
        <f>IFERROR( _xlfn.XLOOKUP(TRIM(tbl_HR_Data[[#This Row],[Age]]),#REF!,#REF!), VALUE(TRIM(tbl_HR_Data[[#This Row],[Age]])))</f>
        <v>0</v>
      </c>
      <c r="N343" t="str">
        <f>IFERROR(_xlfn.XLOOKUP(tbl_HR_Data[[#This Row],[Gender]], Mapping[Gender _Discarded], Mapping[Gender_Correction]), PROPER(TRIM(tbl_HR_Data[[#This Row],[Gender]])))</f>
        <v>Other</v>
      </c>
      <c r="O343" t="str">
        <f>TRIM(tbl_HR_Data[[#This Row],[Position]])</f>
        <v>Assistant</v>
      </c>
      <c r="P343" t="str">
        <f>IFERROR(_xlfn.XLOOKUP(tbl_HR_Data[[#This Row],[Email]], Mapping[Email_Discarded], Mapping[Email_Correction]), LOWER(TRIM(tbl_HR_Data[[#This Row],[Email]])))</f>
        <v>user@domain.com</v>
      </c>
      <c r="Q34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43" t="str" cm="1">
        <f t="array" ref="R343">_xlfn.REDUCE(Q343, {"-","/","_","\","(",")"}, _xlfn.LAMBDA(_xlpm.txt,_xlpm.itm, SUBSTITUTE(_xlpm.txt, _xlpm.itm, "")))</f>
        <v>Not Provided</v>
      </c>
      <c r="S343" s="3">
        <f>IFERROR(_xlfn.XLOOKUP(tbl_HR_Data[[#This Row],[Joining Date]], Mapping[Joining_Discarded], Mapping[Joining_Correction]), VALUE(tbl_HR_Data[[#This Row],[Joining Date]]))</f>
        <v>43477</v>
      </c>
      <c r="T343" t="str">
        <f>TEXT(tbl_HR_Data[[#This Row],[Joining Date]], "mmm")</f>
        <v>Jan</v>
      </c>
      <c r="U343" t="str">
        <f>TEXT(tbl_HR_Data[[#This Row],[Joining Date]], "ddd")</f>
        <v>Sat</v>
      </c>
    </row>
    <row r="344" spans="1:21" x14ac:dyDescent="0.35">
      <c r="A344" t="s">
        <v>105</v>
      </c>
      <c r="B344">
        <v>0</v>
      </c>
      <c r="C344">
        <v>60000</v>
      </c>
      <c r="D344" t="s">
        <v>11</v>
      </c>
      <c r="E344" t="s">
        <v>26</v>
      </c>
      <c r="F344" t="s">
        <v>20</v>
      </c>
      <c r="G344" s="3">
        <v>43477</v>
      </c>
      <c r="H344" t="str">
        <f>TEXT(tbl_HR_Data[[#This Row],[Joining Date]], "mmm")</f>
        <v>Jan</v>
      </c>
      <c r="I344" t="s">
        <v>93</v>
      </c>
      <c r="J344" t="s">
        <v>41</v>
      </c>
      <c r="K344" t="s">
        <v>77</v>
      </c>
      <c r="L344" t="s">
        <v>89</v>
      </c>
      <c r="M344">
        <f>IFERROR( _xlfn.XLOOKUP(TRIM(tbl_HR_Data[[#This Row],[Age]]),#REF!,#REF!), VALUE(TRIM(tbl_HR_Data[[#This Row],[Age]])))</f>
        <v>0</v>
      </c>
      <c r="N344" t="str">
        <f>IFERROR(_xlfn.XLOOKUP(tbl_HR_Data[[#This Row],[Gender]], Mapping[Gender _Discarded], Mapping[Gender_Correction]), PROPER(TRIM(tbl_HR_Data[[#This Row],[Gender]])))</f>
        <v>Male</v>
      </c>
      <c r="O344" t="str">
        <f>TRIM(tbl_HR_Data[[#This Row],[Position]])</f>
        <v>Director</v>
      </c>
      <c r="P344" t="str">
        <f>IFERROR(_xlfn.XLOOKUP(tbl_HR_Data[[#This Row],[Email]], Mapping[Email_Discarded], Mapping[Email_Correction]), LOWER(TRIM(tbl_HR_Data[[#This Row],[Email]])))</f>
        <v>not provided</v>
      </c>
      <c r="Q34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344" t="str" cm="1">
        <f t="array" ref="R344">_xlfn.REDUCE(Q344, {"-","/","_","\","(",")"}, _xlfn.LAMBDA(_xlpm.txt,_xlpm.itm, SUBSTITUTE(_xlpm.txt, _xlpm.itm, "")))</f>
        <v>5555555555</v>
      </c>
      <c r="S344" s="3">
        <f>IFERROR(_xlfn.XLOOKUP(tbl_HR_Data[[#This Row],[Joining Date]], Mapping[Joining_Discarded], Mapping[Joining_Correction]), VALUE(tbl_HR_Data[[#This Row],[Joining Date]]))</f>
        <v>43477</v>
      </c>
      <c r="T344" t="str">
        <f>TEXT(tbl_HR_Data[[#This Row],[Joining Date]], "mmm")</f>
        <v>Jan</v>
      </c>
      <c r="U344" t="str">
        <f>TEXT(tbl_HR_Data[[#This Row],[Joining Date]], "ddd")</f>
        <v>Sat</v>
      </c>
    </row>
    <row r="345" spans="1:21" x14ac:dyDescent="0.35">
      <c r="A345" t="s">
        <v>103</v>
      </c>
      <c r="B345">
        <v>40</v>
      </c>
      <c r="C345">
        <v>65000</v>
      </c>
      <c r="D345" t="s">
        <v>36</v>
      </c>
      <c r="E345" t="s">
        <v>19</v>
      </c>
      <c r="F345" t="s">
        <v>13</v>
      </c>
      <c r="G345" s="3">
        <v>43477</v>
      </c>
      <c r="H345" t="str">
        <f>TEXT(tbl_HR_Data[[#This Row],[Joining Date]], "mmm")</f>
        <v>Jan</v>
      </c>
      <c r="I345" t="s">
        <v>93</v>
      </c>
      <c r="J345" t="s">
        <v>41</v>
      </c>
      <c r="K345" t="s">
        <v>22</v>
      </c>
      <c r="L345" t="s">
        <v>77</v>
      </c>
      <c r="M345">
        <f>IFERROR( _xlfn.XLOOKUP(TRIM(tbl_HR_Data[[#This Row],[Age]]),#REF!,#REF!), VALUE(TRIM(tbl_HR_Data[[#This Row],[Age]])))</f>
        <v>40</v>
      </c>
      <c r="N345" t="str">
        <f>IFERROR(_xlfn.XLOOKUP(tbl_HR_Data[[#This Row],[Gender]], Mapping[Gender _Discarded], Mapping[Gender_Correction]), PROPER(TRIM(tbl_HR_Data[[#This Row],[Gender]])))</f>
        <v>Other</v>
      </c>
      <c r="O345" t="str">
        <f>TRIM(tbl_HR_Data[[#This Row],[Position]])</f>
        <v>Manager</v>
      </c>
      <c r="P345" t="str">
        <f>IFERROR(_xlfn.XLOOKUP(tbl_HR_Data[[#This Row],[Email]], Mapping[Email_Discarded], Mapping[Email_Correction]), LOWER(TRIM(tbl_HR_Data[[#This Row],[Email]])))</f>
        <v>user@domain.com</v>
      </c>
      <c r="Q34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45" t="str" cm="1">
        <f t="array" ref="R345">_xlfn.REDUCE(Q345, {"-","/","_","\","(",")"}, _xlfn.LAMBDA(_xlpm.txt,_xlpm.itm, SUBSTITUTE(_xlpm.txt, _xlpm.itm, "")))</f>
        <v>Not Provided</v>
      </c>
      <c r="S345" s="3">
        <f>IFERROR(_xlfn.XLOOKUP(tbl_HR_Data[[#This Row],[Joining Date]], Mapping[Joining_Discarded], Mapping[Joining_Correction]), VALUE(tbl_HR_Data[[#This Row],[Joining Date]]))</f>
        <v>43477</v>
      </c>
      <c r="T345" t="str">
        <f>TEXT(tbl_HR_Data[[#This Row],[Joining Date]], "mmm")</f>
        <v>Jan</v>
      </c>
      <c r="U345" t="str">
        <f>TEXT(tbl_HR_Data[[#This Row],[Joining Date]], "ddd")</f>
        <v>Sat</v>
      </c>
    </row>
    <row r="346" spans="1:21" x14ac:dyDescent="0.35">
      <c r="A346" t="s">
        <v>107</v>
      </c>
      <c r="B346">
        <v>35</v>
      </c>
      <c r="C346">
        <v>55000</v>
      </c>
      <c r="D346" t="s">
        <v>36</v>
      </c>
      <c r="E346" t="s">
        <v>19</v>
      </c>
      <c r="F346" t="s">
        <v>43</v>
      </c>
      <c r="G346" s="3">
        <v>43477</v>
      </c>
      <c r="H346" t="str">
        <f>TEXT(tbl_HR_Data[[#This Row],[Joining Date]], "mmm")</f>
        <v>Jan</v>
      </c>
      <c r="I346" t="s">
        <v>93</v>
      </c>
      <c r="J346" t="s">
        <v>27</v>
      </c>
      <c r="K346" t="s">
        <v>15</v>
      </c>
      <c r="L346" t="s">
        <v>77</v>
      </c>
      <c r="M346">
        <f>IFERROR( _xlfn.XLOOKUP(TRIM(tbl_HR_Data[[#This Row],[Age]]),#REF!,#REF!), VALUE(TRIM(tbl_HR_Data[[#This Row],[Age]])))</f>
        <v>35</v>
      </c>
      <c r="N346" t="str">
        <f>IFERROR(_xlfn.XLOOKUP(tbl_HR_Data[[#This Row],[Gender]], Mapping[Gender _Discarded], Mapping[Gender_Correction]), PROPER(TRIM(tbl_HR_Data[[#This Row],[Gender]])))</f>
        <v>Other</v>
      </c>
      <c r="O346" t="str">
        <f>TRIM(tbl_HR_Data[[#This Row],[Position]])</f>
        <v>Assistant</v>
      </c>
      <c r="P346" t="str">
        <f>IFERROR(_xlfn.XLOOKUP(tbl_HR_Data[[#This Row],[Email]], Mapping[Email_Discarded], Mapping[Email_Correction]), LOWER(TRIM(tbl_HR_Data[[#This Row],[Email]])))</f>
        <v>email@example.com</v>
      </c>
      <c r="Q34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46" t="str" cm="1">
        <f t="array" ref="R346">_xlfn.REDUCE(Q346, {"-","/","_","\","(",")"}, _xlfn.LAMBDA(_xlpm.txt,_xlpm.itm, SUBSTITUTE(_xlpm.txt, _xlpm.itm, "")))</f>
        <v>Not Provided</v>
      </c>
      <c r="S346" s="3">
        <f>IFERROR(_xlfn.XLOOKUP(tbl_HR_Data[[#This Row],[Joining Date]], Mapping[Joining_Discarded], Mapping[Joining_Correction]), VALUE(tbl_HR_Data[[#This Row],[Joining Date]]))</f>
        <v>43477</v>
      </c>
      <c r="T346" t="str">
        <f>TEXT(tbl_HR_Data[[#This Row],[Joining Date]], "mmm")</f>
        <v>Jan</v>
      </c>
      <c r="U346" t="str">
        <f>TEXT(tbl_HR_Data[[#This Row],[Joining Date]], "ddd")</f>
        <v>Sat</v>
      </c>
    </row>
    <row r="347" spans="1:21" x14ac:dyDescent="0.35">
      <c r="A347" t="s">
        <v>103</v>
      </c>
      <c r="B347">
        <v>40</v>
      </c>
      <c r="C347">
        <v>0</v>
      </c>
      <c r="D347" t="s">
        <v>36</v>
      </c>
      <c r="E347" t="s">
        <v>19</v>
      </c>
      <c r="F347" t="s">
        <v>44</v>
      </c>
      <c r="G347" s="3">
        <v>43477</v>
      </c>
      <c r="H347" t="str">
        <f>TEXT(tbl_HR_Data[[#This Row],[Joining Date]], "mmm")</f>
        <v>Jan</v>
      </c>
      <c r="I347" t="s">
        <v>93</v>
      </c>
      <c r="J347" t="s">
        <v>31</v>
      </c>
      <c r="K347" t="s">
        <v>22</v>
      </c>
      <c r="L347" t="s">
        <v>89</v>
      </c>
      <c r="M347">
        <f>IFERROR( _xlfn.XLOOKUP(TRIM(tbl_HR_Data[[#This Row],[Age]]),#REF!,#REF!), VALUE(TRIM(tbl_HR_Data[[#This Row],[Age]])))</f>
        <v>40</v>
      </c>
      <c r="N347" t="str">
        <f>IFERROR(_xlfn.XLOOKUP(tbl_HR_Data[[#This Row],[Gender]], Mapping[Gender _Discarded], Mapping[Gender_Correction]), PROPER(TRIM(tbl_HR_Data[[#This Row],[Gender]])))</f>
        <v>Other</v>
      </c>
      <c r="O347" t="str">
        <f>TRIM(tbl_HR_Data[[#This Row],[Position]])</f>
        <v>Analyst</v>
      </c>
      <c r="P347" t="str">
        <f>IFERROR(_xlfn.XLOOKUP(tbl_HR_Data[[#This Row],[Email]], Mapping[Email_Discarded], Mapping[Email_Correction]), LOWER(TRIM(tbl_HR_Data[[#This Row],[Email]])))</f>
        <v>user@domain.com</v>
      </c>
      <c r="Q34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347" t="str" cm="1">
        <f t="array" ref="R347">_xlfn.REDUCE(Q347, {"-","/","_","\","(",")"}, _xlfn.LAMBDA(_xlpm.txt,_xlpm.itm, SUBSTITUTE(_xlpm.txt, _xlpm.itm, "")))</f>
        <v>5555555555</v>
      </c>
      <c r="S347" s="3">
        <f>IFERROR(_xlfn.XLOOKUP(tbl_HR_Data[[#This Row],[Joining Date]], Mapping[Joining_Discarded], Mapping[Joining_Correction]), VALUE(tbl_HR_Data[[#This Row],[Joining Date]]))</f>
        <v>43477</v>
      </c>
      <c r="T347" t="str">
        <f>TEXT(tbl_HR_Data[[#This Row],[Joining Date]], "mmm")</f>
        <v>Jan</v>
      </c>
      <c r="U347" t="str">
        <f>TEXT(tbl_HR_Data[[#This Row],[Joining Date]], "ddd")</f>
        <v>Sat</v>
      </c>
    </row>
    <row r="348" spans="1:21" x14ac:dyDescent="0.35">
      <c r="A348" t="s">
        <v>108</v>
      </c>
      <c r="B348">
        <v>35</v>
      </c>
      <c r="C348">
        <v>0</v>
      </c>
      <c r="D348" t="s">
        <v>11</v>
      </c>
      <c r="E348" t="s">
        <v>19</v>
      </c>
      <c r="F348" t="s">
        <v>39</v>
      </c>
      <c r="G348" s="3">
        <v>43477</v>
      </c>
      <c r="H348" t="str">
        <f>TEXT(tbl_HR_Data[[#This Row],[Joining Date]], "mmm")</f>
        <v>Jan</v>
      </c>
      <c r="I348" t="s">
        <v>93</v>
      </c>
      <c r="J348" t="s">
        <v>31</v>
      </c>
      <c r="K348" t="s">
        <v>32</v>
      </c>
      <c r="L348" t="s">
        <v>88</v>
      </c>
      <c r="M348">
        <f>IFERROR( _xlfn.XLOOKUP(TRIM(tbl_HR_Data[[#This Row],[Age]]),#REF!,#REF!), VALUE(TRIM(tbl_HR_Data[[#This Row],[Age]])))</f>
        <v>35</v>
      </c>
      <c r="N348" t="str">
        <f>IFERROR(_xlfn.XLOOKUP(tbl_HR_Data[[#This Row],[Gender]], Mapping[Gender _Discarded], Mapping[Gender_Correction]), PROPER(TRIM(tbl_HR_Data[[#This Row],[Gender]])))</f>
        <v>Male</v>
      </c>
      <c r="O348" t="str">
        <f>TRIM(tbl_HR_Data[[#This Row],[Position]])</f>
        <v>Clerk</v>
      </c>
      <c r="P348" t="str">
        <f>IFERROR(_xlfn.XLOOKUP(tbl_HR_Data[[#This Row],[Email]], Mapping[Email_Discarded], Mapping[Email_Correction]), LOWER(TRIM(tbl_HR_Data[[#This Row],[Email]])))</f>
        <v>name@company.org</v>
      </c>
      <c r="Q34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348" t="str" cm="1">
        <f t="array" ref="R348">_xlfn.REDUCE(Q348, {"-","/","_","\","(",")"}, _xlfn.LAMBDA(_xlpm.txt,_xlpm.itm, SUBSTITUTE(_xlpm.txt, _xlpm.itm, "")))</f>
        <v>0987654321</v>
      </c>
      <c r="S348" s="3">
        <f>IFERROR(_xlfn.XLOOKUP(tbl_HR_Data[[#This Row],[Joining Date]], Mapping[Joining_Discarded], Mapping[Joining_Correction]), VALUE(tbl_HR_Data[[#This Row],[Joining Date]]))</f>
        <v>43477</v>
      </c>
      <c r="T348" t="str">
        <f>TEXT(tbl_HR_Data[[#This Row],[Joining Date]], "mmm")</f>
        <v>Jan</v>
      </c>
      <c r="U348" t="str">
        <f>TEXT(tbl_HR_Data[[#This Row],[Joining Date]], "ddd")</f>
        <v>Sat</v>
      </c>
    </row>
    <row r="349" spans="1:21" x14ac:dyDescent="0.35">
      <c r="A349" t="s">
        <v>106</v>
      </c>
      <c r="B349">
        <v>30</v>
      </c>
      <c r="C349">
        <v>60000</v>
      </c>
      <c r="D349" t="s">
        <v>18</v>
      </c>
      <c r="E349" t="s">
        <v>12</v>
      </c>
      <c r="F349" t="s">
        <v>43</v>
      </c>
      <c r="G349" s="3">
        <v>43477</v>
      </c>
      <c r="H349" t="str">
        <f>TEXT(tbl_HR_Data[[#This Row],[Joining Date]], "mmm")</f>
        <v>Jan</v>
      </c>
      <c r="I349" t="s">
        <v>93</v>
      </c>
      <c r="J349" t="s">
        <v>41</v>
      </c>
      <c r="K349" t="s">
        <v>77</v>
      </c>
      <c r="L349" t="s">
        <v>89</v>
      </c>
      <c r="M349">
        <f>IFERROR( _xlfn.XLOOKUP(TRIM(tbl_HR_Data[[#This Row],[Age]]),#REF!,#REF!), VALUE(TRIM(tbl_HR_Data[[#This Row],[Age]])))</f>
        <v>30</v>
      </c>
      <c r="N349" t="str">
        <f>IFERROR(_xlfn.XLOOKUP(tbl_HR_Data[[#This Row],[Gender]], Mapping[Gender _Discarded], Mapping[Gender_Correction]), PROPER(TRIM(tbl_HR_Data[[#This Row],[Gender]])))</f>
        <v>Female</v>
      </c>
      <c r="O349" t="str">
        <f>TRIM(tbl_HR_Data[[#This Row],[Position]])</f>
        <v>Assistant</v>
      </c>
      <c r="P349" t="str">
        <f>IFERROR(_xlfn.XLOOKUP(tbl_HR_Data[[#This Row],[Email]], Mapping[Email_Discarded], Mapping[Email_Correction]), LOWER(TRIM(tbl_HR_Data[[#This Row],[Email]])))</f>
        <v>not provided</v>
      </c>
      <c r="Q34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349" t="str" cm="1">
        <f t="array" ref="R349">_xlfn.REDUCE(Q349, {"-","/","_","\","(",")"}, _xlfn.LAMBDA(_xlpm.txt,_xlpm.itm, SUBSTITUTE(_xlpm.txt, _xlpm.itm, "")))</f>
        <v>5555555555</v>
      </c>
      <c r="S349" s="3">
        <f>IFERROR(_xlfn.XLOOKUP(tbl_HR_Data[[#This Row],[Joining Date]], Mapping[Joining_Discarded], Mapping[Joining_Correction]), VALUE(tbl_HR_Data[[#This Row],[Joining Date]]))</f>
        <v>43477</v>
      </c>
      <c r="T349" t="str">
        <f>TEXT(tbl_HR_Data[[#This Row],[Joining Date]], "mmm")</f>
        <v>Jan</v>
      </c>
      <c r="U349" t="str">
        <f>TEXT(tbl_HR_Data[[#This Row],[Joining Date]], "ddd")</f>
        <v>Sat</v>
      </c>
    </row>
    <row r="350" spans="1:21" x14ac:dyDescent="0.35">
      <c r="A350" t="s">
        <v>108</v>
      </c>
      <c r="B350">
        <v>50</v>
      </c>
      <c r="C350">
        <v>50000</v>
      </c>
      <c r="D350" t="s">
        <v>11</v>
      </c>
      <c r="E350" t="s">
        <v>37</v>
      </c>
      <c r="F350" t="s">
        <v>39</v>
      </c>
      <c r="G350" s="3">
        <v>43477</v>
      </c>
      <c r="H350" t="str">
        <f>TEXT(tbl_HR_Data[[#This Row],[Joining Date]], "mmm")</f>
        <v>Jan</v>
      </c>
      <c r="I350" t="s">
        <v>93</v>
      </c>
      <c r="J350" t="s">
        <v>27</v>
      </c>
      <c r="K350" t="s">
        <v>77</v>
      </c>
      <c r="L350" t="s">
        <v>77</v>
      </c>
      <c r="M350">
        <f>IFERROR( _xlfn.XLOOKUP(TRIM(tbl_HR_Data[[#This Row],[Age]]),#REF!,#REF!), VALUE(TRIM(tbl_HR_Data[[#This Row],[Age]])))</f>
        <v>50</v>
      </c>
      <c r="N350" t="str">
        <f>IFERROR(_xlfn.XLOOKUP(tbl_HR_Data[[#This Row],[Gender]], Mapping[Gender _Discarded], Mapping[Gender_Correction]), PROPER(TRIM(tbl_HR_Data[[#This Row],[Gender]])))</f>
        <v>Male</v>
      </c>
      <c r="O350" t="str">
        <f>TRIM(tbl_HR_Data[[#This Row],[Position]])</f>
        <v>Clerk</v>
      </c>
      <c r="P350" t="str">
        <f>IFERROR(_xlfn.XLOOKUP(tbl_HR_Data[[#This Row],[Email]], Mapping[Email_Discarded], Mapping[Email_Correction]), LOWER(TRIM(tbl_HR_Data[[#This Row],[Email]])))</f>
        <v>not provided</v>
      </c>
      <c r="Q35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50" t="str" cm="1">
        <f t="array" ref="R350">_xlfn.REDUCE(Q350, {"-","/","_","\","(",")"}, _xlfn.LAMBDA(_xlpm.txt,_xlpm.itm, SUBSTITUTE(_xlpm.txt, _xlpm.itm, "")))</f>
        <v>Not Provided</v>
      </c>
      <c r="S350" s="3">
        <f>IFERROR(_xlfn.XLOOKUP(tbl_HR_Data[[#This Row],[Joining Date]], Mapping[Joining_Discarded], Mapping[Joining_Correction]), VALUE(tbl_HR_Data[[#This Row],[Joining Date]]))</f>
        <v>43477</v>
      </c>
      <c r="T350" t="str">
        <f>TEXT(tbl_HR_Data[[#This Row],[Joining Date]], "mmm")</f>
        <v>Jan</v>
      </c>
      <c r="U350" t="str">
        <f>TEXT(tbl_HR_Data[[#This Row],[Joining Date]], "ddd")</f>
        <v>Sat</v>
      </c>
    </row>
    <row r="351" spans="1:21" x14ac:dyDescent="0.35">
      <c r="A351" t="s">
        <v>100</v>
      </c>
      <c r="B351">
        <v>35</v>
      </c>
      <c r="C351">
        <v>65000</v>
      </c>
      <c r="D351" t="s">
        <v>36</v>
      </c>
      <c r="E351" t="s">
        <v>26</v>
      </c>
      <c r="F351" t="s">
        <v>13</v>
      </c>
      <c r="G351" s="3">
        <v>43477</v>
      </c>
      <c r="H351" t="str">
        <f>TEXT(tbl_HR_Data[[#This Row],[Joining Date]], "mmm")</f>
        <v>Jan</v>
      </c>
      <c r="I351" t="s">
        <v>93</v>
      </c>
      <c r="J351" t="s">
        <v>14</v>
      </c>
      <c r="K351" t="s">
        <v>22</v>
      </c>
      <c r="L351" t="s">
        <v>77</v>
      </c>
      <c r="M351">
        <f>IFERROR( _xlfn.XLOOKUP(TRIM(tbl_HR_Data[[#This Row],[Age]]),#REF!,#REF!), VALUE(TRIM(tbl_HR_Data[[#This Row],[Age]])))</f>
        <v>35</v>
      </c>
      <c r="N351" t="str">
        <f>IFERROR(_xlfn.XLOOKUP(tbl_HR_Data[[#This Row],[Gender]], Mapping[Gender _Discarded], Mapping[Gender_Correction]), PROPER(TRIM(tbl_HR_Data[[#This Row],[Gender]])))</f>
        <v>Other</v>
      </c>
      <c r="O351" t="str">
        <f>TRIM(tbl_HR_Data[[#This Row],[Position]])</f>
        <v>Manager</v>
      </c>
      <c r="P351" t="str">
        <f>IFERROR(_xlfn.XLOOKUP(tbl_HR_Data[[#This Row],[Email]], Mapping[Email_Discarded], Mapping[Email_Correction]), LOWER(TRIM(tbl_HR_Data[[#This Row],[Email]])))</f>
        <v>user@domain.com</v>
      </c>
      <c r="Q35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51" t="str" cm="1">
        <f t="array" ref="R351">_xlfn.REDUCE(Q351, {"-","/","_","\","(",")"}, _xlfn.LAMBDA(_xlpm.txt,_xlpm.itm, SUBSTITUTE(_xlpm.txt, _xlpm.itm, "")))</f>
        <v>Not Provided</v>
      </c>
      <c r="S351" s="3">
        <f>IFERROR(_xlfn.XLOOKUP(tbl_HR_Data[[#This Row],[Joining Date]], Mapping[Joining_Discarded], Mapping[Joining_Correction]), VALUE(tbl_HR_Data[[#This Row],[Joining Date]]))</f>
        <v>43477</v>
      </c>
      <c r="T351" t="str">
        <f>TEXT(tbl_HR_Data[[#This Row],[Joining Date]], "mmm")</f>
        <v>Jan</v>
      </c>
      <c r="U351" t="str">
        <f>TEXT(tbl_HR_Data[[#This Row],[Joining Date]], "ddd")</f>
        <v>Sat</v>
      </c>
    </row>
    <row r="352" spans="1:21" x14ac:dyDescent="0.35">
      <c r="A352" t="s">
        <v>100</v>
      </c>
      <c r="B352">
        <v>25</v>
      </c>
      <c r="C352">
        <v>55000</v>
      </c>
      <c r="D352" t="s">
        <v>36</v>
      </c>
      <c r="E352" t="s">
        <v>30</v>
      </c>
      <c r="F352" t="s">
        <v>44</v>
      </c>
      <c r="G352" s="3">
        <v>43477</v>
      </c>
      <c r="H352" t="str">
        <f>TEXT(tbl_HR_Data[[#This Row],[Joining Date]], "mmm")</f>
        <v>Jan</v>
      </c>
      <c r="I352" t="s">
        <v>93</v>
      </c>
      <c r="J352" t="s">
        <v>27</v>
      </c>
      <c r="K352" t="s">
        <v>32</v>
      </c>
      <c r="L352" t="s">
        <v>77</v>
      </c>
      <c r="M352">
        <f>IFERROR( _xlfn.XLOOKUP(TRIM(tbl_HR_Data[[#This Row],[Age]]),#REF!,#REF!), VALUE(TRIM(tbl_HR_Data[[#This Row],[Age]])))</f>
        <v>25</v>
      </c>
      <c r="N352" t="str">
        <f>IFERROR(_xlfn.XLOOKUP(tbl_HR_Data[[#This Row],[Gender]], Mapping[Gender _Discarded], Mapping[Gender_Correction]), PROPER(TRIM(tbl_HR_Data[[#This Row],[Gender]])))</f>
        <v>Other</v>
      </c>
      <c r="O352" t="str">
        <f>TRIM(tbl_HR_Data[[#This Row],[Position]])</f>
        <v>Analyst</v>
      </c>
      <c r="P352" t="str">
        <f>IFERROR(_xlfn.XLOOKUP(tbl_HR_Data[[#This Row],[Email]], Mapping[Email_Discarded], Mapping[Email_Correction]), LOWER(TRIM(tbl_HR_Data[[#This Row],[Email]])))</f>
        <v>name@company.org</v>
      </c>
      <c r="Q35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52" t="str" cm="1">
        <f t="array" ref="R352">_xlfn.REDUCE(Q352, {"-","/","_","\","(",")"}, _xlfn.LAMBDA(_xlpm.txt,_xlpm.itm, SUBSTITUTE(_xlpm.txt, _xlpm.itm, "")))</f>
        <v>Not Provided</v>
      </c>
      <c r="S352" s="3">
        <f>IFERROR(_xlfn.XLOOKUP(tbl_HR_Data[[#This Row],[Joining Date]], Mapping[Joining_Discarded], Mapping[Joining_Correction]), VALUE(tbl_HR_Data[[#This Row],[Joining Date]]))</f>
        <v>43477</v>
      </c>
      <c r="T352" t="str">
        <f>TEXT(tbl_HR_Data[[#This Row],[Joining Date]], "mmm")</f>
        <v>Jan</v>
      </c>
      <c r="U352" t="str">
        <f>TEXT(tbl_HR_Data[[#This Row],[Joining Date]], "ddd")</f>
        <v>Sat</v>
      </c>
    </row>
    <row r="353" spans="1:21" x14ac:dyDescent="0.35">
      <c r="A353" t="s">
        <v>106</v>
      </c>
      <c r="B353">
        <v>50</v>
      </c>
      <c r="C353">
        <v>0</v>
      </c>
      <c r="D353" t="s">
        <v>18</v>
      </c>
      <c r="E353" t="s">
        <v>26</v>
      </c>
      <c r="F353" t="s">
        <v>13</v>
      </c>
      <c r="G353" s="3">
        <v>43477</v>
      </c>
      <c r="H353" t="str">
        <f>TEXT(tbl_HR_Data[[#This Row],[Joining Date]], "mmm")</f>
        <v>Jan</v>
      </c>
      <c r="I353" t="s">
        <v>93</v>
      </c>
      <c r="J353" t="s">
        <v>14</v>
      </c>
      <c r="K353" t="s">
        <v>15</v>
      </c>
      <c r="L353" t="s">
        <v>87</v>
      </c>
      <c r="M353">
        <f>IFERROR( _xlfn.XLOOKUP(TRIM(tbl_HR_Data[[#This Row],[Age]]),#REF!,#REF!), VALUE(TRIM(tbl_HR_Data[[#This Row],[Age]])))</f>
        <v>50</v>
      </c>
      <c r="N353" t="str">
        <f>IFERROR(_xlfn.XLOOKUP(tbl_HR_Data[[#This Row],[Gender]], Mapping[Gender _Discarded], Mapping[Gender_Correction]), PROPER(TRIM(tbl_HR_Data[[#This Row],[Gender]])))</f>
        <v>Female</v>
      </c>
      <c r="O353" t="str">
        <f>TRIM(tbl_HR_Data[[#This Row],[Position]])</f>
        <v>Manager</v>
      </c>
      <c r="P353" t="str">
        <f>IFERROR(_xlfn.XLOOKUP(tbl_HR_Data[[#This Row],[Email]], Mapping[Email_Discarded], Mapping[Email_Correction]), LOWER(TRIM(tbl_HR_Data[[#This Row],[Email]])))</f>
        <v>email@example.com</v>
      </c>
      <c r="Q35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353" t="str" cm="1">
        <f t="array" ref="R353">_xlfn.REDUCE(Q353, {"-","/","_","\","(",")"}, _xlfn.LAMBDA(_xlpm.txt,_xlpm.itm, SUBSTITUTE(_xlpm.txt, _xlpm.itm, "")))</f>
        <v>1234567890</v>
      </c>
      <c r="S353" s="3">
        <f>IFERROR(_xlfn.XLOOKUP(tbl_HR_Data[[#This Row],[Joining Date]], Mapping[Joining_Discarded], Mapping[Joining_Correction]), VALUE(tbl_HR_Data[[#This Row],[Joining Date]]))</f>
        <v>43477</v>
      </c>
      <c r="T353" t="str">
        <f>TEXT(tbl_HR_Data[[#This Row],[Joining Date]], "mmm")</f>
        <v>Jan</v>
      </c>
      <c r="U353" t="str">
        <f>TEXT(tbl_HR_Data[[#This Row],[Joining Date]], "ddd")</f>
        <v>Sat</v>
      </c>
    </row>
    <row r="354" spans="1:21" x14ac:dyDescent="0.35">
      <c r="A354" t="s">
        <v>102</v>
      </c>
      <c r="B354">
        <v>30</v>
      </c>
      <c r="C354">
        <v>70000</v>
      </c>
      <c r="D354" t="s">
        <v>11</v>
      </c>
      <c r="E354" t="s">
        <v>26</v>
      </c>
      <c r="F354" t="s">
        <v>44</v>
      </c>
      <c r="G354" s="3">
        <v>43477</v>
      </c>
      <c r="H354" t="str">
        <f>TEXT(tbl_HR_Data[[#This Row],[Joining Date]], "mmm")</f>
        <v>Jan</v>
      </c>
      <c r="I354" t="s">
        <v>93</v>
      </c>
      <c r="J354" t="s">
        <v>21</v>
      </c>
      <c r="K354" t="s">
        <v>22</v>
      </c>
      <c r="L354" t="s">
        <v>77</v>
      </c>
      <c r="M354">
        <f>IFERROR( _xlfn.XLOOKUP(TRIM(tbl_HR_Data[[#This Row],[Age]]),#REF!,#REF!), VALUE(TRIM(tbl_HR_Data[[#This Row],[Age]])))</f>
        <v>30</v>
      </c>
      <c r="N354" t="str">
        <f>IFERROR(_xlfn.XLOOKUP(tbl_HR_Data[[#This Row],[Gender]], Mapping[Gender _Discarded], Mapping[Gender_Correction]), PROPER(TRIM(tbl_HR_Data[[#This Row],[Gender]])))</f>
        <v>Male</v>
      </c>
      <c r="O354" t="str">
        <f>TRIM(tbl_HR_Data[[#This Row],[Position]])</f>
        <v>Analyst</v>
      </c>
      <c r="P354" t="str">
        <f>IFERROR(_xlfn.XLOOKUP(tbl_HR_Data[[#This Row],[Email]], Mapping[Email_Discarded], Mapping[Email_Correction]), LOWER(TRIM(tbl_HR_Data[[#This Row],[Email]])))</f>
        <v>user@domain.com</v>
      </c>
      <c r="Q35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54" t="str" cm="1">
        <f t="array" ref="R354">_xlfn.REDUCE(Q354, {"-","/","_","\","(",")"}, _xlfn.LAMBDA(_xlpm.txt,_xlpm.itm, SUBSTITUTE(_xlpm.txt, _xlpm.itm, "")))</f>
        <v>Not Provided</v>
      </c>
      <c r="S354" s="3">
        <f>IFERROR(_xlfn.XLOOKUP(tbl_HR_Data[[#This Row],[Joining Date]], Mapping[Joining_Discarded], Mapping[Joining_Correction]), VALUE(tbl_HR_Data[[#This Row],[Joining Date]]))</f>
        <v>43477</v>
      </c>
      <c r="T354" t="str">
        <f>TEXT(tbl_HR_Data[[#This Row],[Joining Date]], "mmm")</f>
        <v>Jan</v>
      </c>
      <c r="U354" t="str">
        <f>TEXT(tbl_HR_Data[[#This Row],[Joining Date]], "ddd")</f>
        <v>Sat</v>
      </c>
    </row>
    <row r="355" spans="1:21" x14ac:dyDescent="0.35">
      <c r="A355" t="s">
        <v>106</v>
      </c>
      <c r="B355">
        <v>50</v>
      </c>
      <c r="C355">
        <v>55000</v>
      </c>
      <c r="D355" t="s">
        <v>18</v>
      </c>
      <c r="E355" t="s">
        <v>19</v>
      </c>
      <c r="F355" t="s">
        <v>20</v>
      </c>
      <c r="G355" s="3">
        <v>43477</v>
      </c>
      <c r="H355" t="str">
        <f>TEXT(tbl_HR_Data[[#This Row],[Joining Date]], "mmm")</f>
        <v>Jan</v>
      </c>
      <c r="I355" t="s">
        <v>93</v>
      </c>
      <c r="J355" t="s">
        <v>14</v>
      </c>
      <c r="K355" t="s">
        <v>15</v>
      </c>
      <c r="L355" t="s">
        <v>89</v>
      </c>
      <c r="M355">
        <f>IFERROR( _xlfn.XLOOKUP(TRIM(tbl_HR_Data[[#This Row],[Age]]),#REF!,#REF!), VALUE(TRIM(tbl_HR_Data[[#This Row],[Age]])))</f>
        <v>50</v>
      </c>
      <c r="N355" t="str">
        <f>IFERROR(_xlfn.XLOOKUP(tbl_HR_Data[[#This Row],[Gender]], Mapping[Gender _Discarded], Mapping[Gender_Correction]), PROPER(TRIM(tbl_HR_Data[[#This Row],[Gender]])))</f>
        <v>Female</v>
      </c>
      <c r="O355" t="str">
        <f>TRIM(tbl_HR_Data[[#This Row],[Position]])</f>
        <v>Director</v>
      </c>
      <c r="P355" t="str">
        <f>IFERROR(_xlfn.XLOOKUP(tbl_HR_Data[[#This Row],[Email]], Mapping[Email_Discarded], Mapping[Email_Correction]), LOWER(TRIM(tbl_HR_Data[[#This Row],[Email]])))</f>
        <v>email@example.com</v>
      </c>
      <c r="Q35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355" t="str" cm="1">
        <f t="array" ref="R355">_xlfn.REDUCE(Q355, {"-","/","_","\","(",")"}, _xlfn.LAMBDA(_xlpm.txt,_xlpm.itm, SUBSTITUTE(_xlpm.txt, _xlpm.itm, "")))</f>
        <v>5555555555</v>
      </c>
      <c r="S355" s="3">
        <f>IFERROR(_xlfn.XLOOKUP(tbl_HR_Data[[#This Row],[Joining Date]], Mapping[Joining_Discarded], Mapping[Joining_Correction]), VALUE(tbl_HR_Data[[#This Row],[Joining Date]]))</f>
        <v>43477</v>
      </c>
      <c r="T355" t="str">
        <f>TEXT(tbl_HR_Data[[#This Row],[Joining Date]], "mmm")</f>
        <v>Jan</v>
      </c>
      <c r="U355" t="str">
        <f>TEXT(tbl_HR_Data[[#This Row],[Joining Date]], "ddd")</f>
        <v>Sat</v>
      </c>
    </row>
    <row r="356" spans="1:21" x14ac:dyDescent="0.35">
      <c r="A356" t="s">
        <v>101</v>
      </c>
      <c r="B356">
        <v>30</v>
      </c>
      <c r="C356">
        <v>55000</v>
      </c>
      <c r="D356" t="s">
        <v>18</v>
      </c>
      <c r="E356" t="s">
        <v>37</v>
      </c>
      <c r="F356" t="s">
        <v>43</v>
      </c>
      <c r="G356" s="3">
        <v>43477</v>
      </c>
      <c r="H356" t="str">
        <f>TEXT(tbl_HR_Data[[#This Row],[Joining Date]], "mmm")</f>
        <v>Jan</v>
      </c>
      <c r="I356" t="s">
        <v>93</v>
      </c>
      <c r="J356" t="s">
        <v>41</v>
      </c>
      <c r="K356" t="s">
        <v>32</v>
      </c>
      <c r="L356" t="s">
        <v>89</v>
      </c>
      <c r="M356">
        <f>IFERROR( _xlfn.XLOOKUP(TRIM(tbl_HR_Data[[#This Row],[Age]]),#REF!,#REF!), VALUE(TRIM(tbl_HR_Data[[#This Row],[Age]])))</f>
        <v>30</v>
      </c>
      <c r="N356" t="str">
        <f>IFERROR(_xlfn.XLOOKUP(tbl_HR_Data[[#This Row],[Gender]], Mapping[Gender _Discarded], Mapping[Gender_Correction]), PROPER(TRIM(tbl_HR_Data[[#This Row],[Gender]])))</f>
        <v>Female</v>
      </c>
      <c r="O356" t="str">
        <f>TRIM(tbl_HR_Data[[#This Row],[Position]])</f>
        <v>Assistant</v>
      </c>
      <c r="P356" t="str">
        <f>IFERROR(_xlfn.XLOOKUP(tbl_HR_Data[[#This Row],[Email]], Mapping[Email_Discarded], Mapping[Email_Correction]), LOWER(TRIM(tbl_HR_Data[[#This Row],[Email]])))</f>
        <v>name@company.org</v>
      </c>
      <c r="Q35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356" t="str" cm="1">
        <f t="array" ref="R356">_xlfn.REDUCE(Q356, {"-","/","_","\","(",")"}, _xlfn.LAMBDA(_xlpm.txt,_xlpm.itm, SUBSTITUTE(_xlpm.txt, _xlpm.itm, "")))</f>
        <v>5555555555</v>
      </c>
      <c r="S356" s="3">
        <f>IFERROR(_xlfn.XLOOKUP(tbl_HR_Data[[#This Row],[Joining Date]], Mapping[Joining_Discarded], Mapping[Joining_Correction]), VALUE(tbl_HR_Data[[#This Row],[Joining Date]]))</f>
        <v>43477</v>
      </c>
      <c r="T356" t="str">
        <f>TEXT(tbl_HR_Data[[#This Row],[Joining Date]], "mmm")</f>
        <v>Jan</v>
      </c>
      <c r="U356" t="str">
        <f>TEXT(tbl_HR_Data[[#This Row],[Joining Date]], "ddd")</f>
        <v>Sat</v>
      </c>
    </row>
    <row r="357" spans="1:21" x14ac:dyDescent="0.35">
      <c r="A357" t="s">
        <v>106</v>
      </c>
      <c r="B357">
        <v>30</v>
      </c>
      <c r="C357">
        <v>65000</v>
      </c>
      <c r="D357" t="s">
        <v>11</v>
      </c>
      <c r="E357" t="s">
        <v>30</v>
      </c>
      <c r="F357" t="s">
        <v>13</v>
      </c>
      <c r="G357" s="3">
        <v>43477</v>
      </c>
      <c r="H357" t="str">
        <f>TEXT(tbl_HR_Data[[#This Row],[Joining Date]], "mmm")</f>
        <v>Jan</v>
      </c>
      <c r="I357" t="s">
        <v>93</v>
      </c>
      <c r="J357" t="s">
        <v>31</v>
      </c>
      <c r="K357" t="s">
        <v>77</v>
      </c>
      <c r="L357" t="s">
        <v>89</v>
      </c>
      <c r="M357">
        <f>IFERROR( _xlfn.XLOOKUP(TRIM(tbl_HR_Data[[#This Row],[Age]]),#REF!,#REF!), VALUE(TRIM(tbl_HR_Data[[#This Row],[Age]])))</f>
        <v>30</v>
      </c>
      <c r="N357" t="str">
        <f>IFERROR(_xlfn.XLOOKUP(tbl_HR_Data[[#This Row],[Gender]], Mapping[Gender _Discarded], Mapping[Gender_Correction]), PROPER(TRIM(tbl_HR_Data[[#This Row],[Gender]])))</f>
        <v>Male</v>
      </c>
      <c r="O357" t="str">
        <f>TRIM(tbl_HR_Data[[#This Row],[Position]])</f>
        <v>Manager</v>
      </c>
      <c r="P357" t="str">
        <f>IFERROR(_xlfn.XLOOKUP(tbl_HR_Data[[#This Row],[Email]], Mapping[Email_Discarded], Mapping[Email_Correction]), LOWER(TRIM(tbl_HR_Data[[#This Row],[Email]])))</f>
        <v>not provided</v>
      </c>
      <c r="Q35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357" t="str" cm="1">
        <f t="array" ref="R357">_xlfn.REDUCE(Q357, {"-","/","_","\","(",")"}, _xlfn.LAMBDA(_xlpm.txt,_xlpm.itm, SUBSTITUTE(_xlpm.txt, _xlpm.itm, "")))</f>
        <v>5555555555</v>
      </c>
      <c r="S357" s="3">
        <f>IFERROR(_xlfn.XLOOKUP(tbl_HR_Data[[#This Row],[Joining Date]], Mapping[Joining_Discarded], Mapping[Joining_Correction]), VALUE(tbl_HR_Data[[#This Row],[Joining Date]]))</f>
        <v>43477</v>
      </c>
      <c r="T357" t="str">
        <f>TEXT(tbl_HR_Data[[#This Row],[Joining Date]], "mmm")</f>
        <v>Jan</v>
      </c>
      <c r="U357" t="str">
        <f>TEXT(tbl_HR_Data[[#This Row],[Joining Date]], "ddd")</f>
        <v>Sat</v>
      </c>
    </row>
    <row r="358" spans="1:21" x14ac:dyDescent="0.35">
      <c r="A358" t="s">
        <v>105</v>
      </c>
      <c r="B358">
        <v>25</v>
      </c>
      <c r="C358">
        <v>50000</v>
      </c>
      <c r="D358" t="s">
        <v>11</v>
      </c>
      <c r="E358" t="s">
        <v>12</v>
      </c>
      <c r="F358" t="s">
        <v>43</v>
      </c>
      <c r="G358" s="3">
        <v>43477</v>
      </c>
      <c r="H358" t="str">
        <f>TEXT(tbl_HR_Data[[#This Row],[Joining Date]], "mmm")</f>
        <v>Jan</v>
      </c>
      <c r="I358" t="s">
        <v>93</v>
      </c>
      <c r="J358" t="s">
        <v>41</v>
      </c>
      <c r="K358" t="s">
        <v>32</v>
      </c>
      <c r="L358" t="s">
        <v>87</v>
      </c>
      <c r="M358">
        <f>IFERROR( _xlfn.XLOOKUP(TRIM(tbl_HR_Data[[#This Row],[Age]]),#REF!,#REF!), VALUE(TRIM(tbl_HR_Data[[#This Row],[Age]])))</f>
        <v>25</v>
      </c>
      <c r="N358" t="str">
        <f>IFERROR(_xlfn.XLOOKUP(tbl_HR_Data[[#This Row],[Gender]], Mapping[Gender _Discarded], Mapping[Gender_Correction]), PROPER(TRIM(tbl_HR_Data[[#This Row],[Gender]])))</f>
        <v>Male</v>
      </c>
      <c r="O358" t="str">
        <f>TRIM(tbl_HR_Data[[#This Row],[Position]])</f>
        <v>Assistant</v>
      </c>
      <c r="P358" t="str">
        <f>IFERROR(_xlfn.XLOOKUP(tbl_HR_Data[[#This Row],[Email]], Mapping[Email_Discarded], Mapping[Email_Correction]), LOWER(TRIM(tbl_HR_Data[[#This Row],[Email]])))</f>
        <v>name@company.org</v>
      </c>
      <c r="Q35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358" t="str" cm="1">
        <f t="array" ref="R358">_xlfn.REDUCE(Q358, {"-","/","_","\","(",")"}, _xlfn.LAMBDA(_xlpm.txt,_xlpm.itm, SUBSTITUTE(_xlpm.txt, _xlpm.itm, "")))</f>
        <v>1234567890</v>
      </c>
      <c r="S358" s="3">
        <f>IFERROR(_xlfn.XLOOKUP(tbl_HR_Data[[#This Row],[Joining Date]], Mapping[Joining_Discarded], Mapping[Joining_Correction]), VALUE(tbl_HR_Data[[#This Row],[Joining Date]]))</f>
        <v>43477</v>
      </c>
      <c r="T358" t="str">
        <f>TEXT(tbl_HR_Data[[#This Row],[Joining Date]], "mmm")</f>
        <v>Jan</v>
      </c>
      <c r="U358" t="str">
        <f>TEXT(tbl_HR_Data[[#This Row],[Joining Date]], "ddd")</f>
        <v>Sat</v>
      </c>
    </row>
    <row r="359" spans="1:21" x14ac:dyDescent="0.35">
      <c r="A359" t="s">
        <v>102</v>
      </c>
      <c r="B359">
        <v>30</v>
      </c>
      <c r="C359">
        <v>55000</v>
      </c>
      <c r="D359" t="s">
        <v>11</v>
      </c>
      <c r="E359" t="s">
        <v>12</v>
      </c>
      <c r="F359" t="s">
        <v>20</v>
      </c>
      <c r="G359" s="3">
        <v>43477</v>
      </c>
      <c r="H359" t="str">
        <f>TEXT(tbl_HR_Data[[#This Row],[Joining Date]], "mmm")</f>
        <v>Jan</v>
      </c>
      <c r="I359" t="s">
        <v>93</v>
      </c>
      <c r="J359" t="s">
        <v>21</v>
      </c>
      <c r="K359" t="s">
        <v>77</v>
      </c>
      <c r="L359" t="s">
        <v>77</v>
      </c>
      <c r="M359">
        <f>IFERROR( _xlfn.XLOOKUP(TRIM(tbl_HR_Data[[#This Row],[Age]]),#REF!,#REF!), VALUE(TRIM(tbl_HR_Data[[#This Row],[Age]])))</f>
        <v>30</v>
      </c>
      <c r="N359" t="str">
        <f>IFERROR(_xlfn.XLOOKUP(tbl_HR_Data[[#This Row],[Gender]], Mapping[Gender _Discarded], Mapping[Gender_Correction]), PROPER(TRIM(tbl_HR_Data[[#This Row],[Gender]])))</f>
        <v>Male</v>
      </c>
      <c r="O359" t="str">
        <f>TRIM(tbl_HR_Data[[#This Row],[Position]])</f>
        <v>Director</v>
      </c>
      <c r="P359" t="str">
        <f>IFERROR(_xlfn.XLOOKUP(tbl_HR_Data[[#This Row],[Email]], Mapping[Email_Discarded], Mapping[Email_Correction]), LOWER(TRIM(tbl_HR_Data[[#This Row],[Email]])))</f>
        <v>not provided</v>
      </c>
      <c r="Q35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59" t="str" cm="1">
        <f t="array" ref="R359">_xlfn.REDUCE(Q359, {"-","/","_","\","(",")"}, _xlfn.LAMBDA(_xlpm.txt,_xlpm.itm, SUBSTITUTE(_xlpm.txt, _xlpm.itm, "")))</f>
        <v>Not Provided</v>
      </c>
      <c r="S359" s="3">
        <f>IFERROR(_xlfn.XLOOKUP(tbl_HR_Data[[#This Row],[Joining Date]], Mapping[Joining_Discarded], Mapping[Joining_Correction]), VALUE(tbl_HR_Data[[#This Row],[Joining Date]]))</f>
        <v>43477</v>
      </c>
      <c r="T359" t="str">
        <f>TEXT(tbl_HR_Data[[#This Row],[Joining Date]], "mmm")</f>
        <v>Jan</v>
      </c>
      <c r="U359" t="str">
        <f>TEXT(tbl_HR_Data[[#This Row],[Joining Date]], "ddd")</f>
        <v>Sat</v>
      </c>
    </row>
    <row r="360" spans="1:21" x14ac:dyDescent="0.35">
      <c r="A360" t="s">
        <v>106</v>
      </c>
      <c r="B360">
        <v>50</v>
      </c>
      <c r="C360">
        <v>50000</v>
      </c>
      <c r="D360" t="s">
        <v>18</v>
      </c>
      <c r="E360" t="s">
        <v>19</v>
      </c>
      <c r="F360" t="s">
        <v>39</v>
      </c>
      <c r="G360" s="3">
        <v>43477</v>
      </c>
      <c r="H360" t="str">
        <f>TEXT(tbl_HR_Data[[#This Row],[Joining Date]], "mmm")</f>
        <v>Jan</v>
      </c>
      <c r="I360" t="s">
        <v>93</v>
      </c>
      <c r="J360" t="s">
        <v>41</v>
      </c>
      <c r="K360" t="s">
        <v>77</v>
      </c>
      <c r="L360" t="s">
        <v>89</v>
      </c>
      <c r="M360">
        <f>IFERROR( _xlfn.XLOOKUP(TRIM(tbl_HR_Data[[#This Row],[Age]]),#REF!,#REF!), VALUE(TRIM(tbl_HR_Data[[#This Row],[Age]])))</f>
        <v>50</v>
      </c>
      <c r="N360" t="str">
        <f>IFERROR(_xlfn.XLOOKUP(tbl_HR_Data[[#This Row],[Gender]], Mapping[Gender _Discarded], Mapping[Gender_Correction]), PROPER(TRIM(tbl_HR_Data[[#This Row],[Gender]])))</f>
        <v>Female</v>
      </c>
      <c r="O360" t="str">
        <f>TRIM(tbl_HR_Data[[#This Row],[Position]])</f>
        <v>Clerk</v>
      </c>
      <c r="P360" t="str">
        <f>IFERROR(_xlfn.XLOOKUP(tbl_HR_Data[[#This Row],[Email]], Mapping[Email_Discarded], Mapping[Email_Correction]), LOWER(TRIM(tbl_HR_Data[[#This Row],[Email]])))</f>
        <v>not provided</v>
      </c>
      <c r="Q36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360" t="str" cm="1">
        <f t="array" ref="R360">_xlfn.REDUCE(Q360, {"-","/","_","\","(",")"}, _xlfn.LAMBDA(_xlpm.txt,_xlpm.itm, SUBSTITUTE(_xlpm.txt, _xlpm.itm, "")))</f>
        <v>5555555555</v>
      </c>
      <c r="S360" s="3">
        <f>IFERROR(_xlfn.XLOOKUP(tbl_HR_Data[[#This Row],[Joining Date]], Mapping[Joining_Discarded], Mapping[Joining_Correction]), VALUE(tbl_HR_Data[[#This Row],[Joining Date]]))</f>
        <v>43477</v>
      </c>
      <c r="T360" t="str">
        <f>TEXT(tbl_HR_Data[[#This Row],[Joining Date]], "mmm")</f>
        <v>Jan</v>
      </c>
      <c r="U360" t="str">
        <f>TEXT(tbl_HR_Data[[#This Row],[Joining Date]], "ddd")</f>
        <v>Sat</v>
      </c>
    </row>
    <row r="361" spans="1:21" x14ac:dyDescent="0.35">
      <c r="A361" t="s">
        <v>103</v>
      </c>
      <c r="B361">
        <v>40</v>
      </c>
      <c r="C361">
        <v>50000</v>
      </c>
      <c r="D361" t="s">
        <v>11</v>
      </c>
      <c r="E361" t="s">
        <v>26</v>
      </c>
      <c r="F361" t="s">
        <v>44</v>
      </c>
      <c r="G361" s="3">
        <v>43477</v>
      </c>
      <c r="H361" t="str">
        <f>TEXT(tbl_HR_Data[[#This Row],[Joining Date]], "mmm")</f>
        <v>Jan</v>
      </c>
      <c r="I361" t="s">
        <v>93</v>
      </c>
      <c r="J361" t="s">
        <v>31</v>
      </c>
      <c r="K361" t="s">
        <v>32</v>
      </c>
      <c r="L361" t="s">
        <v>89</v>
      </c>
      <c r="M361">
        <f>IFERROR( _xlfn.XLOOKUP(TRIM(tbl_HR_Data[[#This Row],[Age]]),#REF!,#REF!), VALUE(TRIM(tbl_HR_Data[[#This Row],[Age]])))</f>
        <v>40</v>
      </c>
      <c r="N361" t="str">
        <f>IFERROR(_xlfn.XLOOKUP(tbl_HR_Data[[#This Row],[Gender]], Mapping[Gender _Discarded], Mapping[Gender_Correction]), PROPER(TRIM(tbl_HR_Data[[#This Row],[Gender]])))</f>
        <v>Male</v>
      </c>
      <c r="O361" t="str">
        <f>TRIM(tbl_HR_Data[[#This Row],[Position]])</f>
        <v>Analyst</v>
      </c>
      <c r="P361" t="str">
        <f>IFERROR(_xlfn.XLOOKUP(tbl_HR_Data[[#This Row],[Email]], Mapping[Email_Discarded], Mapping[Email_Correction]), LOWER(TRIM(tbl_HR_Data[[#This Row],[Email]])))</f>
        <v>name@company.org</v>
      </c>
      <c r="Q36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361" t="str" cm="1">
        <f t="array" ref="R361">_xlfn.REDUCE(Q361, {"-","/","_","\","(",")"}, _xlfn.LAMBDA(_xlpm.txt,_xlpm.itm, SUBSTITUTE(_xlpm.txt, _xlpm.itm, "")))</f>
        <v>5555555555</v>
      </c>
      <c r="S361" s="3">
        <f>IFERROR(_xlfn.XLOOKUP(tbl_HR_Data[[#This Row],[Joining Date]], Mapping[Joining_Discarded], Mapping[Joining_Correction]), VALUE(tbl_HR_Data[[#This Row],[Joining Date]]))</f>
        <v>43477</v>
      </c>
      <c r="T361" t="str">
        <f>TEXT(tbl_HR_Data[[#This Row],[Joining Date]], "mmm")</f>
        <v>Jan</v>
      </c>
      <c r="U361" t="str">
        <f>TEXT(tbl_HR_Data[[#This Row],[Joining Date]], "ddd")</f>
        <v>Sat</v>
      </c>
    </row>
    <row r="362" spans="1:21" x14ac:dyDescent="0.35">
      <c r="A362" t="s">
        <v>104</v>
      </c>
      <c r="B362">
        <v>35</v>
      </c>
      <c r="C362">
        <v>50000</v>
      </c>
      <c r="D362" t="s">
        <v>11</v>
      </c>
      <c r="E362" t="s">
        <v>30</v>
      </c>
      <c r="F362" t="s">
        <v>20</v>
      </c>
      <c r="G362" s="3">
        <v>43477</v>
      </c>
      <c r="H362" t="str">
        <f>TEXT(tbl_HR_Data[[#This Row],[Joining Date]], "mmm")</f>
        <v>Jan</v>
      </c>
      <c r="I362" t="s">
        <v>93</v>
      </c>
      <c r="J362" t="s">
        <v>41</v>
      </c>
      <c r="K362" t="s">
        <v>77</v>
      </c>
      <c r="L362" t="s">
        <v>89</v>
      </c>
      <c r="M362">
        <f>IFERROR( _xlfn.XLOOKUP(TRIM(tbl_HR_Data[[#This Row],[Age]]),#REF!,#REF!), VALUE(TRIM(tbl_HR_Data[[#This Row],[Age]])))</f>
        <v>35</v>
      </c>
      <c r="N362" t="str">
        <f>IFERROR(_xlfn.XLOOKUP(tbl_HR_Data[[#This Row],[Gender]], Mapping[Gender _Discarded], Mapping[Gender_Correction]), PROPER(TRIM(tbl_HR_Data[[#This Row],[Gender]])))</f>
        <v>Male</v>
      </c>
      <c r="O362" t="str">
        <f>TRIM(tbl_HR_Data[[#This Row],[Position]])</f>
        <v>Director</v>
      </c>
      <c r="P362" t="str">
        <f>IFERROR(_xlfn.XLOOKUP(tbl_HR_Data[[#This Row],[Email]], Mapping[Email_Discarded], Mapping[Email_Correction]), LOWER(TRIM(tbl_HR_Data[[#This Row],[Email]])))</f>
        <v>not provided</v>
      </c>
      <c r="Q36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362" t="str" cm="1">
        <f t="array" ref="R362">_xlfn.REDUCE(Q362, {"-","/","_","\","(",")"}, _xlfn.LAMBDA(_xlpm.txt,_xlpm.itm, SUBSTITUTE(_xlpm.txt, _xlpm.itm, "")))</f>
        <v>5555555555</v>
      </c>
      <c r="S362" s="3">
        <f>IFERROR(_xlfn.XLOOKUP(tbl_HR_Data[[#This Row],[Joining Date]], Mapping[Joining_Discarded], Mapping[Joining_Correction]), VALUE(tbl_HR_Data[[#This Row],[Joining Date]]))</f>
        <v>43477</v>
      </c>
      <c r="T362" t="str">
        <f>TEXT(tbl_HR_Data[[#This Row],[Joining Date]], "mmm")</f>
        <v>Jan</v>
      </c>
      <c r="U362" t="str">
        <f>TEXT(tbl_HR_Data[[#This Row],[Joining Date]], "ddd")</f>
        <v>Sat</v>
      </c>
    </row>
    <row r="363" spans="1:21" x14ac:dyDescent="0.35">
      <c r="A363" t="s">
        <v>106</v>
      </c>
      <c r="B363">
        <v>30</v>
      </c>
      <c r="C363">
        <v>55000</v>
      </c>
      <c r="D363" t="s">
        <v>11</v>
      </c>
      <c r="E363" t="s">
        <v>37</v>
      </c>
      <c r="F363" t="s">
        <v>44</v>
      </c>
      <c r="G363" s="3">
        <v>43477</v>
      </c>
      <c r="H363" t="str">
        <f>TEXT(tbl_HR_Data[[#This Row],[Joining Date]], "mmm")</f>
        <v>Jan</v>
      </c>
      <c r="I363" t="s">
        <v>93</v>
      </c>
      <c r="J363" t="s">
        <v>31</v>
      </c>
      <c r="K363" t="s">
        <v>77</v>
      </c>
      <c r="L363" t="s">
        <v>77</v>
      </c>
      <c r="M363">
        <f>IFERROR( _xlfn.XLOOKUP(TRIM(tbl_HR_Data[[#This Row],[Age]]),#REF!,#REF!), VALUE(TRIM(tbl_HR_Data[[#This Row],[Age]])))</f>
        <v>30</v>
      </c>
      <c r="N363" t="str">
        <f>IFERROR(_xlfn.XLOOKUP(tbl_HR_Data[[#This Row],[Gender]], Mapping[Gender _Discarded], Mapping[Gender_Correction]), PROPER(TRIM(tbl_HR_Data[[#This Row],[Gender]])))</f>
        <v>Male</v>
      </c>
      <c r="O363" t="str">
        <f>TRIM(tbl_HR_Data[[#This Row],[Position]])</f>
        <v>Analyst</v>
      </c>
      <c r="P363" t="str">
        <f>IFERROR(_xlfn.XLOOKUP(tbl_HR_Data[[#This Row],[Email]], Mapping[Email_Discarded], Mapping[Email_Correction]), LOWER(TRIM(tbl_HR_Data[[#This Row],[Email]])))</f>
        <v>not provided</v>
      </c>
      <c r="Q36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63" t="str" cm="1">
        <f t="array" ref="R363">_xlfn.REDUCE(Q363, {"-","/","_","\","(",")"}, _xlfn.LAMBDA(_xlpm.txt,_xlpm.itm, SUBSTITUTE(_xlpm.txt, _xlpm.itm, "")))</f>
        <v>Not Provided</v>
      </c>
      <c r="S363" s="3">
        <f>IFERROR(_xlfn.XLOOKUP(tbl_HR_Data[[#This Row],[Joining Date]], Mapping[Joining_Discarded], Mapping[Joining_Correction]), VALUE(tbl_HR_Data[[#This Row],[Joining Date]]))</f>
        <v>43477</v>
      </c>
      <c r="T363" t="str">
        <f>TEXT(tbl_HR_Data[[#This Row],[Joining Date]], "mmm")</f>
        <v>Jan</v>
      </c>
      <c r="U363" t="str">
        <f>TEXT(tbl_HR_Data[[#This Row],[Joining Date]], "ddd")</f>
        <v>Sat</v>
      </c>
    </row>
    <row r="364" spans="1:21" x14ac:dyDescent="0.35">
      <c r="A364" t="s">
        <v>105</v>
      </c>
      <c r="B364">
        <v>40</v>
      </c>
      <c r="C364">
        <v>55000</v>
      </c>
      <c r="D364" t="s">
        <v>36</v>
      </c>
      <c r="E364" t="s">
        <v>30</v>
      </c>
      <c r="F364" t="s">
        <v>13</v>
      </c>
      <c r="G364" s="3">
        <v>43477</v>
      </c>
      <c r="H364" t="str">
        <f>TEXT(tbl_HR_Data[[#This Row],[Joining Date]], "mmm")</f>
        <v>Jan</v>
      </c>
      <c r="I364" t="s">
        <v>93</v>
      </c>
      <c r="J364" t="s">
        <v>21</v>
      </c>
      <c r="K364" t="s">
        <v>15</v>
      </c>
      <c r="L364" t="s">
        <v>88</v>
      </c>
      <c r="M364">
        <f>IFERROR( _xlfn.XLOOKUP(TRIM(tbl_HR_Data[[#This Row],[Age]]),#REF!,#REF!), VALUE(TRIM(tbl_HR_Data[[#This Row],[Age]])))</f>
        <v>40</v>
      </c>
      <c r="N364" t="str">
        <f>IFERROR(_xlfn.XLOOKUP(tbl_HR_Data[[#This Row],[Gender]], Mapping[Gender _Discarded], Mapping[Gender_Correction]), PROPER(TRIM(tbl_HR_Data[[#This Row],[Gender]])))</f>
        <v>Other</v>
      </c>
      <c r="O364" t="str">
        <f>TRIM(tbl_HR_Data[[#This Row],[Position]])</f>
        <v>Manager</v>
      </c>
      <c r="P364" t="str">
        <f>IFERROR(_xlfn.XLOOKUP(tbl_HR_Data[[#This Row],[Email]], Mapping[Email_Discarded], Mapping[Email_Correction]), LOWER(TRIM(tbl_HR_Data[[#This Row],[Email]])))</f>
        <v>email@example.com</v>
      </c>
      <c r="Q36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364" t="str" cm="1">
        <f t="array" ref="R364">_xlfn.REDUCE(Q364, {"-","/","_","\","(",")"}, _xlfn.LAMBDA(_xlpm.txt,_xlpm.itm, SUBSTITUTE(_xlpm.txt, _xlpm.itm, "")))</f>
        <v>0987654321</v>
      </c>
      <c r="S364" s="3">
        <f>IFERROR(_xlfn.XLOOKUP(tbl_HR_Data[[#This Row],[Joining Date]], Mapping[Joining_Discarded], Mapping[Joining_Correction]), VALUE(tbl_HR_Data[[#This Row],[Joining Date]]))</f>
        <v>43477</v>
      </c>
      <c r="T364" t="str">
        <f>TEXT(tbl_HR_Data[[#This Row],[Joining Date]], "mmm")</f>
        <v>Jan</v>
      </c>
      <c r="U364" t="str">
        <f>TEXT(tbl_HR_Data[[#This Row],[Joining Date]], "ddd")</f>
        <v>Sat</v>
      </c>
    </row>
    <row r="365" spans="1:21" x14ac:dyDescent="0.35">
      <c r="A365" t="s">
        <v>100</v>
      </c>
      <c r="B365">
        <v>25</v>
      </c>
      <c r="C365">
        <v>50000</v>
      </c>
      <c r="D365" t="s">
        <v>11</v>
      </c>
      <c r="E365" t="s">
        <v>37</v>
      </c>
      <c r="F365" t="s">
        <v>13</v>
      </c>
      <c r="G365" s="3">
        <v>43477</v>
      </c>
      <c r="H365" t="str">
        <f>TEXT(tbl_HR_Data[[#This Row],[Joining Date]], "mmm")</f>
        <v>Jan</v>
      </c>
      <c r="I365" t="s">
        <v>93</v>
      </c>
      <c r="J365" t="s">
        <v>31</v>
      </c>
      <c r="K365" t="s">
        <v>22</v>
      </c>
      <c r="L365" t="s">
        <v>87</v>
      </c>
      <c r="M365">
        <f>IFERROR( _xlfn.XLOOKUP(TRIM(tbl_HR_Data[[#This Row],[Age]]),#REF!,#REF!), VALUE(TRIM(tbl_HR_Data[[#This Row],[Age]])))</f>
        <v>25</v>
      </c>
      <c r="N365" t="str">
        <f>IFERROR(_xlfn.XLOOKUP(tbl_HR_Data[[#This Row],[Gender]], Mapping[Gender _Discarded], Mapping[Gender_Correction]), PROPER(TRIM(tbl_HR_Data[[#This Row],[Gender]])))</f>
        <v>Male</v>
      </c>
      <c r="O365" t="str">
        <f>TRIM(tbl_HR_Data[[#This Row],[Position]])</f>
        <v>Manager</v>
      </c>
      <c r="P365" t="str">
        <f>IFERROR(_xlfn.XLOOKUP(tbl_HR_Data[[#This Row],[Email]], Mapping[Email_Discarded], Mapping[Email_Correction]), LOWER(TRIM(tbl_HR_Data[[#This Row],[Email]])))</f>
        <v>user@domain.com</v>
      </c>
      <c r="Q36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365" t="str" cm="1">
        <f t="array" ref="R365">_xlfn.REDUCE(Q365, {"-","/","_","\","(",")"}, _xlfn.LAMBDA(_xlpm.txt,_xlpm.itm, SUBSTITUTE(_xlpm.txt, _xlpm.itm, "")))</f>
        <v>1234567890</v>
      </c>
      <c r="S365" s="3">
        <f>IFERROR(_xlfn.XLOOKUP(tbl_HR_Data[[#This Row],[Joining Date]], Mapping[Joining_Discarded], Mapping[Joining_Correction]), VALUE(tbl_HR_Data[[#This Row],[Joining Date]]))</f>
        <v>43477</v>
      </c>
      <c r="T365" t="str">
        <f>TEXT(tbl_HR_Data[[#This Row],[Joining Date]], "mmm")</f>
        <v>Jan</v>
      </c>
      <c r="U365" t="str">
        <f>TEXT(tbl_HR_Data[[#This Row],[Joining Date]], "ddd")</f>
        <v>Sat</v>
      </c>
    </row>
    <row r="366" spans="1:21" x14ac:dyDescent="0.35">
      <c r="A366" t="s">
        <v>104</v>
      </c>
      <c r="B366">
        <v>0</v>
      </c>
      <c r="C366">
        <v>70000</v>
      </c>
      <c r="D366" t="s">
        <v>36</v>
      </c>
      <c r="E366" t="s">
        <v>30</v>
      </c>
      <c r="F366" t="s">
        <v>44</v>
      </c>
      <c r="G366" s="3">
        <v>43477</v>
      </c>
      <c r="H366" t="str">
        <f>TEXT(tbl_HR_Data[[#This Row],[Joining Date]], "mmm")</f>
        <v>Jan</v>
      </c>
      <c r="I366" t="s">
        <v>93</v>
      </c>
      <c r="J366" t="s">
        <v>27</v>
      </c>
      <c r="K366" t="s">
        <v>77</v>
      </c>
      <c r="L366" t="s">
        <v>88</v>
      </c>
      <c r="M366">
        <f>IFERROR( _xlfn.XLOOKUP(TRIM(tbl_HR_Data[[#This Row],[Age]]),#REF!,#REF!), VALUE(TRIM(tbl_HR_Data[[#This Row],[Age]])))</f>
        <v>0</v>
      </c>
      <c r="N366" t="str">
        <f>IFERROR(_xlfn.XLOOKUP(tbl_HR_Data[[#This Row],[Gender]], Mapping[Gender _Discarded], Mapping[Gender_Correction]), PROPER(TRIM(tbl_HR_Data[[#This Row],[Gender]])))</f>
        <v>Other</v>
      </c>
      <c r="O366" t="str">
        <f>TRIM(tbl_HR_Data[[#This Row],[Position]])</f>
        <v>Analyst</v>
      </c>
      <c r="P366" t="str">
        <f>IFERROR(_xlfn.XLOOKUP(tbl_HR_Data[[#This Row],[Email]], Mapping[Email_Discarded], Mapping[Email_Correction]), LOWER(TRIM(tbl_HR_Data[[#This Row],[Email]])))</f>
        <v>not provided</v>
      </c>
      <c r="Q36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366" t="str" cm="1">
        <f t="array" ref="R366">_xlfn.REDUCE(Q366, {"-","/","_","\","(",")"}, _xlfn.LAMBDA(_xlpm.txt,_xlpm.itm, SUBSTITUTE(_xlpm.txt, _xlpm.itm, "")))</f>
        <v>0987654321</v>
      </c>
      <c r="S366" s="3">
        <f>IFERROR(_xlfn.XLOOKUP(tbl_HR_Data[[#This Row],[Joining Date]], Mapping[Joining_Discarded], Mapping[Joining_Correction]), VALUE(tbl_HR_Data[[#This Row],[Joining Date]]))</f>
        <v>43477</v>
      </c>
      <c r="T366" t="str">
        <f>TEXT(tbl_HR_Data[[#This Row],[Joining Date]], "mmm")</f>
        <v>Jan</v>
      </c>
      <c r="U366" t="str">
        <f>TEXT(tbl_HR_Data[[#This Row],[Joining Date]], "ddd")</f>
        <v>Sat</v>
      </c>
    </row>
    <row r="367" spans="1:21" x14ac:dyDescent="0.35">
      <c r="A367" t="s">
        <v>100</v>
      </c>
      <c r="B367">
        <v>50</v>
      </c>
      <c r="C367">
        <v>55000</v>
      </c>
      <c r="D367" t="s">
        <v>11</v>
      </c>
      <c r="E367" t="s">
        <v>12</v>
      </c>
      <c r="F367" t="s">
        <v>43</v>
      </c>
      <c r="G367" s="3">
        <v>43477</v>
      </c>
      <c r="H367" t="str">
        <f>TEXT(tbl_HR_Data[[#This Row],[Joining Date]], "mmm")</f>
        <v>Jan</v>
      </c>
      <c r="I367" t="s">
        <v>93</v>
      </c>
      <c r="J367" t="s">
        <v>31</v>
      </c>
      <c r="K367" t="s">
        <v>15</v>
      </c>
      <c r="L367" t="s">
        <v>88</v>
      </c>
      <c r="M367">
        <f>IFERROR( _xlfn.XLOOKUP(TRIM(tbl_HR_Data[[#This Row],[Age]]),#REF!,#REF!), VALUE(TRIM(tbl_HR_Data[[#This Row],[Age]])))</f>
        <v>50</v>
      </c>
      <c r="N367" t="str">
        <f>IFERROR(_xlfn.XLOOKUP(tbl_HR_Data[[#This Row],[Gender]], Mapping[Gender _Discarded], Mapping[Gender_Correction]), PROPER(TRIM(tbl_HR_Data[[#This Row],[Gender]])))</f>
        <v>Male</v>
      </c>
      <c r="O367" t="str">
        <f>TRIM(tbl_HR_Data[[#This Row],[Position]])</f>
        <v>Assistant</v>
      </c>
      <c r="P367" t="str">
        <f>IFERROR(_xlfn.XLOOKUP(tbl_HR_Data[[#This Row],[Email]], Mapping[Email_Discarded], Mapping[Email_Correction]), LOWER(TRIM(tbl_HR_Data[[#This Row],[Email]])))</f>
        <v>email@example.com</v>
      </c>
      <c r="Q36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367" t="str" cm="1">
        <f t="array" ref="R367">_xlfn.REDUCE(Q367, {"-","/","_","\","(",")"}, _xlfn.LAMBDA(_xlpm.txt,_xlpm.itm, SUBSTITUTE(_xlpm.txt, _xlpm.itm, "")))</f>
        <v>0987654321</v>
      </c>
      <c r="S367" s="3">
        <f>IFERROR(_xlfn.XLOOKUP(tbl_HR_Data[[#This Row],[Joining Date]], Mapping[Joining_Discarded], Mapping[Joining_Correction]), VALUE(tbl_HR_Data[[#This Row],[Joining Date]]))</f>
        <v>43477</v>
      </c>
      <c r="T367" t="str">
        <f>TEXT(tbl_HR_Data[[#This Row],[Joining Date]], "mmm")</f>
        <v>Jan</v>
      </c>
      <c r="U367" t="str">
        <f>TEXT(tbl_HR_Data[[#This Row],[Joining Date]], "ddd")</f>
        <v>Sat</v>
      </c>
    </row>
    <row r="368" spans="1:21" x14ac:dyDescent="0.35">
      <c r="A368" t="s">
        <v>100</v>
      </c>
      <c r="B368">
        <v>40</v>
      </c>
      <c r="C368">
        <v>55000</v>
      </c>
      <c r="D368" t="s">
        <v>18</v>
      </c>
      <c r="E368" t="s">
        <v>37</v>
      </c>
      <c r="F368" t="s">
        <v>44</v>
      </c>
      <c r="G368" s="3">
        <v>43477</v>
      </c>
      <c r="H368" t="str">
        <f>TEXT(tbl_HR_Data[[#This Row],[Joining Date]], "mmm")</f>
        <v>Jan</v>
      </c>
      <c r="I368" t="s">
        <v>93</v>
      </c>
      <c r="J368" t="s">
        <v>41</v>
      </c>
      <c r="K368" t="s">
        <v>77</v>
      </c>
      <c r="L368" t="s">
        <v>77</v>
      </c>
      <c r="M368">
        <f>IFERROR( _xlfn.XLOOKUP(TRIM(tbl_HR_Data[[#This Row],[Age]]),#REF!,#REF!), VALUE(TRIM(tbl_HR_Data[[#This Row],[Age]])))</f>
        <v>40</v>
      </c>
      <c r="N368" t="str">
        <f>IFERROR(_xlfn.XLOOKUP(tbl_HR_Data[[#This Row],[Gender]], Mapping[Gender _Discarded], Mapping[Gender_Correction]), PROPER(TRIM(tbl_HR_Data[[#This Row],[Gender]])))</f>
        <v>Female</v>
      </c>
      <c r="O368" t="str">
        <f>TRIM(tbl_HR_Data[[#This Row],[Position]])</f>
        <v>Analyst</v>
      </c>
      <c r="P368" t="str">
        <f>IFERROR(_xlfn.XLOOKUP(tbl_HR_Data[[#This Row],[Email]], Mapping[Email_Discarded], Mapping[Email_Correction]), LOWER(TRIM(tbl_HR_Data[[#This Row],[Email]])))</f>
        <v>not provided</v>
      </c>
      <c r="Q36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68" t="str" cm="1">
        <f t="array" ref="R368">_xlfn.REDUCE(Q368, {"-","/","_","\","(",")"}, _xlfn.LAMBDA(_xlpm.txt,_xlpm.itm, SUBSTITUTE(_xlpm.txt, _xlpm.itm, "")))</f>
        <v>Not Provided</v>
      </c>
      <c r="S368" s="3">
        <f>IFERROR(_xlfn.XLOOKUP(tbl_HR_Data[[#This Row],[Joining Date]], Mapping[Joining_Discarded], Mapping[Joining_Correction]), VALUE(tbl_HR_Data[[#This Row],[Joining Date]]))</f>
        <v>43477</v>
      </c>
      <c r="T368" t="str">
        <f>TEXT(tbl_HR_Data[[#This Row],[Joining Date]], "mmm")</f>
        <v>Jan</v>
      </c>
      <c r="U368" t="str">
        <f>TEXT(tbl_HR_Data[[#This Row],[Joining Date]], "ddd")</f>
        <v>Sat</v>
      </c>
    </row>
    <row r="369" spans="1:21" x14ac:dyDescent="0.35">
      <c r="A369" t="s">
        <v>103</v>
      </c>
      <c r="B369">
        <v>50</v>
      </c>
      <c r="C369">
        <v>65000</v>
      </c>
      <c r="D369" t="s">
        <v>18</v>
      </c>
      <c r="E369" t="s">
        <v>30</v>
      </c>
      <c r="F369" t="s">
        <v>44</v>
      </c>
      <c r="G369" s="3">
        <v>43477</v>
      </c>
      <c r="H369" t="str">
        <f>TEXT(tbl_HR_Data[[#This Row],[Joining Date]], "mmm")</f>
        <v>Jan</v>
      </c>
      <c r="I369" t="s">
        <v>93</v>
      </c>
      <c r="J369" t="s">
        <v>27</v>
      </c>
      <c r="K369" t="s">
        <v>32</v>
      </c>
      <c r="L369" t="s">
        <v>77</v>
      </c>
      <c r="M369">
        <f>IFERROR( _xlfn.XLOOKUP(TRIM(tbl_HR_Data[[#This Row],[Age]]),#REF!,#REF!), VALUE(TRIM(tbl_HR_Data[[#This Row],[Age]])))</f>
        <v>50</v>
      </c>
      <c r="N369" t="str">
        <f>IFERROR(_xlfn.XLOOKUP(tbl_HR_Data[[#This Row],[Gender]], Mapping[Gender _Discarded], Mapping[Gender_Correction]), PROPER(TRIM(tbl_HR_Data[[#This Row],[Gender]])))</f>
        <v>Female</v>
      </c>
      <c r="O369" t="str">
        <f>TRIM(tbl_HR_Data[[#This Row],[Position]])</f>
        <v>Analyst</v>
      </c>
      <c r="P369" t="str">
        <f>IFERROR(_xlfn.XLOOKUP(tbl_HR_Data[[#This Row],[Email]], Mapping[Email_Discarded], Mapping[Email_Correction]), LOWER(TRIM(tbl_HR_Data[[#This Row],[Email]])))</f>
        <v>name@company.org</v>
      </c>
      <c r="Q36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69" t="str" cm="1">
        <f t="array" ref="R369">_xlfn.REDUCE(Q369, {"-","/","_","\","(",")"}, _xlfn.LAMBDA(_xlpm.txt,_xlpm.itm, SUBSTITUTE(_xlpm.txt, _xlpm.itm, "")))</f>
        <v>Not Provided</v>
      </c>
      <c r="S369" s="3">
        <f>IFERROR(_xlfn.XLOOKUP(tbl_HR_Data[[#This Row],[Joining Date]], Mapping[Joining_Discarded], Mapping[Joining_Correction]), VALUE(tbl_HR_Data[[#This Row],[Joining Date]]))</f>
        <v>43477</v>
      </c>
      <c r="T369" t="str">
        <f>TEXT(tbl_HR_Data[[#This Row],[Joining Date]], "mmm")</f>
        <v>Jan</v>
      </c>
      <c r="U369" t="str">
        <f>TEXT(tbl_HR_Data[[#This Row],[Joining Date]], "ddd")</f>
        <v>Sat</v>
      </c>
    </row>
    <row r="370" spans="1:21" x14ac:dyDescent="0.35">
      <c r="A370" t="s">
        <v>104</v>
      </c>
      <c r="B370">
        <v>0</v>
      </c>
      <c r="C370">
        <v>0</v>
      </c>
      <c r="D370" t="s">
        <v>11</v>
      </c>
      <c r="E370" t="s">
        <v>26</v>
      </c>
      <c r="F370" t="s">
        <v>13</v>
      </c>
      <c r="G370" s="3">
        <v>43477</v>
      </c>
      <c r="H370" t="str">
        <f>TEXT(tbl_HR_Data[[#This Row],[Joining Date]], "mmm")</f>
        <v>Jan</v>
      </c>
      <c r="I370" t="s">
        <v>93</v>
      </c>
      <c r="J370" t="s">
        <v>31</v>
      </c>
      <c r="K370" t="s">
        <v>15</v>
      </c>
      <c r="L370" t="s">
        <v>88</v>
      </c>
      <c r="M370">
        <f>IFERROR( _xlfn.XLOOKUP(TRIM(tbl_HR_Data[[#This Row],[Age]]),#REF!,#REF!), VALUE(TRIM(tbl_HR_Data[[#This Row],[Age]])))</f>
        <v>0</v>
      </c>
      <c r="N370" t="str">
        <f>IFERROR(_xlfn.XLOOKUP(tbl_HR_Data[[#This Row],[Gender]], Mapping[Gender _Discarded], Mapping[Gender_Correction]), PROPER(TRIM(tbl_HR_Data[[#This Row],[Gender]])))</f>
        <v>Male</v>
      </c>
      <c r="O370" t="str">
        <f>TRIM(tbl_HR_Data[[#This Row],[Position]])</f>
        <v>Manager</v>
      </c>
      <c r="P370" t="str">
        <f>IFERROR(_xlfn.XLOOKUP(tbl_HR_Data[[#This Row],[Email]], Mapping[Email_Discarded], Mapping[Email_Correction]), LOWER(TRIM(tbl_HR_Data[[#This Row],[Email]])))</f>
        <v>email@example.com</v>
      </c>
      <c r="Q37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370" t="str" cm="1">
        <f t="array" ref="R370">_xlfn.REDUCE(Q370, {"-","/","_","\","(",")"}, _xlfn.LAMBDA(_xlpm.txt,_xlpm.itm, SUBSTITUTE(_xlpm.txt, _xlpm.itm, "")))</f>
        <v>0987654321</v>
      </c>
      <c r="S370" s="3">
        <f>IFERROR(_xlfn.XLOOKUP(tbl_HR_Data[[#This Row],[Joining Date]], Mapping[Joining_Discarded], Mapping[Joining_Correction]), VALUE(tbl_HR_Data[[#This Row],[Joining Date]]))</f>
        <v>43477</v>
      </c>
      <c r="T370" t="str">
        <f>TEXT(tbl_HR_Data[[#This Row],[Joining Date]], "mmm")</f>
        <v>Jan</v>
      </c>
      <c r="U370" t="str">
        <f>TEXT(tbl_HR_Data[[#This Row],[Joining Date]], "ddd")</f>
        <v>Sat</v>
      </c>
    </row>
    <row r="371" spans="1:21" x14ac:dyDescent="0.35">
      <c r="A371" t="s">
        <v>108</v>
      </c>
      <c r="B371">
        <v>0</v>
      </c>
      <c r="C371">
        <v>65000</v>
      </c>
      <c r="D371" t="s">
        <v>36</v>
      </c>
      <c r="E371" t="s">
        <v>19</v>
      </c>
      <c r="F371" t="s">
        <v>43</v>
      </c>
      <c r="G371" s="3">
        <v>43477</v>
      </c>
      <c r="H371" t="str">
        <f>TEXT(tbl_HR_Data[[#This Row],[Joining Date]], "mmm")</f>
        <v>Jan</v>
      </c>
      <c r="I371" t="s">
        <v>93</v>
      </c>
      <c r="J371" t="s">
        <v>14</v>
      </c>
      <c r="K371" t="s">
        <v>22</v>
      </c>
      <c r="L371" t="s">
        <v>88</v>
      </c>
      <c r="M371">
        <f>IFERROR( _xlfn.XLOOKUP(TRIM(tbl_HR_Data[[#This Row],[Age]]),#REF!,#REF!), VALUE(TRIM(tbl_HR_Data[[#This Row],[Age]])))</f>
        <v>0</v>
      </c>
      <c r="N371" t="str">
        <f>IFERROR(_xlfn.XLOOKUP(tbl_HR_Data[[#This Row],[Gender]], Mapping[Gender _Discarded], Mapping[Gender_Correction]), PROPER(TRIM(tbl_HR_Data[[#This Row],[Gender]])))</f>
        <v>Other</v>
      </c>
      <c r="O371" t="str">
        <f>TRIM(tbl_HR_Data[[#This Row],[Position]])</f>
        <v>Assistant</v>
      </c>
      <c r="P371" t="str">
        <f>IFERROR(_xlfn.XLOOKUP(tbl_HR_Data[[#This Row],[Email]], Mapping[Email_Discarded], Mapping[Email_Correction]), LOWER(TRIM(tbl_HR_Data[[#This Row],[Email]])))</f>
        <v>user@domain.com</v>
      </c>
      <c r="Q37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371" t="str" cm="1">
        <f t="array" ref="R371">_xlfn.REDUCE(Q371, {"-","/","_","\","(",")"}, _xlfn.LAMBDA(_xlpm.txt,_xlpm.itm, SUBSTITUTE(_xlpm.txt, _xlpm.itm, "")))</f>
        <v>0987654321</v>
      </c>
      <c r="S371" s="3">
        <f>IFERROR(_xlfn.XLOOKUP(tbl_HR_Data[[#This Row],[Joining Date]], Mapping[Joining_Discarded], Mapping[Joining_Correction]), VALUE(tbl_HR_Data[[#This Row],[Joining Date]]))</f>
        <v>43477</v>
      </c>
      <c r="T371" t="str">
        <f>TEXT(tbl_HR_Data[[#This Row],[Joining Date]], "mmm")</f>
        <v>Jan</v>
      </c>
      <c r="U371" t="str">
        <f>TEXT(tbl_HR_Data[[#This Row],[Joining Date]], "ddd")</f>
        <v>Sat</v>
      </c>
    </row>
    <row r="372" spans="1:21" x14ac:dyDescent="0.35">
      <c r="A372" t="s">
        <v>101</v>
      </c>
      <c r="B372">
        <v>40</v>
      </c>
      <c r="C372">
        <v>60000</v>
      </c>
      <c r="D372" t="s">
        <v>36</v>
      </c>
      <c r="E372" t="s">
        <v>37</v>
      </c>
      <c r="F372" t="s">
        <v>43</v>
      </c>
      <c r="G372" s="3">
        <v>43477</v>
      </c>
      <c r="H372" t="str">
        <f>TEXT(tbl_HR_Data[[#This Row],[Joining Date]], "mmm")</f>
        <v>Jan</v>
      </c>
      <c r="I372" t="s">
        <v>93</v>
      </c>
      <c r="J372" t="s">
        <v>14</v>
      </c>
      <c r="K372" t="s">
        <v>77</v>
      </c>
      <c r="L372" t="s">
        <v>87</v>
      </c>
      <c r="M372">
        <f>IFERROR( _xlfn.XLOOKUP(TRIM(tbl_HR_Data[[#This Row],[Age]]),#REF!,#REF!), VALUE(TRIM(tbl_HR_Data[[#This Row],[Age]])))</f>
        <v>40</v>
      </c>
      <c r="N372" t="str">
        <f>IFERROR(_xlfn.XLOOKUP(tbl_HR_Data[[#This Row],[Gender]], Mapping[Gender _Discarded], Mapping[Gender_Correction]), PROPER(TRIM(tbl_HR_Data[[#This Row],[Gender]])))</f>
        <v>Other</v>
      </c>
      <c r="O372" t="str">
        <f>TRIM(tbl_HR_Data[[#This Row],[Position]])</f>
        <v>Assistant</v>
      </c>
      <c r="P372" t="str">
        <f>IFERROR(_xlfn.XLOOKUP(tbl_HR_Data[[#This Row],[Email]], Mapping[Email_Discarded], Mapping[Email_Correction]), LOWER(TRIM(tbl_HR_Data[[#This Row],[Email]])))</f>
        <v>not provided</v>
      </c>
      <c r="Q37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372" t="str" cm="1">
        <f t="array" ref="R372">_xlfn.REDUCE(Q372, {"-","/","_","\","(",")"}, _xlfn.LAMBDA(_xlpm.txt,_xlpm.itm, SUBSTITUTE(_xlpm.txt, _xlpm.itm, "")))</f>
        <v>1234567890</v>
      </c>
      <c r="S372" s="3">
        <f>IFERROR(_xlfn.XLOOKUP(tbl_HR_Data[[#This Row],[Joining Date]], Mapping[Joining_Discarded], Mapping[Joining_Correction]), VALUE(tbl_HR_Data[[#This Row],[Joining Date]]))</f>
        <v>43477</v>
      </c>
      <c r="T372" t="str">
        <f>TEXT(tbl_HR_Data[[#This Row],[Joining Date]], "mmm")</f>
        <v>Jan</v>
      </c>
      <c r="U372" t="str">
        <f>TEXT(tbl_HR_Data[[#This Row],[Joining Date]], "ddd")</f>
        <v>Sat</v>
      </c>
    </row>
    <row r="373" spans="1:21" x14ac:dyDescent="0.35">
      <c r="A373" t="s">
        <v>106</v>
      </c>
      <c r="B373">
        <v>40</v>
      </c>
      <c r="C373">
        <v>70000</v>
      </c>
      <c r="D373" t="s">
        <v>11</v>
      </c>
      <c r="E373" t="s">
        <v>30</v>
      </c>
      <c r="F373" t="s">
        <v>44</v>
      </c>
      <c r="G373" s="3">
        <v>43477</v>
      </c>
      <c r="H373" t="str">
        <f>TEXT(tbl_HR_Data[[#This Row],[Joining Date]], "mmm")</f>
        <v>Jan</v>
      </c>
      <c r="I373" t="s">
        <v>93</v>
      </c>
      <c r="J373" t="s">
        <v>41</v>
      </c>
      <c r="K373" t="s">
        <v>77</v>
      </c>
      <c r="L373" t="s">
        <v>87</v>
      </c>
      <c r="M373">
        <f>IFERROR( _xlfn.XLOOKUP(TRIM(tbl_HR_Data[[#This Row],[Age]]),#REF!,#REF!), VALUE(TRIM(tbl_HR_Data[[#This Row],[Age]])))</f>
        <v>40</v>
      </c>
      <c r="N373" t="str">
        <f>IFERROR(_xlfn.XLOOKUP(tbl_HR_Data[[#This Row],[Gender]], Mapping[Gender _Discarded], Mapping[Gender_Correction]), PROPER(TRIM(tbl_HR_Data[[#This Row],[Gender]])))</f>
        <v>Male</v>
      </c>
      <c r="O373" t="str">
        <f>TRIM(tbl_HR_Data[[#This Row],[Position]])</f>
        <v>Analyst</v>
      </c>
      <c r="P373" t="str">
        <f>IFERROR(_xlfn.XLOOKUP(tbl_HR_Data[[#This Row],[Email]], Mapping[Email_Discarded], Mapping[Email_Correction]), LOWER(TRIM(tbl_HR_Data[[#This Row],[Email]])))</f>
        <v>not provided</v>
      </c>
      <c r="Q37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373" t="str" cm="1">
        <f t="array" ref="R373">_xlfn.REDUCE(Q373, {"-","/","_","\","(",")"}, _xlfn.LAMBDA(_xlpm.txt,_xlpm.itm, SUBSTITUTE(_xlpm.txt, _xlpm.itm, "")))</f>
        <v>1234567890</v>
      </c>
      <c r="S373" s="3">
        <f>IFERROR(_xlfn.XLOOKUP(tbl_HR_Data[[#This Row],[Joining Date]], Mapping[Joining_Discarded], Mapping[Joining_Correction]), VALUE(tbl_HR_Data[[#This Row],[Joining Date]]))</f>
        <v>43477</v>
      </c>
      <c r="T373" t="str">
        <f>TEXT(tbl_HR_Data[[#This Row],[Joining Date]], "mmm")</f>
        <v>Jan</v>
      </c>
      <c r="U373" t="str">
        <f>TEXT(tbl_HR_Data[[#This Row],[Joining Date]], "ddd")</f>
        <v>Sat</v>
      </c>
    </row>
    <row r="374" spans="1:21" x14ac:dyDescent="0.35">
      <c r="A374" t="s">
        <v>102</v>
      </c>
      <c r="B374">
        <v>0</v>
      </c>
      <c r="C374">
        <v>0</v>
      </c>
      <c r="D374" t="s">
        <v>11</v>
      </c>
      <c r="E374" t="s">
        <v>26</v>
      </c>
      <c r="F374" t="s">
        <v>43</v>
      </c>
      <c r="G374" s="3">
        <v>43477</v>
      </c>
      <c r="H374" t="str">
        <f>TEXT(tbl_HR_Data[[#This Row],[Joining Date]], "mmm")</f>
        <v>Jan</v>
      </c>
      <c r="I374" t="s">
        <v>93</v>
      </c>
      <c r="J374" t="s">
        <v>21</v>
      </c>
      <c r="K374" t="s">
        <v>22</v>
      </c>
      <c r="L374" t="s">
        <v>88</v>
      </c>
      <c r="M374">
        <f>IFERROR( _xlfn.XLOOKUP(TRIM(tbl_HR_Data[[#This Row],[Age]]),#REF!,#REF!), VALUE(TRIM(tbl_HR_Data[[#This Row],[Age]])))</f>
        <v>0</v>
      </c>
      <c r="N374" t="str">
        <f>IFERROR(_xlfn.XLOOKUP(tbl_HR_Data[[#This Row],[Gender]], Mapping[Gender _Discarded], Mapping[Gender_Correction]), PROPER(TRIM(tbl_HR_Data[[#This Row],[Gender]])))</f>
        <v>Male</v>
      </c>
      <c r="O374" t="str">
        <f>TRIM(tbl_HR_Data[[#This Row],[Position]])</f>
        <v>Assistant</v>
      </c>
      <c r="P374" t="str">
        <f>IFERROR(_xlfn.XLOOKUP(tbl_HR_Data[[#This Row],[Email]], Mapping[Email_Discarded], Mapping[Email_Correction]), LOWER(TRIM(tbl_HR_Data[[#This Row],[Email]])))</f>
        <v>user@domain.com</v>
      </c>
      <c r="Q37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374" t="str" cm="1">
        <f t="array" ref="R374">_xlfn.REDUCE(Q374, {"-","/","_","\","(",")"}, _xlfn.LAMBDA(_xlpm.txt,_xlpm.itm, SUBSTITUTE(_xlpm.txt, _xlpm.itm, "")))</f>
        <v>0987654321</v>
      </c>
      <c r="S374" s="3">
        <f>IFERROR(_xlfn.XLOOKUP(tbl_HR_Data[[#This Row],[Joining Date]], Mapping[Joining_Discarded], Mapping[Joining_Correction]), VALUE(tbl_HR_Data[[#This Row],[Joining Date]]))</f>
        <v>43477</v>
      </c>
      <c r="T374" t="str">
        <f>TEXT(tbl_HR_Data[[#This Row],[Joining Date]], "mmm")</f>
        <v>Jan</v>
      </c>
      <c r="U374" t="str">
        <f>TEXT(tbl_HR_Data[[#This Row],[Joining Date]], "ddd")</f>
        <v>Sat</v>
      </c>
    </row>
    <row r="375" spans="1:21" x14ac:dyDescent="0.35">
      <c r="A375" t="s">
        <v>105</v>
      </c>
      <c r="B375">
        <v>30</v>
      </c>
      <c r="C375">
        <v>60000</v>
      </c>
      <c r="D375" t="s">
        <v>36</v>
      </c>
      <c r="E375" t="s">
        <v>19</v>
      </c>
      <c r="F375" t="s">
        <v>43</v>
      </c>
      <c r="G375" s="3">
        <v>43477</v>
      </c>
      <c r="H375" t="str">
        <f>TEXT(tbl_HR_Data[[#This Row],[Joining Date]], "mmm")</f>
        <v>Jan</v>
      </c>
      <c r="I375" t="s">
        <v>93</v>
      </c>
      <c r="J375" t="s">
        <v>27</v>
      </c>
      <c r="K375" t="s">
        <v>77</v>
      </c>
      <c r="L375" t="s">
        <v>87</v>
      </c>
      <c r="M375">
        <f>IFERROR( _xlfn.XLOOKUP(TRIM(tbl_HR_Data[[#This Row],[Age]]),#REF!,#REF!), VALUE(TRIM(tbl_HR_Data[[#This Row],[Age]])))</f>
        <v>30</v>
      </c>
      <c r="N375" t="str">
        <f>IFERROR(_xlfn.XLOOKUP(tbl_HR_Data[[#This Row],[Gender]], Mapping[Gender _Discarded], Mapping[Gender_Correction]), PROPER(TRIM(tbl_HR_Data[[#This Row],[Gender]])))</f>
        <v>Other</v>
      </c>
      <c r="O375" t="str">
        <f>TRIM(tbl_HR_Data[[#This Row],[Position]])</f>
        <v>Assistant</v>
      </c>
      <c r="P375" t="str">
        <f>IFERROR(_xlfn.XLOOKUP(tbl_HR_Data[[#This Row],[Email]], Mapping[Email_Discarded], Mapping[Email_Correction]), LOWER(TRIM(tbl_HR_Data[[#This Row],[Email]])))</f>
        <v>not provided</v>
      </c>
      <c r="Q37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375" t="str" cm="1">
        <f t="array" ref="R375">_xlfn.REDUCE(Q375, {"-","/","_","\","(",")"}, _xlfn.LAMBDA(_xlpm.txt,_xlpm.itm, SUBSTITUTE(_xlpm.txt, _xlpm.itm, "")))</f>
        <v>1234567890</v>
      </c>
      <c r="S375" s="3">
        <f>IFERROR(_xlfn.XLOOKUP(tbl_HR_Data[[#This Row],[Joining Date]], Mapping[Joining_Discarded], Mapping[Joining_Correction]), VALUE(tbl_HR_Data[[#This Row],[Joining Date]]))</f>
        <v>43477</v>
      </c>
      <c r="T375" t="str">
        <f>TEXT(tbl_HR_Data[[#This Row],[Joining Date]], "mmm")</f>
        <v>Jan</v>
      </c>
      <c r="U375" t="str">
        <f>TEXT(tbl_HR_Data[[#This Row],[Joining Date]], "ddd")</f>
        <v>Sat</v>
      </c>
    </row>
    <row r="376" spans="1:21" x14ac:dyDescent="0.35">
      <c r="A376" t="s">
        <v>99</v>
      </c>
      <c r="B376">
        <v>25</v>
      </c>
      <c r="C376">
        <v>70000</v>
      </c>
      <c r="D376" t="s">
        <v>36</v>
      </c>
      <c r="E376" t="s">
        <v>26</v>
      </c>
      <c r="F376" t="s">
        <v>43</v>
      </c>
      <c r="G376" s="3">
        <v>43477</v>
      </c>
      <c r="H376" t="str">
        <f>TEXT(tbl_HR_Data[[#This Row],[Joining Date]], "mmm")</f>
        <v>Jan</v>
      </c>
      <c r="I376" t="s">
        <v>93</v>
      </c>
      <c r="J376" t="s">
        <v>14</v>
      </c>
      <c r="K376" t="s">
        <v>22</v>
      </c>
      <c r="L376" t="s">
        <v>88</v>
      </c>
      <c r="M376">
        <f>IFERROR( _xlfn.XLOOKUP(TRIM(tbl_HR_Data[[#This Row],[Age]]),#REF!,#REF!), VALUE(TRIM(tbl_HR_Data[[#This Row],[Age]])))</f>
        <v>25</v>
      </c>
      <c r="N376" t="str">
        <f>IFERROR(_xlfn.XLOOKUP(tbl_HR_Data[[#This Row],[Gender]], Mapping[Gender _Discarded], Mapping[Gender_Correction]), PROPER(TRIM(tbl_HR_Data[[#This Row],[Gender]])))</f>
        <v>Other</v>
      </c>
      <c r="O376" t="str">
        <f>TRIM(tbl_HR_Data[[#This Row],[Position]])</f>
        <v>Assistant</v>
      </c>
      <c r="P376" t="str">
        <f>IFERROR(_xlfn.XLOOKUP(tbl_HR_Data[[#This Row],[Email]], Mapping[Email_Discarded], Mapping[Email_Correction]), LOWER(TRIM(tbl_HR_Data[[#This Row],[Email]])))</f>
        <v>user@domain.com</v>
      </c>
      <c r="Q37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376" t="str" cm="1">
        <f t="array" ref="R376">_xlfn.REDUCE(Q376, {"-","/","_","\","(",")"}, _xlfn.LAMBDA(_xlpm.txt,_xlpm.itm, SUBSTITUTE(_xlpm.txt, _xlpm.itm, "")))</f>
        <v>0987654321</v>
      </c>
      <c r="S376" s="3">
        <f>IFERROR(_xlfn.XLOOKUP(tbl_HR_Data[[#This Row],[Joining Date]], Mapping[Joining_Discarded], Mapping[Joining_Correction]), VALUE(tbl_HR_Data[[#This Row],[Joining Date]]))</f>
        <v>43477</v>
      </c>
      <c r="T376" t="str">
        <f>TEXT(tbl_HR_Data[[#This Row],[Joining Date]], "mmm")</f>
        <v>Jan</v>
      </c>
      <c r="U376" t="str">
        <f>TEXT(tbl_HR_Data[[#This Row],[Joining Date]], "ddd")</f>
        <v>Sat</v>
      </c>
    </row>
    <row r="377" spans="1:21" x14ac:dyDescent="0.35">
      <c r="A377" t="s">
        <v>105</v>
      </c>
      <c r="B377">
        <v>40</v>
      </c>
      <c r="C377">
        <v>50000</v>
      </c>
      <c r="D377" t="s">
        <v>11</v>
      </c>
      <c r="E377" t="s">
        <v>37</v>
      </c>
      <c r="F377" t="s">
        <v>39</v>
      </c>
      <c r="G377" s="3">
        <v>43477</v>
      </c>
      <c r="H377" t="str">
        <f>TEXT(tbl_HR_Data[[#This Row],[Joining Date]], "mmm")</f>
        <v>Jan</v>
      </c>
      <c r="I377" t="s">
        <v>93</v>
      </c>
      <c r="J377" t="s">
        <v>41</v>
      </c>
      <c r="K377" t="s">
        <v>15</v>
      </c>
      <c r="L377" t="s">
        <v>87</v>
      </c>
      <c r="M377">
        <f>IFERROR( _xlfn.XLOOKUP(TRIM(tbl_HR_Data[[#This Row],[Age]]),#REF!,#REF!), VALUE(TRIM(tbl_HR_Data[[#This Row],[Age]])))</f>
        <v>40</v>
      </c>
      <c r="N377" t="str">
        <f>IFERROR(_xlfn.XLOOKUP(tbl_HR_Data[[#This Row],[Gender]], Mapping[Gender _Discarded], Mapping[Gender_Correction]), PROPER(TRIM(tbl_HR_Data[[#This Row],[Gender]])))</f>
        <v>Male</v>
      </c>
      <c r="O377" t="str">
        <f>TRIM(tbl_HR_Data[[#This Row],[Position]])</f>
        <v>Clerk</v>
      </c>
      <c r="P377" t="str">
        <f>IFERROR(_xlfn.XLOOKUP(tbl_HR_Data[[#This Row],[Email]], Mapping[Email_Discarded], Mapping[Email_Correction]), LOWER(TRIM(tbl_HR_Data[[#This Row],[Email]])))</f>
        <v>email@example.com</v>
      </c>
      <c r="Q37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377" t="str" cm="1">
        <f t="array" ref="R377">_xlfn.REDUCE(Q377, {"-","/","_","\","(",")"}, _xlfn.LAMBDA(_xlpm.txt,_xlpm.itm, SUBSTITUTE(_xlpm.txt, _xlpm.itm, "")))</f>
        <v>1234567890</v>
      </c>
      <c r="S377" s="3">
        <f>IFERROR(_xlfn.XLOOKUP(tbl_HR_Data[[#This Row],[Joining Date]], Mapping[Joining_Discarded], Mapping[Joining_Correction]), VALUE(tbl_HR_Data[[#This Row],[Joining Date]]))</f>
        <v>43477</v>
      </c>
      <c r="T377" t="str">
        <f>TEXT(tbl_HR_Data[[#This Row],[Joining Date]], "mmm")</f>
        <v>Jan</v>
      </c>
      <c r="U377" t="str">
        <f>TEXT(tbl_HR_Data[[#This Row],[Joining Date]], "ddd")</f>
        <v>Sat</v>
      </c>
    </row>
    <row r="378" spans="1:21" x14ac:dyDescent="0.35">
      <c r="A378" t="s">
        <v>106</v>
      </c>
      <c r="B378">
        <v>0</v>
      </c>
      <c r="C378">
        <v>55000</v>
      </c>
      <c r="D378" t="s">
        <v>11</v>
      </c>
      <c r="E378" t="s">
        <v>30</v>
      </c>
      <c r="F378" t="s">
        <v>13</v>
      </c>
      <c r="G378" s="3">
        <v>43477</v>
      </c>
      <c r="H378" t="str">
        <f>TEXT(tbl_HR_Data[[#This Row],[Joining Date]], "mmm")</f>
        <v>Jan</v>
      </c>
      <c r="I378" t="s">
        <v>93</v>
      </c>
      <c r="J378" t="s">
        <v>31</v>
      </c>
      <c r="K378" t="s">
        <v>22</v>
      </c>
      <c r="L378" t="s">
        <v>77</v>
      </c>
      <c r="M378">
        <f>IFERROR( _xlfn.XLOOKUP(TRIM(tbl_HR_Data[[#This Row],[Age]]),#REF!,#REF!), VALUE(TRIM(tbl_HR_Data[[#This Row],[Age]])))</f>
        <v>0</v>
      </c>
      <c r="N378" t="str">
        <f>IFERROR(_xlfn.XLOOKUP(tbl_HR_Data[[#This Row],[Gender]], Mapping[Gender _Discarded], Mapping[Gender_Correction]), PROPER(TRIM(tbl_HR_Data[[#This Row],[Gender]])))</f>
        <v>Male</v>
      </c>
      <c r="O378" t="str">
        <f>TRIM(tbl_HR_Data[[#This Row],[Position]])</f>
        <v>Manager</v>
      </c>
      <c r="P378" t="str">
        <f>IFERROR(_xlfn.XLOOKUP(tbl_HR_Data[[#This Row],[Email]], Mapping[Email_Discarded], Mapping[Email_Correction]), LOWER(TRIM(tbl_HR_Data[[#This Row],[Email]])))</f>
        <v>user@domain.com</v>
      </c>
      <c r="Q37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78" t="str" cm="1">
        <f t="array" ref="R378">_xlfn.REDUCE(Q378, {"-","/","_","\","(",")"}, _xlfn.LAMBDA(_xlpm.txt,_xlpm.itm, SUBSTITUTE(_xlpm.txt, _xlpm.itm, "")))</f>
        <v>Not Provided</v>
      </c>
      <c r="S378" s="3">
        <f>IFERROR(_xlfn.XLOOKUP(tbl_HR_Data[[#This Row],[Joining Date]], Mapping[Joining_Discarded], Mapping[Joining_Correction]), VALUE(tbl_HR_Data[[#This Row],[Joining Date]]))</f>
        <v>43477</v>
      </c>
      <c r="T378" t="str">
        <f>TEXT(tbl_HR_Data[[#This Row],[Joining Date]], "mmm")</f>
        <v>Jan</v>
      </c>
      <c r="U378" t="str">
        <f>TEXT(tbl_HR_Data[[#This Row],[Joining Date]], "ddd")</f>
        <v>Sat</v>
      </c>
    </row>
    <row r="379" spans="1:21" x14ac:dyDescent="0.35">
      <c r="A379" t="s">
        <v>106</v>
      </c>
      <c r="B379">
        <v>30</v>
      </c>
      <c r="C379">
        <v>65000</v>
      </c>
      <c r="D379" t="s">
        <v>36</v>
      </c>
      <c r="E379" t="s">
        <v>37</v>
      </c>
      <c r="F379" t="s">
        <v>13</v>
      </c>
      <c r="G379" s="3">
        <v>43477</v>
      </c>
      <c r="H379" t="str">
        <f>TEXT(tbl_HR_Data[[#This Row],[Joining Date]], "mmm")</f>
        <v>Jan</v>
      </c>
      <c r="I379" t="s">
        <v>93</v>
      </c>
      <c r="J379" t="s">
        <v>27</v>
      </c>
      <c r="K379" t="s">
        <v>77</v>
      </c>
      <c r="L379" t="s">
        <v>88</v>
      </c>
      <c r="M379">
        <f>IFERROR( _xlfn.XLOOKUP(TRIM(tbl_HR_Data[[#This Row],[Age]]),#REF!,#REF!), VALUE(TRIM(tbl_HR_Data[[#This Row],[Age]])))</f>
        <v>30</v>
      </c>
      <c r="N379" t="str">
        <f>IFERROR(_xlfn.XLOOKUP(tbl_HR_Data[[#This Row],[Gender]], Mapping[Gender _Discarded], Mapping[Gender_Correction]), PROPER(TRIM(tbl_HR_Data[[#This Row],[Gender]])))</f>
        <v>Other</v>
      </c>
      <c r="O379" t="str">
        <f>TRIM(tbl_HR_Data[[#This Row],[Position]])</f>
        <v>Manager</v>
      </c>
      <c r="P379" t="str">
        <f>IFERROR(_xlfn.XLOOKUP(tbl_HR_Data[[#This Row],[Email]], Mapping[Email_Discarded], Mapping[Email_Correction]), LOWER(TRIM(tbl_HR_Data[[#This Row],[Email]])))</f>
        <v>not provided</v>
      </c>
      <c r="Q37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379" t="str" cm="1">
        <f t="array" ref="R379">_xlfn.REDUCE(Q379, {"-","/","_","\","(",")"}, _xlfn.LAMBDA(_xlpm.txt,_xlpm.itm, SUBSTITUTE(_xlpm.txt, _xlpm.itm, "")))</f>
        <v>0987654321</v>
      </c>
      <c r="S379" s="3">
        <f>IFERROR(_xlfn.XLOOKUP(tbl_HR_Data[[#This Row],[Joining Date]], Mapping[Joining_Discarded], Mapping[Joining_Correction]), VALUE(tbl_HR_Data[[#This Row],[Joining Date]]))</f>
        <v>43477</v>
      </c>
      <c r="T379" t="str">
        <f>TEXT(tbl_HR_Data[[#This Row],[Joining Date]], "mmm")</f>
        <v>Jan</v>
      </c>
      <c r="U379" t="str">
        <f>TEXT(tbl_HR_Data[[#This Row],[Joining Date]], "ddd")</f>
        <v>Sat</v>
      </c>
    </row>
    <row r="380" spans="1:21" x14ac:dyDescent="0.35">
      <c r="A380" t="s">
        <v>105</v>
      </c>
      <c r="B380">
        <v>40</v>
      </c>
      <c r="C380">
        <v>55000</v>
      </c>
      <c r="D380" t="s">
        <v>36</v>
      </c>
      <c r="E380" t="s">
        <v>12</v>
      </c>
      <c r="F380" t="s">
        <v>44</v>
      </c>
      <c r="G380" s="3">
        <v>43477</v>
      </c>
      <c r="H380" t="str">
        <f>TEXT(tbl_HR_Data[[#This Row],[Joining Date]], "mmm")</f>
        <v>Jan</v>
      </c>
      <c r="I380" t="s">
        <v>93</v>
      </c>
      <c r="J380" t="s">
        <v>41</v>
      </c>
      <c r="K380" t="s">
        <v>15</v>
      </c>
      <c r="L380" t="s">
        <v>77</v>
      </c>
      <c r="M380">
        <f>IFERROR( _xlfn.XLOOKUP(TRIM(tbl_HR_Data[[#This Row],[Age]]),#REF!,#REF!), VALUE(TRIM(tbl_HR_Data[[#This Row],[Age]])))</f>
        <v>40</v>
      </c>
      <c r="N380" t="str">
        <f>IFERROR(_xlfn.XLOOKUP(tbl_HR_Data[[#This Row],[Gender]], Mapping[Gender _Discarded], Mapping[Gender_Correction]), PROPER(TRIM(tbl_HR_Data[[#This Row],[Gender]])))</f>
        <v>Other</v>
      </c>
      <c r="O380" t="str">
        <f>TRIM(tbl_HR_Data[[#This Row],[Position]])</f>
        <v>Analyst</v>
      </c>
      <c r="P380" t="str">
        <f>IFERROR(_xlfn.XLOOKUP(tbl_HR_Data[[#This Row],[Email]], Mapping[Email_Discarded], Mapping[Email_Correction]), LOWER(TRIM(tbl_HR_Data[[#This Row],[Email]])))</f>
        <v>email@example.com</v>
      </c>
      <c r="Q38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80" t="str" cm="1">
        <f t="array" ref="R380">_xlfn.REDUCE(Q380, {"-","/","_","\","(",")"}, _xlfn.LAMBDA(_xlpm.txt,_xlpm.itm, SUBSTITUTE(_xlpm.txt, _xlpm.itm, "")))</f>
        <v>Not Provided</v>
      </c>
      <c r="S380" s="3">
        <f>IFERROR(_xlfn.XLOOKUP(tbl_HR_Data[[#This Row],[Joining Date]], Mapping[Joining_Discarded], Mapping[Joining_Correction]), VALUE(tbl_HR_Data[[#This Row],[Joining Date]]))</f>
        <v>43477</v>
      </c>
      <c r="T380" t="str">
        <f>TEXT(tbl_HR_Data[[#This Row],[Joining Date]], "mmm")</f>
        <v>Jan</v>
      </c>
      <c r="U380" t="str">
        <f>TEXT(tbl_HR_Data[[#This Row],[Joining Date]], "ddd")</f>
        <v>Sat</v>
      </c>
    </row>
    <row r="381" spans="1:21" x14ac:dyDescent="0.35">
      <c r="A381" t="s">
        <v>101</v>
      </c>
      <c r="B381">
        <v>50</v>
      </c>
      <c r="C381">
        <v>50000</v>
      </c>
      <c r="D381" t="s">
        <v>11</v>
      </c>
      <c r="E381" t="s">
        <v>26</v>
      </c>
      <c r="F381" t="s">
        <v>20</v>
      </c>
      <c r="G381" s="3">
        <v>43477</v>
      </c>
      <c r="H381" t="str">
        <f>TEXT(tbl_HR_Data[[#This Row],[Joining Date]], "mmm")</f>
        <v>Jan</v>
      </c>
      <c r="I381" t="s">
        <v>93</v>
      </c>
      <c r="J381" t="s">
        <v>41</v>
      </c>
      <c r="K381" t="s">
        <v>15</v>
      </c>
      <c r="L381" t="s">
        <v>89</v>
      </c>
      <c r="M381">
        <f>IFERROR( _xlfn.XLOOKUP(TRIM(tbl_HR_Data[[#This Row],[Age]]),#REF!,#REF!), VALUE(TRIM(tbl_HR_Data[[#This Row],[Age]])))</f>
        <v>50</v>
      </c>
      <c r="N381" t="str">
        <f>IFERROR(_xlfn.XLOOKUP(tbl_HR_Data[[#This Row],[Gender]], Mapping[Gender _Discarded], Mapping[Gender_Correction]), PROPER(TRIM(tbl_HR_Data[[#This Row],[Gender]])))</f>
        <v>Male</v>
      </c>
      <c r="O381" t="str">
        <f>TRIM(tbl_HR_Data[[#This Row],[Position]])</f>
        <v>Director</v>
      </c>
      <c r="P381" t="str">
        <f>IFERROR(_xlfn.XLOOKUP(tbl_HR_Data[[#This Row],[Email]], Mapping[Email_Discarded], Mapping[Email_Correction]), LOWER(TRIM(tbl_HR_Data[[#This Row],[Email]])))</f>
        <v>email@example.com</v>
      </c>
      <c r="Q38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381" t="str" cm="1">
        <f t="array" ref="R381">_xlfn.REDUCE(Q381, {"-","/","_","\","(",")"}, _xlfn.LAMBDA(_xlpm.txt,_xlpm.itm, SUBSTITUTE(_xlpm.txt, _xlpm.itm, "")))</f>
        <v>5555555555</v>
      </c>
      <c r="S381" s="3">
        <f>IFERROR(_xlfn.XLOOKUP(tbl_HR_Data[[#This Row],[Joining Date]], Mapping[Joining_Discarded], Mapping[Joining_Correction]), VALUE(tbl_HR_Data[[#This Row],[Joining Date]]))</f>
        <v>43477</v>
      </c>
      <c r="T381" t="str">
        <f>TEXT(tbl_HR_Data[[#This Row],[Joining Date]], "mmm")</f>
        <v>Jan</v>
      </c>
      <c r="U381" t="str">
        <f>TEXT(tbl_HR_Data[[#This Row],[Joining Date]], "ddd")</f>
        <v>Sat</v>
      </c>
    </row>
    <row r="382" spans="1:21" x14ac:dyDescent="0.35">
      <c r="A382" t="s">
        <v>107</v>
      </c>
      <c r="B382">
        <v>40</v>
      </c>
      <c r="C382">
        <v>60000</v>
      </c>
      <c r="D382" t="s">
        <v>36</v>
      </c>
      <c r="E382" t="s">
        <v>26</v>
      </c>
      <c r="F382" t="s">
        <v>20</v>
      </c>
      <c r="G382" s="3">
        <v>43477</v>
      </c>
      <c r="H382" t="str">
        <f>TEXT(tbl_HR_Data[[#This Row],[Joining Date]], "mmm")</f>
        <v>Jan</v>
      </c>
      <c r="I382" t="s">
        <v>93</v>
      </c>
      <c r="J382" t="s">
        <v>27</v>
      </c>
      <c r="K382" t="s">
        <v>15</v>
      </c>
      <c r="L382" t="s">
        <v>77</v>
      </c>
      <c r="M382">
        <f>IFERROR( _xlfn.XLOOKUP(TRIM(tbl_HR_Data[[#This Row],[Age]]),#REF!,#REF!), VALUE(TRIM(tbl_HR_Data[[#This Row],[Age]])))</f>
        <v>40</v>
      </c>
      <c r="N382" t="str">
        <f>IFERROR(_xlfn.XLOOKUP(tbl_HR_Data[[#This Row],[Gender]], Mapping[Gender _Discarded], Mapping[Gender_Correction]), PROPER(TRIM(tbl_HR_Data[[#This Row],[Gender]])))</f>
        <v>Other</v>
      </c>
      <c r="O382" t="str">
        <f>TRIM(tbl_HR_Data[[#This Row],[Position]])</f>
        <v>Director</v>
      </c>
      <c r="P382" t="str">
        <f>IFERROR(_xlfn.XLOOKUP(tbl_HR_Data[[#This Row],[Email]], Mapping[Email_Discarded], Mapping[Email_Correction]), LOWER(TRIM(tbl_HR_Data[[#This Row],[Email]])))</f>
        <v>email@example.com</v>
      </c>
      <c r="Q38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82" t="str" cm="1">
        <f t="array" ref="R382">_xlfn.REDUCE(Q382, {"-","/","_","\","(",")"}, _xlfn.LAMBDA(_xlpm.txt,_xlpm.itm, SUBSTITUTE(_xlpm.txt, _xlpm.itm, "")))</f>
        <v>Not Provided</v>
      </c>
      <c r="S382" s="3">
        <f>IFERROR(_xlfn.XLOOKUP(tbl_HR_Data[[#This Row],[Joining Date]], Mapping[Joining_Discarded], Mapping[Joining_Correction]), VALUE(tbl_HR_Data[[#This Row],[Joining Date]]))</f>
        <v>43477</v>
      </c>
      <c r="T382" t="str">
        <f>TEXT(tbl_HR_Data[[#This Row],[Joining Date]], "mmm")</f>
        <v>Jan</v>
      </c>
      <c r="U382" t="str">
        <f>TEXT(tbl_HR_Data[[#This Row],[Joining Date]], "ddd")</f>
        <v>Sat</v>
      </c>
    </row>
    <row r="383" spans="1:21" x14ac:dyDescent="0.35">
      <c r="A383" t="s">
        <v>107</v>
      </c>
      <c r="B383">
        <v>40</v>
      </c>
      <c r="C383">
        <v>50000</v>
      </c>
      <c r="D383" t="s">
        <v>18</v>
      </c>
      <c r="E383" t="s">
        <v>37</v>
      </c>
      <c r="F383" t="s">
        <v>44</v>
      </c>
      <c r="G383" s="3">
        <v>43477</v>
      </c>
      <c r="H383" t="str">
        <f>TEXT(tbl_HR_Data[[#This Row],[Joining Date]], "mmm")</f>
        <v>Jan</v>
      </c>
      <c r="I383" t="s">
        <v>93</v>
      </c>
      <c r="J383" t="s">
        <v>21</v>
      </c>
      <c r="K383" t="s">
        <v>15</v>
      </c>
      <c r="L383" t="s">
        <v>88</v>
      </c>
      <c r="M383">
        <f>IFERROR( _xlfn.XLOOKUP(TRIM(tbl_HR_Data[[#This Row],[Age]]),#REF!,#REF!), VALUE(TRIM(tbl_HR_Data[[#This Row],[Age]])))</f>
        <v>40</v>
      </c>
      <c r="N383" t="str">
        <f>IFERROR(_xlfn.XLOOKUP(tbl_HR_Data[[#This Row],[Gender]], Mapping[Gender _Discarded], Mapping[Gender_Correction]), PROPER(TRIM(tbl_HR_Data[[#This Row],[Gender]])))</f>
        <v>Female</v>
      </c>
      <c r="O383" t="str">
        <f>TRIM(tbl_HR_Data[[#This Row],[Position]])</f>
        <v>Analyst</v>
      </c>
      <c r="P383" t="str">
        <f>IFERROR(_xlfn.XLOOKUP(tbl_HR_Data[[#This Row],[Email]], Mapping[Email_Discarded], Mapping[Email_Correction]), LOWER(TRIM(tbl_HR_Data[[#This Row],[Email]])))</f>
        <v>email@example.com</v>
      </c>
      <c r="Q38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383" t="str" cm="1">
        <f t="array" ref="R383">_xlfn.REDUCE(Q383, {"-","/","_","\","(",")"}, _xlfn.LAMBDA(_xlpm.txt,_xlpm.itm, SUBSTITUTE(_xlpm.txt, _xlpm.itm, "")))</f>
        <v>0987654321</v>
      </c>
      <c r="S383" s="3">
        <f>IFERROR(_xlfn.XLOOKUP(tbl_HR_Data[[#This Row],[Joining Date]], Mapping[Joining_Discarded], Mapping[Joining_Correction]), VALUE(tbl_HR_Data[[#This Row],[Joining Date]]))</f>
        <v>43477</v>
      </c>
      <c r="T383" t="str">
        <f>TEXT(tbl_HR_Data[[#This Row],[Joining Date]], "mmm")</f>
        <v>Jan</v>
      </c>
      <c r="U383" t="str">
        <f>TEXT(tbl_HR_Data[[#This Row],[Joining Date]], "ddd")</f>
        <v>Sat</v>
      </c>
    </row>
    <row r="384" spans="1:21" x14ac:dyDescent="0.35">
      <c r="A384" t="s">
        <v>100</v>
      </c>
      <c r="B384">
        <v>30</v>
      </c>
      <c r="C384">
        <v>50000</v>
      </c>
      <c r="D384" t="s">
        <v>18</v>
      </c>
      <c r="E384" t="s">
        <v>30</v>
      </c>
      <c r="F384" t="s">
        <v>39</v>
      </c>
      <c r="G384" s="3">
        <v>43477</v>
      </c>
      <c r="H384" t="str">
        <f>TEXT(tbl_HR_Data[[#This Row],[Joining Date]], "mmm")</f>
        <v>Jan</v>
      </c>
      <c r="I384" t="s">
        <v>93</v>
      </c>
      <c r="J384" t="s">
        <v>27</v>
      </c>
      <c r="K384" t="s">
        <v>15</v>
      </c>
      <c r="L384" t="s">
        <v>88</v>
      </c>
      <c r="M384">
        <f>IFERROR( _xlfn.XLOOKUP(TRIM(tbl_HR_Data[[#This Row],[Age]]),#REF!,#REF!), VALUE(TRIM(tbl_HR_Data[[#This Row],[Age]])))</f>
        <v>30</v>
      </c>
      <c r="N384" t="str">
        <f>IFERROR(_xlfn.XLOOKUP(tbl_HR_Data[[#This Row],[Gender]], Mapping[Gender _Discarded], Mapping[Gender_Correction]), PROPER(TRIM(tbl_HR_Data[[#This Row],[Gender]])))</f>
        <v>Female</v>
      </c>
      <c r="O384" t="str">
        <f>TRIM(tbl_HR_Data[[#This Row],[Position]])</f>
        <v>Clerk</v>
      </c>
      <c r="P384" t="str">
        <f>IFERROR(_xlfn.XLOOKUP(tbl_HR_Data[[#This Row],[Email]], Mapping[Email_Discarded], Mapping[Email_Correction]), LOWER(TRIM(tbl_HR_Data[[#This Row],[Email]])))</f>
        <v>email@example.com</v>
      </c>
      <c r="Q38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384" t="str" cm="1">
        <f t="array" ref="R384">_xlfn.REDUCE(Q384, {"-","/","_","\","(",")"}, _xlfn.LAMBDA(_xlpm.txt,_xlpm.itm, SUBSTITUTE(_xlpm.txt, _xlpm.itm, "")))</f>
        <v>0987654321</v>
      </c>
      <c r="S384" s="3">
        <f>IFERROR(_xlfn.XLOOKUP(tbl_HR_Data[[#This Row],[Joining Date]], Mapping[Joining_Discarded], Mapping[Joining_Correction]), VALUE(tbl_HR_Data[[#This Row],[Joining Date]]))</f>
        <v>43477</v>
      </c>
      <c r="T384" t="str">
        <f>TEXT(tbl_HR_Data[[#This Row],[Joining Date]], "mmm")</f>
        <v>Jan</v>
      </c>
      <c r="U384" t="str">
        <f>TEXT(tbl_HR_Data[[#This Row],[Joining Date]], "ddd")</f>
        <v>Sat</v>
      </c>
    </row>
    <row r="385" spans="1:21" x14ac:dyDescent="0.35">
      <c r="A385" t="s">
        <v>108</v>
      </c>
      <c r="B385">
        <v>35</v>
      </c>
      <c r="C385">
        <v>70000</v>
      </c>
      <c r="D385" t="s">
        <v>11</v>
      </c>
      <c r="E385" t="s">
        <v>12</v>
      </c>
      <c r="F385" t="s">
        <v>43</v>
      </c>
      <c r="G385" s="3">
        <v>43477</v>
      </c>
      <c r="H385" t="str">
        <f>TEXT(tbl_HR_Data[[#This Row],[Joining Date]], "mmm")</f>
        <v>Jan</v>
      </c>
      <c r="I385" t="s">
        <v>93</v>
      </c>
      <c r="J385" t="s">
        <v>31</v>
      </c>
      <c r="K385" t="s">
        <v>32</v>
      </c>
      <c r="L385" t="s">
        <v>88</v>
      </c>
      <c r="M385">
        <f>IFERROR( _xlfn.XLOOKUP(TRIM(tbl_HR_Data[[#This Row],[Age]]),#REF!,#REF!), VALUE(TRIM(tbl_HR_Data[[#This Row],[Age]])))</f>
        <v>35</v>
      </c>
      <c r="N385" t="str">
        <f>IFERROR(_xlfn.XLOOKUP(tbl_HR_Data[[#This Row],[Gender]], Mapping[Gender _Discarded], Mapping[Gender_Correction]), PROPER(TRIM(tbl_HR_Data[[#This Row],[Gender]])))</f>
        <v>Male</v>
      </c>
      <c r="O385" t="str">
        <f>TRIM(tbl_HR_Data[[#This Row],[Position]])</f>
        <v>Assistant</v>
      </c>
      <c r="P385" t="str">
        <f>IFERROR(_xlfn.XLOOKUP(tbl_HR_Data[[#This Row],[Email]], Mapping[Email_Discarded], Mapping[Email_Correction]), LOWER(TRIM(tbl_HR_Data[[#This Row],[Email]])))</f>
        <v>name@company.org</v>
      </c>
      <c r="Q38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385" t="str" cm="1">
        <f t="array" ref="R385">_xlfn.REDUCE(Q385, {"-","/","_","\","(",")"}, _xlfn.LAMBDA(_xlpm.txt,_xlpm.itm, SUBSTITUTE(_xlpm.txt, _xlpm.itm, "")))</f>
        <v>0987654321</v>
      </c>
      <c r="S385" s="3">
        <f>IFERROR(_xlfn.XLOOKUP(tbl_HR_Data[[#This Row],[Joining Date]], Mapping[Joining_Discarded], Mapping[Joining_Correction]), VALUE(tbl_HR_Data[[#This Row],[Joining Date]]))</f>
        <v>43477</v>
      </c>
      <c r="T385" t="str">
        <f>TEXT(tbl_HR_Data[[#This Row],[Joining Date]], "mmm")</f>
        <v>Jan</v>
      </c>
      <c r="U385" t="str">
        <f>TEXT(tbl_HR_Data[[#This Row],[Joining Date]], "ddd")</f>
        <v>Sat</v>
      </c>
    </row>
    <row r="386" spans="1:21" x14ac:dyDescent="0.35">
      <c r="A386" t="s">
        <v>102</v>
      </c>
      <c r="B386">
        <v>30</v>
      </c>
      <c r="C386">
        <v>55000</v>
      </c>
      <c r="D386" t="s">
        <v>18</v>
      </c>
      <c r="E386" t="s">
        <v>26</v>
      </c>
      <c r="F386" t="s">
        <v>39</v>
      </c>
      <c r="G386" s="3">
        <v>43477</v>
      </c>
      <c r="H386" t="str">
        <f>TEXT(tbl_HR_Data[[#This Row],[Joining Date]], "mmm")</f>
        <v>Jan</v>
      </c>
      <c r="I386" t="s">
        <v>93</v>
      </c>
      <c r="J386" t="s">
        <v>41</v>
      </c>
      <c r="K386" t="s">
        <v>15</v>
      </c>
      <c r="L386" t="s">
        <v>87</v>
      </c>
      <c r="M386">
        <f>IFERROR( _xlfn.XLOOKUP(TRIM(tbl_HR_Data[[#This Row],[Age]]),#REF!,#REF!), VALUE(TRIM(tbl_HR_Data[[#This Row],[Age]])))</f>
        <v>30</v>
      </c>
      <c r="N386" t="str">
        <f>IFERROR(_xlfn.XLOOKUP(tbl_HR_Data[[#This Row],[Gender]], Mapping[Gender _Discarded], Mapping[Gender_Correction]), PROPER(TRIM(tbl_HR_Data[[#This Row],[Gender]])))</f>
        <v>Female</v>
      </c>
      <c r="O386" t="str">
        <f>TRIM(tbl_HR_Data[[#This Row],[Position]])</f>
        <v>Clerk</v>
      </c>
      <c r="P386" t="str">
        <f>IFERROR(_xlfn.XLOOKUP(tbl_HR_Data[[#This Row],[Email]], Mapping[Email_Discarded], Mapping[Email_Correction]), LOWER(TRIM(tbl_HR_Data[[#This Row],[Email]])))</f>
        <v>email@example.com</v>
      </c>
      <c r="Q38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386" t="str" cm="1">
        <f t="array" ref="R386">_xlfn.REDUCE(Q386, {"-","/","_","\","(",")"}, _xlfn.LAMBDA(_xlpm.txt,_xlpm.itm, SUBSTITUTE(_xlpm.txt, _xlpm.itm, "")))</f>
        <v>1234567890</v>
      </c>
      <c r="S386" s="3">
        <f>IFERROR(_xlfn.XLOOKUP(tbl_HR_Data[[#This Row],[Joining Date]], Mapping[Joining_Discarded], Mapping[Joining_Correction]), VALUE(tbl_HR_Data[[#This Row],[Joining Date]]))</f>
        <v>43477</v>
      </c>
      <c r="T386" t="str">
        <f>TEXT(tbl_HR_Data[[#This Row],[Joining Date]], "mmm")</f>
        <v>Jan</v>
      </c>
      <c r="U386" t="str">
        <f>TEXT(tbl_HR_Data[[#This Row],[Joining Date]], "ddd")</f>
        <v>Sat</v>
      </c>
    </row>
    <row r="387" spans="1:21" x14ac:dyDescent="0.35">
      <c r="A387" t="s">
        <v>107</v>
      </c>
      <c r="B387">
        <v>35</v>
      </c>
      <c r="C387">
        <v>50000</v>
      </c>
      <c r="D387" t="s">
        <v>18</v>
      </c>
      <c r="E387" t="s">
        <v>26</v>
      </c>
      <c r="F387" t="s">
        <v>43</v>
      </c>
      <c r="G387" s="3">
        <v>43477</v>
      </c>
      <c r="H387" t="str">
        <f>TEXT(tbl_HR_Data[[#This Row],[Joining Date]], "mmm")</f>
        <v>Jan</v>
      </c>
      <c r="I387" t="s">
        <v>93</v>
      </c>
      <c r="J387" t="s">
        <v>14</v>
      </c>
      <c r="K387" t="s">
        <v>77</v>
      </c>
      <c r="L387" t="s">
        <v>89</v>
      </c>
      <c r="M387">
        <f>IFERROR( _xlfn.XLOOKUP(TRIM(tbl_HR_Data[[#This Row],[Age]]),#REF!,#REF!), VALUE(TRIM(tbl_HR_Data[[#This Row],[Age]])))</f>
        <v>35</v>
      </c>
      <c r="N387" t="str">
        <f>IFERROR(_xlfn.XLOOKUP(tbl_HR_Data[[#This Row],[Gender]], Mapping[Gender _Discarded], Mapping[Gender_Correction]), PROPER(TRIM(tbl_HR_Data[[#This Row],[Gender]])))</f>
        <v>Female</v>
      </c>
      <c r="O387" t="str">
        <f>TRIM(tbl_HR_Data[[#This Row],[Position]])</f>
        <v>Assistant</v>
      </c>
      <c r="P387" t="str">
        <f>IFERROR(_xlfn.XLOOKUP(tbl_HR_Data[[#This Row],[Email]], Mapping[Email_Discarded], Mapping[Email_Correction]), LOWER(TRIM(tbl_HR_Data[[#This Row],[Email]])))</f>
        <v>not provided</v>
      </c>
      <c r="Q38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387" t="str" cm="1">
        <f t="array" ref="R387">_xlfn.REDUCE(Q387, {"-","/","_","\","(",")"}, _xlfn.LAMBDA(_xlpm.txt,_xlpm.itm, SUBSTITUTE(_xlpm.txt, _xlpm.itm, "")))</f>
        <v>5555555555</v>
      </c>
      <c r="S387" s="3">
        <f>IFERROR(_xlfn.XLOOKUP(tbl_HR_Data[[#This Row],[Joining Date]], Mapping[Joining_Discarded], Mapping[Joining_Correction]), VALUE(tbl_HR_Data[[#This Row],[Joining Date]]))</f>
        <v>43477</v>
      </c>
      <c r="T387" t="str">
        <f>TEXT(tbl_HR_Data[[#This Row],[Joining Date]], "mmm")</f>
        <v>Jan</v>
      </c>
      <c r="U387" t="str">
        <f>TEXT(tbl_HR_Data[[#This Row],[Joining Date]], "ddd")</f>
        <v>Sat</v>
      </c>
    </row>
    <row r="388" spans="1:21" x14ac:dyDescent="0.35">
      <c r="A388" t="s">
        <v>107</v>
      </c>
      <c r="B388">
        <v>0</v>
      </c>
      <c r="C388">
        <v>70000</v>
      </c>
      <c r="D388" t="s">
        <v>11</v>
      </c>
      <c r="E388" t="s">
        <v>30</v>
      </c>
      <c r="F388" t="s">
        <v>20</v>
      </c>
      <c r="G388" s="3">
        <v>43477</v>
      </c>
      <c r="H388" t="str">
        <f>TEXT(tbl_HR_Data[[#This Row],[Joining Date]], "mmm")</f>
        <v>Jan</v>
      </c>
      <c r="I388" t="s">
        <v>93</v>
      </c>
      <c r="J388" t="s">
        <v>21</v>
      </c>
      <c r="K388" t="s">
        <v>77</v>
      </c>
      <c r="L388" t="s">
        <v>88</v>
      </c>
      <c r="M388">
        <f>IFERROR( _xlfn.XLOOKUP(TRIM(tbl_HR_Data[[#This Row],[Age]]),#REF!,#REF!), VALUE(TRIM(tbl_HR_Data[[#This Row],[Age]])))</f>
        <v>0</v>
      </c>
      <c r="N388" t="str">
        <f>IFERROR(_xlfn.XLOOKUP(tbl_HR_Data[[#This Row],[Gender]], Mapping[Gender _Discarded], Mapping[Gender_Correction]), PROPER(TRIM(tbl_HR_Data[[#This Row],[Gender]])))</f>
        <v>Male</v>
      </c>
      <c r="O388" t="str">
        <f>TRIM(tbl_HR_Data[[#This Row],[Position]])</f>
        <v>Director</v>
      </c>
      <c r="P388" t="str">
        <f>IFERROR(_xlfn.XLOOKUP(tbl_HR_Data[[#This Row],[Email]], Mapping[Email_Discarded], Mapping[Email_Correction]), LOWER(TRIM(tbl_HR_Data[[#This Row],[Email]])))</f>
        <v>not provided</v>
      </c>
      <c r="Q38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388" t="str" cm="1">
        <f t="array" ref="R388">_xlfn.REDUCE(Q388, {"-","/","_","\","(",")"}, _xlfn.LAMBDA(_xlpm.txt,_xlpm.itm, SUBSTITUTE(_xlpm.txt, _xlpm.itm, "")))</f>
        <v>0987654321</v>
      </c>
      <c r="S388" s="3">
        <f>IFERROR(_xlfn.XLOOKUP(tbl_HR_Data[[#This Row],[Joining Date]], Mapping[Joining_Discarded], Mapping[Joining_Correction]), VALUE(tbl_HR_Data[[#This Row],[Joining Date]]))</f>
        <v>43477</v>
      </c>
      <c r="T388" t="str">
        <f>TEXT(tbl_HR_Data[[#This Row],[Joining Date]], "mmm")</f>
        <v>Jan</v>
      </c>
      <c r="U388" t="str">
        <f>TEXT(tbl_HR_Data[[#This Row],[Joining Date]], "ddd")</f>
        <v>Sat</v>
      </c>
    </row>
    <row r="389" spans="1:21" x14ac:dyDescent="0.35">
      <c r="A389" t="s">
        <v>108</v>
      </c>
      <c r="B389">
        <v>0</v>
      </c>
      <c r="C389">
        <v>55000</v>
      </c>
      <c r="D389" t="s">
        <v>18</v>
      </c>
      <c r="E389" t="s">
        <v>26</v>
      </c>
      <c r="F389" t="s">
        <v>13</v>
      </c>
      <c r="G389" s="3">
        <v>43477</v>
      </c>
      <c r="H389" t="str">
        <f>TEXT(tbl_HR_Data[[#This Row],[Joining Date]], "mmm")</f>
        <v>Jan</v>
      </c>
      <c r="I389" t="s">
        <v>93</v>
      </c>
      <c r="J389" t="s">
        <v>27</v>
      </c>
      <c r="K389" t="s">
        <v>77</v>
      </c>
      <c r="L389" t="s">
        <v>77</v>
      </c>
      <c r="M389">
        <f>IFERROR( _xlfn.XLOOKUP(TRIM(tbl_HR_Data[[#This Row],[Age]]),#REF!,#REF!), VALUE(TRIM(tbl_HR_Data[[#This Row],[Age]])))</f>
        <v>0</v>
      </c>
      <c r="N389" t="str">
        <f>IFERROR(_xlfn.XLOOKUP(tbl_HR_Data[[#This Row],[Gender]], Mapping[Gender _Discarded], Mapping[Gender_Correction]), PROPER(TRIM(tbl_HR_Data[[#This Row],[Gender]])))</f>
        <v>Female</v>
      </c>
      <c r="O389" t="str">
        <f>TRIM(tbl_HR_Data[[#This Row],[Position]])</f>
        <v>Manager</v>
      </c>
      <c r="P389" t="str">
        <f>IFERROR(_xlfn.XLOOKUP(tbl_HR_Data[[#This Row],[Email]], Mapping[Email_Discarded], Mapping[Email_Correction]), LOWER(TRIM(tbl_HR_Data[[#This Row],[Email]])))</f>
        <v>not provided</v>
      </c>
      <c r="Q38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89" t="str" cm="1">
        <f t="array" ref="R389">_xlfn.REDUCE(Q389, {"-","/","_","\","(",")"}, _xlfn.LAMBDA(_xlpm.txt,_xlpm.itm, SUBSTITUTE(_xlpm.txt, _xlpm.itm, "")))</f>
        <v>Not Provided</v>
      </c>
      <c r="S389" s="3">
        <f>IFERROR(_xlfn.XLOOKUP(tbl_HR_Data[[#This Row],[Joining Date]], Mapping[Joining_Discarded], Mapping[Joining_Correction]), VALUE(tbl_HR_Data[[#This Row],[Joining Date]]))</f>
        <v>43477</v>
      </c>
      <c r="T389" t="str">
        <f>TEXT(tbl_HR_Data[[#This Row],[Joining Date]], "mmm")</f>
        <v>Jan</v>
      </c>
      <c r="U389" t="str">
        <f>TEXT(tbl_HR_Data[[#This Row],[Joining Date]], "ddd")</f>
        <v>Sat</v>
      </c>
    </row>
    <row r="390" spans="1:21" x14ac:dyDescent="0.35">
      <c r="A390" t="s">
        <v>107</v>
      </c>
      <c r="B390">
        <v>0</v>
      </c>
      <c r="C390">
        <v>0</v>
      </c>
      <c r="D390" t="s">
        <v>18</v>
      </c>
      <c r="E390" t="s">
        <v>37</v>
      </c>
      <c r="F390" t="s">
        <v>39</v>
      </c>
      <c r="G390" s="3">
        <v>43477</v>
      </c>
      <c r="H390" t="str">
        <f>TEXT(tbl_HR_Data[[#This Row],[Joining Date]], "mmm")</f>
        <v>Jan</v>
      </c>
      <c r="I390" t="s">
        <v>93</v>
      </c>
      <c r="J390" t="s">
        <v>41</v>
      </c>
      <c r="K390" t="s">
        <v>22</v>
      </c>
      <c r="L390" t="s">
        <v>89</v>
      </c>
      <c r="M390">
        <f>IFERROR( _xlfn.XLOOKUP(TRIM(tbl_HR_Data[[#This Row],[Age]]),#REF!,#REF!), VALUE(TRIM(tbl_HR_Data[[#This Row],[Age]])))</f>
        <v>0</v>
      </c>
      <c r="N390" t="str">
        <f>IFERROR(_xlfn.XLOOKUP(tbl_HR_Data[[#This Row],[Gender]], Mapping[Gender _Discarded], Mapping[Gender_Correction]), PROPER(TRIM(tbl_HR_Data[[#This Row],[Gender]])))</f>
        <v>Female</v>
      </c>
      <c r="O390" t="str">
        <f>TRIM(tbl_HR_Data[[#This Row],[Position]])</f>
        <v>Clerk</v>
      </c>
      <c r="P390" t="str">
        <f>IFERROR(_xlfn.XLOOKUP(tbl_HR_Data[[#This Row],[Email]], Mapping[Email_Discarded], Mapping[Email_Correction]), LOWER(TRIM(tbl_HR_Data[[#This Row],[Email]])))</f>
        <v>user@domain.com</v>
      </c>
      <c r="Q39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390" t="str" cm="1">
        <f t="array" ref="R390">_xlfn.REDUCE(Q390, {"-","/","_","\","(",")"}, _xlfn.LAMBDA(_xlpm.txt,_xlpm.itm, SUBSTITUTE(_xlpm.txt, _xlpm.itm, "")))</f>
        <v>5555555555</v>
      </c>
      <c r="S390" s="3">
        <f>IFERROR(_xlfn.XLOOKUP(tbl_HR_Data[[#This Row],[Joining Date]], Mapping[Joining_Discarded], Mapping[Joining_Correction]), VALUE(tbl_HR_Data[[#This Row],[Joining Date]]))</f>
        <v>43477</v>
      </c>
      <c r="T390" t="str">
        <f>TEXT(tbl_HR_Data[[#This Row],[Joining Date]], "mmm")</f>
        <v>Jan</v>
      </c>
      <c r="U390" t="str">
        <f>TEXT(tbl_HR_Data[[#This Row],[Joining Date]], "ddd")</f>
        <v>Sat</v>
      </c>
    </row>
    <row r="391" spans="1:21" x14ac:dyDescent="0.35">
      <c r="A391" t="s">
        <v>103</v>
      </c>
      <c r="B391">
        <v>50</v>
      </c>
      <c r="C391">
        <v>60000</v>
      </c>
      <c r="D391" t="s">
        <v>18</v>
      </c>
      <c r="E391" t="s">
        <v>26</v>
      </c>
      <c r="F391" t="s">
        <v>43</v>
      </c>
      <c r="G391" s="3">
        <v>43477</v>
      </c>
      <c r="H391" t="str">
        <f>TEXT(tbl_HR_Data[[#This Row],[Joining Date]], "mmm")</f>
        <v>Jan</v>
      </c>
      <c r="I391" t="s">
        <v>93</v>
      </c>
      <c r="J391" t="s">
        <v>21</v>
      </c>
      <c r="K391" t="s">
        <v>22</v>
      </c>
      <c r="L391" t="s">
        <v>77</v>
      </c>
      <c r="M391">
        <f>IFERROR( _xlfn.XLOOKUP(TRIM(tbl_HR_Data[[#This Row],[Age]]),#REF!,#REF!), VALUE(TRIM(tbl_HR_Data[[#This Row],[Age]])))</f>
        <v>50</v>
      </c>
      <c r="N391" t="str">
        <f>IFERROR(_xlfn.XLOOKUP(tbl_HR_Data[[#This Row],[Gender]], Mapping[Gender _Discarded], Mapping[Gender_Correction]), PROPER(TRIM(tbl_HR_Data[[#This Row],[Gender]])))</f>
        <v>Female</v>
      </c>
      <c r="O391" t="str">
        <f>TRIM(tbl_HR_Data[[#This Row],[Position]])</f>
        <v>Assistant</v>
      </c>
      <c r="P391" t="str">
        <f>IFERROR(_xlfn.XLOOKUP(tbl_HR_Data[[#This Row],[Email]], Mapping[Email_Discarded], Mapping[Email_Correction]), LOWER(TRIM(tbl_HR_Data[[#This Row],[Email]])))</f>
        <v>user@domain.com</v>
      </c>
      <c r="Q39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91" t="str" cm="1">
        <f t="array" ref="R391">_xlfn.REDUCE(Q391, {"-","/","_","\","(",")"}, _xlfn.LAMBDA(_xlpm.txt,_xlpm.itm, SUBSTITUTE(_xlpm.txt, _xlpm.itm, "")))</f>
        <v>Not Provided</v>
      </c>
      <c r="S391" s="3">
        <f>IFERROR(_xlfn.XLOOKUP(tbl_HR_Data[[#This Row],[Joining Date]], Mapping[Joining_Discarded], Mapping[Joining_Correction]), VALUE(tbl_HR_Data[[#This Row],[Joining Date]]))</f>
        <v>43477</v>
      </c>
      <c r="T391" t="str">
        <f>TEXT(tbl_HR_Data[[#This Row],[Joining Date]], "mmm")</f>
        <v>Jan</v>
      </c>
      <c r="U391" t="str">
        <f>TEXT(tbl_HR_Data[[#This Row],[Joining Date]], "ddd")</f>
        <v>Sat</v>
      </c>
    </row>
    <row r="392" spans="1:21" x14ac:dyDescent="0.35">
      <c r="A392" t="s">
        <v>101</v>
      </c>
      <c r="B392">
        <v>40</v>
      </c>
      <c r="C392">
        <v>60000</v>
      </c>
      <c r="D392" t="s">
        <v>11</v>
      </c>
      <c r="E392" t="s">
        <v>12</v>
      </c>
      <c r="F392" t="s">
        <v>43</v>
      </c>
      <c r="G392" s="3">
        <v>43477</v>
      </c>
      <c r="H392" t="str">
        <f>TEXT(tbl_HR_Data[[#This Row],[Joining Date]], "mmm")</f>
        <v>Jan</v>
      </c>
      <c r="I392" t="s">
        <v>93</v>
      </c>
      <c r="J392" t="s">
        <v>27</v>
      </c>
      <c r="K392" t="s">
        <v>22</v>
      </c>
      <c r="L392" t="s">
        <v>87</v>
      </c>
      <c r="M392">
        <f>IFERROR( _xlfn.XLOOKUP(TRIM(tbl_HR_Data[[#This Row],[Age]]),#REF!,#REF!), VALUE(TRIM(tbl_HR_Data[[#This Row],[Age]])))</f>
        <v>40</v>
      </c>
      <c r="N392" t="str">
        <f>IFERROR(_xlfn.XLOOKUP(tbl_HR_Data[[#This Row],[Gender]], Mapping[Gender _Discarded], Mapping[Gender_Correction]), PROPER(TRIM(tbl_HR_Data[[#This Row],[Gender]])))</f>
        <v>Male</v>
      </c>
      <c r="O392" t="str">
        <f>TRIM(tbl_HR_Data[[#This Row],[Position]])</f>
        <v>Assistant</v>
      </c>
      <c r="P392" t="str">
        <f>IFERROR(_xlfn.XLOOKUP(tbl_HR_Data[[#This Row],[Email]], Mapping[Email_Discarded], Mapping[Email_Correction]), LOWER(TRIM(tbl_HR_Data[[#This Row],[Email]])))</f>
        <v>user@domain.com</v>
      </c>
      <c r="Q39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392" t="str" cm="1">
        <f t="array" ref="R392">_xlfn.REDUCE(Q392, {"-","/","_","\","(",")"}, _xlfn.LAMBDA(_xlpm.txt,_xlpm.itm, SUBSTITUTE(_xlpm.txt, _xlpm.itm, "")))</f>
        <v>1234567890</v>
      </c>
      <c r="S392" s="3">
        <f>IFERROR(_xlfn.XLOOKUP(tbl_HR_Data[[#This Row],[Joining Date]], Mapping[Joining_Discarded], Mapping[Joining_Correction]), VALUE(tbl_HR_Data[[#This Row],[Joining Date]]))</f>
        <v>43477</v>
      </c>
      <c r="T392" t="str">
        <f>TEXT(tbl_HR_Data[[#This Row],[Joining Date]], "mmm")</f>
        <v>Jan</v>
      </c>
      <c r="U392" t="str">
        <f>TEXT(tbl_HR_Data[[#This Row],[Joining Date]], "ddd")</f>
        <v>Sat</v>
      </c>
    </row>
    <row r="393" spans="1:21" x14ac:dyDescent="0.35">
      <c r="A393" t="s">
        <v>103</v>
      </c>
      <c r="B393">
        <v>0</v>
      </c>
      <c r="C393">
        <v>65000</v>
      </c>
      <c r="D393" t="s">
        <v>36</v>
      </c>
      <c r="E393" t="s">
        <v>37</v>
      </c>
      <c r="F393" t="s">
        <v>20</v>
      </c>
      <c r="G393" s="3">
        <v>43549</v>
      </c>
      <c r="H393" t="str">
        <f>TEXT(tbl_HR_Data[[#This Row],[Joining Date]], "mmm")</f>
        <v>Mar</v>
      </c>
      <c r="I393" t="s">
        <v>94</v>
      </c>
      <c r="J393" t="s">
        <v>21</v>
      </c>
      <c r="K393" t="s">
        <v>22</v>
      </c>
      <c r="L393" t="s">
        <v>77</v>
      </c>
      <c r="M393">
        <f>IFERROR( _xlfn.XLOOKUP(TRIM(tbl_HR_Data[[#This Row],[Age]]),#REF!,#REF!), VALUE(TRIM(tbl_HR_Data[[#This Row],[Age]])))</f>
        <v>0</v>
      </c>
      <c r="N393" t="str">
        <f>IFERROR(_xlfn.XLOOKUP(tbl_HR_Data[[#This Row],[Gender]], Mapping[Gender _Discarded], Mapping[Gender_Correction]), PROPER(TRIM(tbl_HR_Data[[#This Row],[Gender]])))</f>
        <v>Other</v>
      </c>
      <c r="O393" t="str">
        <f>TRIM(tbl_HR_Data[[#This Row],[Position]])</f>
        <v>Director</v>
      </c>
      <c r="P393" t="str">
        <f>IFERROR(_xlfn.XLOOKUP(tbl_HR_Data[[#This Row],[Email]], Mapping[Email_Discarded], Mapping[Email_Correction]), LOWER(TRIM(tbl_HR_Data[[#This Row],[Email]])))</f>
        <v>user@domain.com</v>
      </c>
      <c r="Q39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93" t="str" cm="1">
        <f t="array" ref="R393">_xlfn.REDUCE(Q393, {"-","/","_","\","(",")"}, _xlfn.LAMBDA(_xlpm.txt,_xlpm.itm, SUBSTITUTE(_xlpm.txt, _xlpm.itm, "")))</f>
        <v>Not Provided</v>
      </c>
      <c r="S393" s="3">
        <f>IFERROR(_xlfn.XLOOKUP(tbl_HR_Data[[#This Row],[Joining Date]], Mapping[Joining_Discarded], Mapping[Joining_Correction]), VALUE(tbl_HR_Data[[#This Row],[Joining Date]]))</f>
        <v>43549</v>
      </c>
      <c r="T393" t="str">
        <f>TEXT(tbl_HR_Data[[#This Row],[Joining Date]], "mmm")</f>
        <v>Mar</v>
      </c>
      <c r="U393" t="str">
        <f>TEXT(tbl_HR_Data[[#This Row],[Joining Date]], "ddd")</f>
        <v>Mon</v>
      </c>
    </row>
    <row r="394" spans="1:21" x14ac:dyDescent="0.35">
      <c r="A394" t="s">
        <v>99</v>
      </c>
      <c r="B394">
        <v>0</v>
      </c>
      <c r="C394">
        <v>50000</v>
      </c>
      <c r="D394" t="s">
        <v>36</v>
      </c>
      <c r="E394" t="s">
        <v>12</v>
      </c>
      <c r="F394" t="s">
        <v>20</v>
      </c>
      <c r="G394" s="3">
        <v>43549</v>
      </c>
      <c r="H394" t="str">
        <f>TEXT(tbl_HR_Data[[#This Row],[Joining Date]], "mmm")</f>
        <v>Mar</v>
      </c>
      <c r="I394" t="s">
        <v>94</v>
      </c>
      <c r="J394" t="s">
        <v>27</v>
      </c>
      <c r="K394" t="s">
        <v>77</v>
      </c>
      <c r="L394" t="s">
        <v>77</v>
      </c>
      <c r="M394">
        <f>IFERROR( _xlfn.XLOOKUP(TRIM(tbl_HR_Data[[#This Row],[Age]]),#REF!,#REF!), VALUE(TRIM(tbl_HR_Data[[#This Row],[Age]])))</f>
        <v>0</v>
      </c>
      <c r="N394" t="str">
        <f>IFERROR(_xlfn.XLOOKUP(tbl_HR_Data[[#This Row],[Gender]], Mapping[Gender _Discarded], Mapping[Gender_Correction]), PROPER(TRIM(tbl_HR_Data[[#This Row],[Gender]])))</f>
        <v>Other</v>
      </c>
      <c r="O394" t="str">
        <f>TRIM(tbl_HR_Data[[#This Row],[Position]])</f>
        <v>Director</v>
      </c>
      <c r="P394" t="str">
        <f>IFERROR(_xlfn.XLOOKUP(tbl_HR_Data[[#This Row],[Email]], Mapping[Email_Discarded], Mapping[Email_Correction]), LOWER(TRIM(tbl_HR_Data[[#This Row],[Email]])))</f>
        <v>not provided</v>
      </c>
      <c r="Q39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94" t="str" cm="1">
        <f t="array" ref="R394">_xlfn.REDUCE(Q394, {"-","/","_","\","(",")"}, _xlfn.LAMBDA(_xlpm.txt,_xlpm.itm, SUBSTITUTE(_xlpm.txt, _xlpm.itm, "")))</f>
        <v>Not Provided</v>
      </c>
      <c r="S394" s="3">
        <f>IFERROR(_xlfn.XLOOKUP(tbl_HR_Data[[#This Row],[Joining Date]], Mapping[Joining_Discarded], Mapping[Joining_Correction]), VALUE(tbl_HR_Data[[#This Row],[Joining Date]]))</f>
        <v>43549</v>
      </c>
      <c r="T394" t="str">
        <f>TEXT(tbl_HR_Data[[#This Row],[Joining Date]], "mmm")</f>
        <v>Mar</v>
      </c>
      <c r="U394" t="str">
        <f>TEXT(tbl_HR_Data[[#This Row],[Joining Date]], "ddd")</f>
        <v>Mon</v>
      </c>
    </row>
    <row r="395" spans="1:21" x14ac:dyDescent="0.35">
      <c r="A395" t="s">
        <v>101</v>
      </c>
      <c r="B395">
        <v>25</v>
      </c>
      <c r="C395">
        <v>70000</v>
      </c>
      <c r="D395" t="s">
        <v>36</v>
      </c>
      <c r="E395" t="s">
        <v>19</v>
      </c>
      <c r="F395" t="s">
        <v>43</v>
      </c>
      <c r="G395" s="3">
        <v>43549</v>
      </c>
      <c r="H395" t="str">
        <f>TEXT(tbl_HR_Data[[#This Row],[Joining Date]], "mmm")</f>
        <v>Mar</v>
      </c>
      <c r="I395" t="s">
        <v>94</v>
      </c>
      <c r="J395" t="s">
        <v>31</v>
      </c>
      <c r="K395" t="s">
        <v>77</v>
      </c>
      <c r="L395" t="s">
        <v>77</v>
      </c>
      <c r="M395">
        <f>IFERROR( _xlfn.XLOOKUP(TRIM(tbl_HR_Data[[#This Row],[Age]]),#REF!,#REF!), VALUE(TRIM(tbl_HR_Data[[#This Row],[Age]])))</f>
        <v>25</v>
      </c>
      <c r="N395" t="str">
        <f>IFERROR(_xlfn.XLOOKUP(tbl_HR_Data[[#This Row],[Gender]], Mapping[Gender _Discarded], Mapping[Gender_Correction]), PROPER(TRIM(tbl_HR_Data[[#This Row],[Gender]])))</f>
        <v>Other</v>
      </c>
      <c r="O395" t="str">
        <f>TRIM(tbl_HR_Data[[#This Row],[Position]])</f>
        <v>Assistant</v>
      </c>
      <c r="P395" t="str">
        <f>IFERROR(_xlfn.XLOOKUP(tbl_HR_Data[[#This Row],[Email]], Mapping[Email_Discarded], Mapping[Email_Correction]), LOWER(TRIM(tbl_HR_Data[[#This Row],[Email]])))</f>
        <v>not provided</v>
      </c>
      <c r="Q39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95" t="str" cm="1">
        <f t="array" ref="R395">_xlfn.REDUCE(Q395, {"-","/","_","\","(",")"}, _xlfn.LAMBDA(_xlpm.txt,_xlpm.itm, SUBSTITUTE(_xlpm.txt, _xlpm.itm, "")))</f>
        <v>Not Provided</v>
      </c>
      <c r="S395" s="3">
        <f>IFERROR(_xlfn.XLOOKUP(tbl_HR_Data[[#This Row],[Joining Date]], Mapping[Joining_Discarded], Mapping[Joining_Correction]), VALUE(tbl_HR_Data[[#This Row],[Joining Date]]))</f>
        <v>43549</v>
      </c>
      <c r="T395" t="str">
        <f>TEXT(tbl_HR_Data[[#This Row],[Joining Date]], "mmm")</f>
        <v>Mar</v>
      </c>
      <c r="U395" t="str">
        <f>TEXT(tbl_HR_Data[[#This Row],[Joining Date]], "ddd")</f>
        <v>Mon</v>
      </c>
    </row>
    <row r="396" spans="1:21" x14ac:dyDescent="0.35">
      <c r="A396" t="s">
        <v>106</v>
      </c>
      <c r="B396">
        <v>25</v>
      </c>
      <c r="C396">
        <v>0</v>
      </c>
      <c r="D396" t="s">
        <v>11</v>
      </c>
      <c r="E396" t="s">
        <v>37</v>
      </c>
      <c r="F396" t="s">
        <v>20</v>
      </c>
      <c r="G396" s="3">
        <v>43549</v>
      </c>
      <c r="H396" t="str">
        <f>TEXT(tbl_HR_Data[[#This Row],[Joining Date]], "mmm")</f>
        <v>Mar</v>
      </c>
      <c r="I396" t="s">
        <v>94</v>
      </c>
      <c r="J396" t="s">
        <v>31</v>
      </c>
      <c r="K396" t="s">
        <v>77</v>
      </c>
      <c r="L396" t="s">
        <v>87</v>
      </c>
      <c r="M396">
        <f>IFERROR( _xlfn.XLOOKUP(TRIM(tbl_HR_Data[[#This Row],[Age]]),#REF!,#REF!), VALUE(TRIM(tbl_HR_Data[[#This Row],[Age]])))</f>
        <v>25</v>
      </c>
      <c r="N396" t="str">
        <f>IFERROR(_xlfn.XLOOKUP(tbl_HR_Data[[#This Row],[Gender]], Mapping[Gender _Discarded], Mapping[Gender_Correction]), PROPER(TRIM(tbl_HR_Data[[#This Row],[Gender]])))</f>
        <v>Male</v>
      </c>
      <c r="O396" t="str">
        <f>TRIM(tbl_HR_Data[[#This Row],[Position]])</f>
        <v>Director</v>
      </c>
      <c r="P396" t="str">
        <f>IFERROR(_xlfn.XLOOKUP(tbl_HR_Data[[#This Row],[Email]], Mapping[Email_Discarded], Mapping[Email_Correction]), LOWER(TRIM(tbl_HR_Data[[#This Row],[Email]])))</f>
        <v>not provided</v>
      </c>
      <c r="Q39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396" t="str" cm="1">
        <f t="array" ref="R396">_xlfn.REDUCE(Q396, {"-","/","_","\","(",")"}, _xlfn.LAMBDA(_xlpm.txt,_xlpm.itm, SUBSTITUTE(_xlpm.txt, _xlpm.itm, "")))</f>
        <v>1234567890</v>
      </c>
      <c r="S396" s="3">
        <f>IFERROR(_xlfn.XLOOKUP(tbl_HR_Data[[#This Row],[Joining Date]], Mapping[Joining_Discarded], Mapping[Joining_Correction]), VALUE(tbl_HR_Data[[#This Row],[Joining Date]]))</f>
        <v>43549</v>
      </c>
      <c r="T396" t="str">
        <f>TEXT(tbl_HR_Data[[#This Row],[Joining Date]], "mmm")</f>
        <v>Mar</v>
      </c>
      <c r="U396" t="str">
        <f>TEXT(tbl_HR_Data[[#This Row],[Joining Date]], "ddd")</f>
        <v>Mon</v>
      </c>
    </row>
    <row r="397" spans="1:21" x14ac:dyDescent="0.35">
      <c r="A397" t="s">
        <v>106</v>
      </c>
      <c r="B397">
        <v>50</v>
      </c>
      <c r="C397">
        <v>0</v>
      </c>
      <c r="D397" t="s">
        <v>18</v>
      </c>
      <c r="E397" t="s">
        <v>30</v>
      </c>
      <c r="F397" t="s">
        <v>39</v>
      </c>
      <c r="G397" s="3">
        <v>43549</v>
      </c>
      <c r="H397" t="str">
        <f>TEXT(tbl_HR_Data[[#This Row],[Joining Date]], "mmm")</f>
        <v>Mar</v>
      </c>
      <c r="I397" t="s">
        <v>94</v>
      </c>
      <c r="J397" t="s">
        <v>41</v>
      </c>
      <c r="K397" t="s">
        <v>15</v>
      </c>
      <c r="L397" t="s">
        <v>89</v>
      </c>
      <c r="M397">
        <f>IFERROR( _xlfn.XLOOKUP(TRIM(tbl_HR_Data[[#This Row],[Age]]),#REF!,#REF!), VALUE(TRIM(tbl_HR_Data[[#This Row],[Age]])))</f>
        <v>50</v>
      </c>
      <c r="N397" t="str">
        <f>IFERROR(_xlfn.XLOOKUP(tbl_HR_Data[[#This Row],[Gender]], Mapping[Gender _Discarded], Mapping[Gender_Correction]), PROPER(TRIM(tbl_HR_Data[[#This Row],[Gender]])))</f>
        <v>Female</v>
      </c>
      <c r="O397" t="str">
        <f>TRIM(tbl_HR_Data[[#This Row],[Position]])</f>
        <v>Clerk</v>
      </c>
      <c r="P397" t="str">
        <f>IFERROR(_xlfn.XLOOKUP(tbl_HR_Data[[#This Row],[Email]], Mapping[Email_Discarded], Mapping[Email_Correction]), LOWER(TRIM(tbl_HR_Data[[#This Row],[Email]])))</f>
        <v>email@example.com</v>
      </c>
      <c r="Q39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397" t="str" cm="1">
        <f t="array" ref="R397">_xlfn.REDUCE(Q397, {"-","/","_","\","(",")"}, _xlfn.LAMBDA(_xlpm.txt,_xlpm.itm, SUBSTITUTE(_xlpm.txt, _xlpm.itm, "")))</f>
        <v>5555555555</v>
      </c>
      <c r="S397" s="3">
        <f>IFERROR(_xlfn.XLOOKUP(tbl_HR_Data[[#This Row],[Joining Date]], Mapping[Joining_Discarded], Mapping[Joining_Correction]), VALUE(tbl_HR_Data[[#This Row],[Joining Date]]))</f>
        <v>43549</v>
      </c>
      <c r="T397" t="str">
        <f>TEXT(tbl_HR_Data[[#This Row],[Joining Date]], "mmm")</f>
        <v>Mar</v>
      </c>
      <c r="U397" t="str">
        <f>TEXT(tbl_HR_Data[[#This Row],[Joining Date]], "ddd")</f>
        <v>Mon</v>
      </c>
    </row>
    <row r="398" spans="1:21" x14ac:dyDescent="0.35">
      <c r="A398" t="s">
        <v>108</v>
      </c>
      <c r="B398">
        <v>25</v>
      </c>
      <c r="C398">
        <v>50000</v>
      </c>
      <c r="D398" t="s">
        <v>18</v>
      </c>
      <c r="E398" t="s">
        <v>19</v>
      </c>
      <c r="F398" t="s">
        <v>43</v>
      </c>
      <c r="G398" s="3">
        <v>43549</v>
      </c>
      <c r="H398" t="str">
        <f>TEXT(tbl_HR_Data[[#This Row],[Joining Date]], "mmm")</f>
        <v>Mar</v>
      </c>
      <c r="I398" t="s">
        <v>94</v>
      </c>
      <c r="J398" t="s">
        <v>14</v>
      </c>
      <c r="K398" t="s">
        <v>22</v>
      </c>
      <c r="L398" t="s">
        <v>77</v>
      </c>
      <c r="M398">
        <f>IFERROR( _xlfn.XLOOKUP(TRIM(tbl_HR_Data[[#This Row],[Age]]),#REF!,#REF!), VALUE(TRIM(tbl_HR_Data[[#This Row],[Age]])))</f>
        <v>25</v>
      </c>
      <c r="N398" t="str">
        <f>IFERROR(_xlfn.XLOOKUP(tbl_HR_Data[[#This Row],[Gender]], Mapping[Gender _Discarded], Mapping[Gender_Correction]), PROPER(TRIM(tbl_HR_Data[[#This Row],[Gender]])))</f>
        <v>Female</v>
      </c>
      <c r="O398" t="str">
        <f>TRIM(tbl_HR_Data[[#This Row],[Position]])</f>
        <v>Assistant</v>
      </c>
      <c r="P398" t="str">
        <f>IFERROR(_xlfn.XLOOKUP(tbl_HR_Data[[#This Row],[Email]], Mapping[Email_Discarded], Mapping[Email_Correction]), LOWER(TRIM(tbl_HR_Data[[#This Row],[Email]])))</f>
        <v>user@domain.com</v>
      </c>
      <c r="Q39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98" t="str" cm="1">
        <f t="array" ref="R398">_xlfn.REDUCE(Q398, {"-","/","_","\","(",")"}, _xlfn.LAMBDA(_xlpm.txt,_xlpm.itm, SUBSTITUTE(_xlpm.txt, _xlpm.itm, "")))</f>
        <v>Not Provided</v>
      </c>
      <c r="S398" s="3">
        <f>IFERROR(_xlfn.XLOOKUP(tbl_HR_Data[[#This Row],[Joining Date]], Mapping[Joining_Discarded], Mapping[Joining_Correction]), VALUE(tbl_HR_Data[[#This Row],[Joining Date]]))</f>
        <v>43549</v>
      </c>
      <c r="T398" t="str">
        <f>TEXT(tbl_HR_Data[[#This Row],[Joining Date]], "mmm")</f>
        <v>Mar</v>
      </c>
      <c r="U398" t="str">
        <f>TEXT(tbl_HR_Data[[#This Row],[Joining Date]], "ddd")</f>
        <v>Mon</v>
      </c>
    </row>
    <row r="399" spans="1:21" x14ac:dyDescent="0.35">
      <c r="A399" t="s">
        <v>105</v>
      </c>
      <c r="B399">
        <v>50</v>
      </c>
      <c r="C399">
        <v>50000</v>
      </c>
      <c r="D399" t="s">
        <v>36</v>
      </c>
      <c r="E399" t="s">
        <v>26</v>
      </c>
      <c r="F399" t="s">
        <v>39</v>
      </c>
      <c r="G399" s="3">
        <v>43549</v>
      </c>
      <c r="H399" t="str">
        <f>TEXT(tbl_HR_Data[[#This Row],[Joining Date]], "mmm")</f>
        <v>Mar</v>
      </c>
      <c r="I399" t="s">
        <v>94</v>
      </c>
      <c r="J399" t="s">
        <v>27</v>
      </c>
      <c r="K399" t="s">
        <v>32</v>
      </c>
      <c r="L399" t="s">
        <v>77</v>
      </c>
      <c r="M399">
        <f>IFERROR( _xlfn.XLOOKUP(TRIM(tbl_HR_Data[[#This Row],[Age]]),#REF!,#REF!), VALUE(TRIM(tbl_HR_Data[[#This Row],[Age]])))</f>
        <v>50</v>
      </c>
      <c r="N399" t="str">
        <f>IFERROR(_xlfn.XLOOKUP(tbl_HR_Data[[#This Row],[Gender]], Mapping[Gender _Discarded], Mapping[Gender_Correction]), PROPER(TRIM(tbl_HR_Data[[#This Row],[Gender]])))</f>
        <v>Other</v>
      </c>
      <c r="O399" t="str">
        <f>TRIM(tbl_HR_Data[[#This Row],[Position]])</f>
        <v>Clerk</v>
      </c>
      <c r="P399" t="str">
        <f>IFERROR(_xlfn.XLOOKUP(tbl_HR_Data[[#This Row],[Email]], Mapping[Email_Discarded], Mapping[Email_Correction]), LOWER(TRIM(tbl_HR_Data[[#This Row],[Email]])))</f>
        <v>name@company.org</v>
      </c>
      <c r="Q39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399" t="str" cm="1">
        <f t="array" ref="R399">_xlfn.REDUCE(Q399, {"-","/","_","\","(",")"}, _xlfn.LAMBDA(_xlpm.txt,_xlpm.itm, SUBSTITUTE(_xlpm.txt, _xlpm.itm, "")))</f>
        <v>Not Provided</v>
      </c>
      <c r="S399" s="3">
        <f>IFERROR(_xlfn.XLOOKUP(tbl_HR_Data[[#This Row],[Joining Date]], Mapping[Joining_Discarded], Mapping[Joining_Correction]), VALUE(tbl_HR_Data[[#This Row],[Joining Date]]))</f>
        <v>43549</v>
      </c>
      <c r="T399" t="str">
        <f>TEXT(tbl_HR_Data[[#This Row],[Joining Date]], "mmm")</f>
        <v>Mar</v>
      </c>
      <c r="U399" t="str">
        <f>TEXT(tbl_HR_Data[[#This Row],[Joining Date]], "ddd")</f>
        <v>Mon</v>
      </c>
    </row>
    <row r="400" spans="1:21" x14ac:dyDescent="0.35">
      <c r="A400" t="s">
        <v>103</v>
      </c>
      <c r="B400">
        <v>35</v>
      </c>
      <c r="C400">
        <v>60000</v>
      </c>
      <c r="D400" t="s">
        <v>36</v>
      </c>
      <c r="E400" t="s">
        <v>26</v>
      </c>
      <c r="F400" t="s">
        <v>44</v>
      </c>
      <c r="G400" s="3">
        <v>43549</v>
      </c>
      <c r="H400" t="str">
        <f>TEXT(tbl_HR_Data[[#This Row],[Joining Date]], "mmm")</f>
        <v>Mar</v>
      </c>
      <c r="I400" t="s">
        <v>94</v>
      </c>
      <c r="J400" t="s">
        <v>14</v>
      </c>
      <c r="K400" t="s">
        <v>77</v>
      </c>
      <c r="L400" t="s">
        <v>87</v>
      </c>
      <c r="M400">
        <f>IFERROR( _xlfn.XLOOKUP(TRIM(tbl_HR_Data[[#This Row],[Age]]),#REF!,#REF!), VALUE(TRIM(tbl_HR_Data[[#This Row],[Age]])))</f>
        <v>35</v>
      </c>
      <c r="N400" t="str">
        <f>IFERROR(_xlfn.XLOOKUP(tbl_HR_Data[[#This Row],[Gender]], Mapping[Gender _Discarded], Mapping[Gender_Correction]), PROPER(TRIM(tbl_HR_Data[[#This Row],[Gender]])))</f>
        <v>Other</v>
      </c>
      <c r="O400" t="str">
        <f>TRIM(tbl_HR_Data[[#This Row],[Position]])</f>
        <v>Analyst</v>
      </c>
      <c r="P400" t="str">
        <f>IFERROR(_xlfn.XLOOKUP(tbl_HR_Data[[#This Row],[Email]], Mapping[Email_Discarded], Mapping[Email_Correction]), LOWER(TRIM(tbl_HR_Data[[#This Row],[Email]])))</f>
        <v>not provided</v>
      </c>
      <c r="Q40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400" t="str" cm="1">
        <f t="array" ref="R400">_xlfn.REDUCE(Q400, {"-","/","_","\","(",")"}, _xlfn.LAMBDA(_xlpm.txt,_xlpm.itm, SUBSTITUTE(_xlpm.txt, _xlpm.itm, "")))</f>
        <v>1234567890</v>
      </c>
      <c r="S400" s="3">
        <f>IFERROR(_xlfn.XLOOKUP(tbl_HR_Data[[#This Row],[Joining Date]], Mapping[Joining_Discarded], Mapping[Joining_Correction]), VALUE(tbl_HR_Data[[#This Row],[Joining Date]]))</f>
        <v>43549</v>
      </c>
      <c r="T400" t="str">
        <f>TEXT(tbl_HR_Data[[#This Row],[Joining Date]], "mmm")</f>
        <v>Mar</v>
      </c>
      <c r="U400" t="str">
        <f>TEXT(tbl_HR_Data[[#This Row],[Joining Date]], "ddd")</f>
        <v>Mon</v>
      </c>
    </row>
    <row r="401" spans="1:21" x14ac:dyDescent="0.35">
      <c r="A401" t="s">
        <v>100</v>
      </c>
      <c r="B401">
        <v>0</v>
      </c>
      <c r="C401">
        <v>50000</v>
      </c>
      <c r="D401" t="s">
        <v>18</v>
      </c>
      <c r="E401" t="s">
        <v>37</v>
      </c>
      <c r="F401" t="s">
        <v>13</v>
      </c>
      <c r="G401" s="3">
        <v>43549</v>
      </c>
      <c r="H401" t="str">
        <f>TEXT(tbl_HR_Data[[#This Row],[Joining Date]], "mmm")</f>
        <v>Mar</v>
      </c>
      <c r="I401" t="s">
        <v>94</v>
      </c>
      <c r="J401" t="s">
        <v>41</v>
      </c>
      <c r="K401" t="s">
        <v>77</v>
      </c>
      <c r="L401" t="s">
        <v>77</v>
      </c>
      <c r="M401">
        <f>IFERROR( _xlfn.XLOOKUP(TRIM(tbl_HR_Data[[#This Row],[Age]]),#REF!,#REF!), VALUE(TRIM(tbl_HR_Data[[#This Row],[Age]])))</f>
        <v>0</v>
      </c>
      <c r="N401" t="str">
        <f>IFERROR(_xlfn.XLOOKUP(tbl_HR_Data[[#This Row],[Gender]], Mapping[Gender _Discarded], Mapping[Gender_Correction]), PROPER(TRIM(tbl_HR_Data[[#This Row],[Gender]])))</f>
        <v>Female</v>
      </c>
      <c r="O401" t="str">
        <f>TRIM(tbl_HR_Data[[#This Row],[Position]])</f>
        <v>Manager</v>
      </c>
      <c r="P401" t="str">
        <f>IFERROR(_xlfn.XLOOKUP(tbl_HR_Data[[#This Row],[Email]], Mapping[Email_Discarded], Mapping[Email_Correction]), LOWER(TRIM(tbl_HR_Data[[#This Row],[Email]])))</f>
        <v>not provided</v>
      </c>
      <c r="Q40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01" t="str" cm="1">
        <f t="array" ref="R401">_xlfn.REDUCE(Q401, {"-","/","_","\","(",")"}, _xlfn.LAMBDA(_xlpm.txt,_xlpm.itm, SUBSTITUTE(_xlpm.txt, _xlpm.itm, "")))</f>
        <v>Not Provided</v>
      </c>
      <c r="S401" s="3">
        <f>IFERROR(_xlfn.XLOOKUP(tbl_HR_Data[[#This Row],[Joining Date]], Mapping[Joining_Discarded], Mapping[Joining_Correction]), VALUE(tbl_HR_Data[[#This Row],[Joining Date]]))</f>
        <v>43549</v>
      </c>
      <c r="T401" t="str">
        <f>TEXT(tbl_HR_Data[[#This Row],[Joining Date]], "mmm")</f>
        <v>Mar</v>
      </c>
      <c r="U401" t="str">
        <f>TEXT(tbl_HR_Data[[#This Row],[Joining Date]], "ddd")</f>
        <v>Mon</v>
      </c>
    </row>
    <row r="402" spans="1:21" x14ac:dyDescent="0.35">
      <c r="A402" t="s">
        <v>108</v>
      </c>
      <c r="B402">
        <v>25</v>
      </c>
      <c r="C402">
        <v>0</v>
      </c>
      <c r="D402" t="s">
        <v>36</v>
      </c>
      <c r="E402" t="s">
        <v>12</v>
      </c>
      <c r="F402" t="s">
        <v>43</v>
      </c>
      <c r="G402" s="3">
        <v>43549</v>
      </c>
      <c r="H402" t="str">
        <f>TEXT(tbl_HR_Data[[#This Row],[Joining Date]], "mmm")</f>
        <v>Mar</v>
      </c>
      <c r="I402" t="s">
        <v>94</v>
      </c>
      <c r="J402" t="s">
        <v>31</v>
      </c>
      <c r="K402" t="s">
        <v>15</v>
      </c>
      <c r="L402" t="s">
        <v>88</v>
      </c>
      <c r="M402">
        <f>IFERROR( _xlfn.XLOOKUP(TRIM(tbl_HR_Data[[#This Row],[Age]]),#REF!,#REF!), VALUE(TRIM(tbl_HR_Data[[#This Row],[Age]])))</f>
        <v>25</v>
      </c>
      <c r="N402" t="str">
        <f>IFERROR(_xlfn.XLOOKUP(tbl_HR_Data[[#This Row],[Gender]], Mapping[Gender _Discarded], Mapping[Gender_Correction]), PROPER(TRIM(tbl_HR_Data[[#This Row],[Gender]])))</f>
        <v>Other</v>
      </c>
      <c r="O402" t="str">
        <f>TRIM(tbl_HR_Data[[#This Row],[Position]])</f>
        <v>Assistant</v>
      </c>
      <c r="P402" t="str">
        <f>IFERROR(_xlfn.XLOOKUP(tbl_HR_Data[[#This Row],[Email]], Mapping[Email_Discarded], Mapping[Email_Correction]), LOWER(TRIM(tbl_HR_Data[[#This Row],[Email]])))</f>
        <v>email@example.com</v>
      </c>
      <c r="Q40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402" t="str" cm="1">
        <f t="array" ref="R402">_xlfn.REDUCE(Q402, {"-","/","_","\","(",")"}, _xlfn.LAMBDA(_xlpm.txt,_xlpm.itm, SUBSTITUTE(_xlpm.txt, _xlpm.itm, "")))</f>
        <v>0987654321</v>
      </c>
      <c r="S402" s="3">
        <f>IFERROR(_xlfn.XLOOKUP(tbl_HR_Data[[#This Row],[Joining Date]], Mapping[Joining_Discarded], Mapping[Joining_Correction]), VALUE(tbl_HR_Data[[#This Row],[Joining Date]]))</f>
        <v>43549</v>
      </c>
      <c r="T402" t="str">
        <f>TEXT(tbl_HR_Data[[#This Row],[Joining Date]], "mmm")</f>
        <v>Mar</v>
      </c>
      <c r="U402" t="str">
        <f>TEXT(tbl_HR_Data[[#This Row],[Joining Date]], "ddd")</f>
        <v>Mon</v>
      </c>
    </row>
    <row r="403" spans="1:21" x14ac:dyDescent="0.35">
      <c r="A403" t="s">
        <v>108</v>
      </c>
      <c r="B403">
        <v>30</v>
      </c>
      <c r="C403">
        <v>70000</v>
      </c>
      <c r="D403" t="s">
        <v>18</v>
      </c>
      <c r="E403" t="s">
        <v>30</v>
      </c>
      <c r="F403" t="s">
        <v>20</v>
      </c>
      <c r="G403" s="3">
        <v>43549</v>
      </c>
      <c r="H403" t="str">
        <f>TEXT(tbl_HR_Data[[#This Row],[Joining Date]], "mmm")</f>
        <v>Mar</v>
      </c>
      <c r="I403" t="s">
        <v>94</v>
      </c>
      <c r="J403" t="s">
        <v>31</v>
      </c>
      <c r="K403" t="s">
        <v>77</v>
      </c>
      <c r="L403" t="s">
        <v>88</v>
      </c>
      <c r="M403">
        <f>IFERROR( _xlfn.XLOOKUP(TRIM(tbl_HR_Data[[#This Row],[Age]]),#REF!,#REF!), VALUE(TRIM(tbl_HR_Data[[#This Row],[Age]])))</f>
        <v>30</v>
      </c>
      <c r="N403" t="str">
        <f>IFERROR(_xlfn.XLOOKUP(tbl_HR_Data[[#This Row],[Gender]], Mapping[Gender _Discarded], Mapping[Gender_Correction]), PROPER(TRIM(tbl_HR_Data[[#This Row],[Gender]])))</f>
        <v>Female</v>
      </c>
      <c r="O403" t="str">
        <f>TRIM(tbl_HR_Data[[#This Row],[Position]])</f>
        <v>Director</v>
      </c>
      <c r="P403" t="str">
        <f>IFERROR(_xlfn.XLOOKUP(tbl_HR_Data[[#This Row],[Email]], Mapping[Email_Discarded], Mapping[Email_Correction]), LOWER(TRIM(tbl_HR_Data[[#This Row],[Email]])))</f>
        <v>not provided</v>
      </c>
      <c r="Q40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403" t="str" cm="1">
        <f t="array" ref="R403">_xlfn.REDUCE(Q403, {"-","/","_","\","(",")"}, _xlfn.LAMBDA(_xlpm.txt,_xlpm.itm, SUBSTITUTE(_xlpm.txt, _xlpm.itm, "")))</f>
        <v>0987654321</v>
      </c>
      <c r="S403" s="3">
        <f>IFERROR(_xlfn.XLOOKUP(tbl_HR_Data[[#This Row],[Joining Date]], Mapping[Joining_Discarded], Mapping[Joining_Correction]), VALUE(tbl_HR_Data[[#This Row],[Joining Date]]))</f>
        <v>43549</v>
      </c>
      <c r="T403" t="str">
        <f>TEXT(tbl_HR_Data[[#This Row],[Joining Date]], "mmm")</f>
        <v>Mar</v>
      </c>
      <c r="U403" t="str">
        <f>TEXT(tbl_HR_Data[[#This Row],[Joining Date]], "ddd")</f>
        <v>Mon</v>
      </c>
    </row>
    <row r="404" spans="1:21" x14ac:dyDescent="0.35">
      <c r="A404" t="s">
        <v>101</v>
      </c>
      <c r="B404">
        <v>35</v>
      </c>
      <c r="C404">
        <v>60000</v>
      </c>
      <c r="D404" t="s">
        <v>11</v>
      </c>
      <c r="E404" t="s">
        <v>19</v>
      </c>
      <c r="F404" t="s">
        <v>13</v>
      </c>
      <c r="G404" s="3">
        <v>43549</v>
      </c>
      <c r="H404" t="str">
        <f>TEXT(tbl_HR_Data[[#This Row],[Joining Date]], "mmm")</f>
        <v>Mar</v>
      </c>
      <c r="I404" t="s">
        <v>94</v>
      </c>
      <c r="J404" t="s">
        <v>41</v>
      </c>
      <c r="K404" t="s">
        <v>77</v>
      </c>
      <c r="L404" t="s">
        <v>77</v>
      </c>
      <c r="M404">
        <f>IFERROR( _xlfn.XLOOKUP(TRIM(tbl_HR_Data[[#This Row],[Age]]),#REF!,#REF!), VALUE(TRIM(tbl_HR_Data[[#This Row],[Age]])))</f>
        <v>35</v>
      </c>
      <c r="N404" t="str">
        <f>IFERROR(_xlfn.XLOOKUP(tbl_HR_Data[[#This Row],[Gender]], Mapping[Gender _Discarded], Mapping[Gender_Correction]), PROPER(TRIM(tbl_HR_Data[[#This Row],[Gender]])))</f>
        <v>Male</v>
      </c>
      <c r="O404" t="str">
        <f>TRIM(tbl_HR_Data[[#This Row],[Position]])</f>
        <v>Manager</v>
      </c>
      <c r="P404" t="str">
        <f>IFERROR(_xlfn.XLOOKUP(tbl_HR_Data[[#This Row],[Email]], Mapping[Email_Discarded], Mapping[Email_Correction]), LOWER(TRIM(tbl_HR_Data[[#This Row],[Email]])))</f>
        <v>not provided</v>
      </c>
      <c r="Q40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04" t="str" cm="1">
        <f t="array" ref="R404">_xlfn.REDUCE(Q404, {"-","/","_","\","(",")"}, _xlfn.LAMBDA(_xlpm.txt,_xlpm.itm, SUBSTITUTE(_xlpm.txt, _xlpm.itm, "")))</f>
        <v>Not Provided</v>
      </c>
      <c r="S404" s="3">
        <f>IFERROR(_xlfn.XLOOKUP(tbl_HR_Data[[#This Row],[Joining Date]], Mapping[Joining_Discarded], Mapping[Joining_Correction]), VALUE(tbl_HR_Data[[#This Row],[Joining Date]]))</f>
        <v>43549</v>
      </c>
      <c r="T404" t="str">
        <f>TEXT(tbl_HR_Data[[#This Row],[Joining Date]], "mmm")</f>
        <v>Mar</v>
      </c>
      <c r="U404" t="str">
        <f>TEXT(tbl_HR_Data[[#This Row],[Joining Date]], "ddd")</f>
        <v>Mon</v>
      </c>
    </row>
    <row r="405" spans="1:21" x14ac:dyDescent="0.35">
      <c r="A405" t="s">
        <v>107</v>
      </c>
      <c r="B405">
        <v>25</v>
      </c>
      <c r="C405">
        <v>65000</v>
      </c>
      <c r="D405" t="s">
        <v>18</v>
      </c>
      <c r="E405" t="s">
        <v>26</v>
      </c>
      <c r="F405" t="s">
        <v>44</v>
      </c>
      <c r="G405" s="3">
        <v>43549</v>
      </c>
      <c r="H405" t="str">
        <f>TEXT(tbl_HR_Data[[#This Row],[Joining Date]], "mmm")</f>
        <v>Mar</v>
      </c>
      <c r="I405" t="s">
        <v>94</v>
      </c>
      <c r="J405" t="s">
        <v>31</v>
      </c>
      <c r="K405" t="s">
        <v>22</v>
      </c>
      <c r="L405" t="s">
        <v>87</v>
      </c>
      <c r="M405">
        <f>IFERROR( _xlfn.XLOOKUP(TRIM(tbl_HR_Data[[#This Row],[Age]]),#REF!,#REF!), VALUE(TRIM(tbl_HR_Data[[#This Row],[Age]])))</f>
        <v>25</v>
      </c>
      <c r="N405" t="str">
        <f>IFERROR(_xlfn.XLOOKUP(tbl_HR_Data[[#This Row],[Gender]], Mapping[Gender _Discarded], Mapping[Gender_Correction]), PROPER(TRIM(tbl_HR_Data[[#This Row],[Gender]])))</f>
        <v>Female</v>
      </c>
      <c r="O405" t="str">
        <f>TRIM(tbl_HR_Data[[#This Row],[Position]])</f>
        <v>Analyst</v>
      </c>
      <c r="P405" t="str">
        <f>IFERROR(_xlfn.XLOOKUP(tbl_HR_Data[[#This Row],[Email]], Mapping[Email_Discarded], Mapping[Email_Correction]), LOWER(TRIM(tbl_HR_Data[[#This Row],[Email]])))</f>
        <v>user@domain.com</v>
      </c>
      <c r="Q40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405" t="str" cm="1">
        <f t="array" ref="R405">_xlfn.REDUCE(Q405, {"-","/","_","\","(",")"}, _xlfn.LAMBDA(_xlpm.txt,_xlpm.itm, SUBSTITUTE(_xlpm.txt, _xlpm.itm, "")))</f>
        <v>1234567890</v>
      </c>
      <c r="S405" s="3">
        <f>IFERROR(_xlfn.XLOOKUP(tbl_HR_Data[[#This Row],[Joining Date]], Mapping[Joining_Discarded], Mapping[Joining_Correction]), VALUE(tbl_HR_Data[[#This Row],[Joining Date]]))</f>
        <v>43549</v>
      </c>
      <c r="T405" t="str">
        <f>TEXT(tbl_HR_Data[[#This Row],[Joining Date]], "mmm")</f>
        <v>Mar</v>
      </c>
      <c r="U405" t="str">
        <f>TEXT(tbl_HR_Data[[#This Row],[Joining Date]], "ddd")</f>
        <v>Mon</v>
      </c>
    </row>
    <row r="406" spans="1:21" x14ac:dyDescent="0.35">
      <c r="A406" t="s">
        <v>106</v>
      </c>
      <c r="B406">
        <v>50</v>
      </c>
      <c r="C406">
        <v>60000</v>
      </c>
      <c r="D406" t="s">
        <v>11</v>
      </c>
      <c r="E406" t="s">
        <v>19</v>
      </c>
      <c r="F406" t="s">
        <v>39</v>
      </c>
      <c r="G406" s="3">
        <v>43549</v>
      </c>
      <c r="H406" t="str">
        <f>TEXT(tbl_HR_Data[[#This Row],[Joining Date]], "mmm")</f>
        <v>Mar</v>
      </c>
      <c r="I406" t="s">
        <v>94</v>
      </c>
      <c r="J406" t="s">
        <v>14</v>
      </c>
      <c r="K406" t="s">
        <v>77</v>
      </c>
      <c r="L406" t="s">
        <v>88</v>
      </c>
      <c r="M406">
        <f>IFERROR( _xlfn.XLOOKUP(TRIM(tbl_HR_Data[[#This Row],[Age]]),#REF!,#REF!), VALUE(TRIM(tbl_HR_Data[[#This Row],[Age]])))</f>
        <v>50</v>
      </c>
      <c r="N406" t="str">
        <f>IFERROR(_xlfn.XLOOKUP(tbl_HR_Data[[#This Row],[Gender]], Mapping[Gender _Discarded], Mapping[Gender_Correction]), PROPER(TRIM(tbl_HR_Data[[#This Row],[Gender]])))</f>
        <v>Male</v>
      </c>
      <c r="O406" t="str">
        <f>TRIM(tbl_HR_Data[[#This Row],[Position]])</f>
        <v>Clerk</v>
      </c>
      <c r="P406" t="str">
        <f>IFERROR(_xlfn.XLOOKUP(tbl_HR_Data[[#This Row],[Email]], Mapping[Email_Discarded], Mapping[Email_Correction]), LOWER(TRIM(tbl_HR_Data[[#This Row],[Email]])))</f>
        <v>not provided</v>
      </c>
      <c r="Q40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406" t="str" cm="1">
        <f t="array" ref="R406">_xlfn.REDUCE(Q406, {"-","/","_","\","(",")"}, _xlfn.LAMBDA(_xlpm.txt,_xlpm.itm, SUBSTITUTE(_xlpm.txt, _xlpm.itm, "")))</f>
        <v>0987654321</v>
      </c>
      <c r="S406" s="3">
        <f>IFERROR(_xlfn.XLOOKUP(tbl_HR_Data[[#This Row],[Joining Date]], Mapping[Joining_Discarded], Mapping[Joining_Correction]), VALUE(tbl_HR_Data[[#This Row],[Joining Date]]))</f>
        <v>43549</v>
      </c>
      <c r="T406" t="str">
        <f>TEXT(tbl_HR_Data[[#This Row],[Joining Date]], "mmm")</f>
        <v>Mar</v>
      </c>
      <c r="U406" t="str">
        <f>TEXT(tbl_HR_Data[[#This Row],[Joining Date]], "ddd")</f>
        <v>Mon</v>
      </c>
    </row>
    <row r="407" spans="1:21" x14ac:dyDescent="0.35">
      <c r="A407" t="s">
        <v>103</v>
      </c>
      <c r="B407">
        <v>0</v>
      </c>
      <c r="C407">
        <v>0</v>
      </c>
      <c r="D407" t="s">
        <v>36</v>
      </c>
      <c r="E407" t="s">
        <v>26</v>
      </c>
      <c r="F407" t="s">
        <v>20</v>
      </c>
      <c r="G407" s="3">
        <v>43549</v>
      </c>
      <c r="H407" t="str">
        <f>TEXT(tbl_HR_Data[[#This Row],[Joining Date]], "mmm")</f>
        <v>Mar</v>
      </c>
      <c r="I407" t="s">
        <v>94</v>
      </c>
      <c r="J407" t="s">
        <v>41</v>
      </c>
      <c r="K407" t="s">
        <v>32</v>
      </c>
      <c r="L407" t="s">
        <v>88</v>
      </c>
      <c r="M407">
        <f>IFERROR( _xlfn.XLOOKUP(TRIM(tbl_HR_Data[[#This Row],[Age]]),#REF!,#REF!), VALUE(TRIM(tbl_HR_Data[[#This Row],[Age]])))</f>
        <v>0</v>
      </c>
      <c r="N407" t="str">
        <f>IFERROR(_xlfn.XLOOKUP(tbl_HR_Data[[#This Row],[Gender]], Mapping[Gender _Discarded], Mapping[Gender_Correction]), PROPER(TRIM(tbl_HR_Data[[#This Row],[Gender]])))</f>
        <v>Other</v>
      </c>
      <c r="O407" t="str">
        <f>TRIM(tbl_HR_Data[[#This Row],[Position]])</f>
        <v>Director</v>
      </c>
      <c r="P407" t="str">
        <f>IFERROR(_xlfn.XLOOKUP(tbl_HR_Data[[#This Row],[Email]], Mapping[Email_Discarded], Mapping[Email_Correction]), LOWER(TRIM(tbl_HR_Data[[#This Row],[Email]])))</f>
        <v>name@company.org</v>
      </c>
      <c r="Q40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407" t="str" cm="1">
        <f t="array" ref="R407">_xlfn.REDUCE(Q407, {"-","/","_","\","(",")"}, _xlfn.LAMBDA(_xlpm.txt,_xlpm.itm, SUBSTITUTE(_xlpm.txt, _xlpm.itm, "")))</f>
        <v>0987654321</v>
      </c>
      <c r="S407" s="3">
        <f>IFERROR(_xlfn.XLOOKUP(tbl_HR_Data[[#This Row],[Joining Date]], Mapping[Joining_Discarded], Mapping[Joining_Correction]), VALUE(tbl_HR_Data[[#This Row],[Joining Date]]))</f>
        <v>43549</v>
      </c>
      <c r="T407" t="str">
        <f>TEXT(tbl_HR_Data[[#This Row],[Joining Date]], "mmm")</f>
        <v>Mar</v>
      </c>
      <c r="U407" t="str">
        <f>TEXT(tbl_HR_Data[[#This Row],[Joining Date]], "ddd")</f>
        <v>Mon</v>
      </c>
    </row>
    <row r="408" spans="1:21" x14ac:dyDescent="0.35">
      <c r="A408" t="s">
        <v>103</v>
      </c>
      <c r="B408">
        <v>40</v>
      </c>
      <c r="C408">
        <v>60000</v>
      </c>
      <c r="D408" t="s">
        <v>18</v>
      </c>
      <c r="E408" t="s">
        <v>37</v>
      </c>
      <c r="F408" t="s">
        <v>43</v>
      </c>
      <c r="G408" s="3">
        <v>43549</v>
      </c>
      <c r="H408" t="str">
        <f>TEXT(tbl_HR_Data[[#This Row],[Joining Date]], "mmm")</f>
        <v>Mar</v>
      </c>
      <c r="I408" t="s">
        <v>94</v>
      </c>
      <c r="J408" t="s">
        <v>14</v>
      </c>
      <c r="K408" t="s">
        <v>77</v>
      </c>
      <c r="L408" t="s">
        <v>89</v>
      </c>
      <c r="M408">
        <f>IFERROR( _xlfn.XLOOKUP(TRIM(tbl_HR_Data[[#This Row],[Age]]),#REF!,#REF!), VALUE(TRIM(tbl_HR_Data[[#This Row],[Age]])))</f>
        <v>40</v>
      </c>
      <c r="N408" t="str">
        <f>IFERROR(_xlfn.XLOOKUP(tbl_HR_Data[[#This Row],[Gender]], Mapping[Gender _Discarded], Mapping[Gender_Correction]), PROPER(TRIM(tbl_HR_Data[[#This Row],[Gender]])))</f>
        <v>Female</v>
      </c>
      <c r="O408" t="str">
        <f>TRIM(tbl_HR_Data[[#This Row],[Position]])</f>
        <v>Assistant</v>
      </c>
      <c r="P408" t="str">
        <f>IFERROR(_xlfn.XLOOKUP(tbl_HR_Data[[#This Row],[Email]], Mapping[Email_Discarded], Mapping[Email_Correction]), LOWER(TRIM(tbl_HR_Data[[#This Row],[Email]])))</f>
        <v>not provided</v>
      </c>
      <c r="Q40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408" t="str" cm="1">
        <f t="array" ref="R408">_xlfn.REDUCE(Q408, {"-","/","_","\","(",")"}, _xlfn.LAMBDA(_xlpm.txt,_xlpm.itm, SUBSTITUTE(_xlpm.txt, _xlpm.itm, "")))</f>
        <v>5555555555</v>
      </c>
      <c r="S408" s="3">
        <f>IFERROR(_xlfn.XLOOKUP(tbl_HR_Data[[#This Row],[Joining Date]], Mapping[Joining_Discarded], Mapping[Joining_Correction]), VALUE(tbl_HR_Data[[#This Row],[Joining Date]]))</f>
        <v>43549</v>
      </c>
      <c r="T408" t="str">
        <f>TEXT(tbl_HR_Data[[#This Row],[Joining Date]], "mmm")</f>
        <v>Mar</v>
      </c>
      <c r="U408" t="str">
        <f>TEXT(tbl_HR_Data[[#This Row],[Joining Date]], "ddd")</f>
        <v>Mon</v>
      </c>
    </row>
    <row r="409" spans="1:21" x14ac:dyDescent="0.35">
      <c r="A409" t="s">
        <v>100</v>
      </c>
      <c r="B409">
        <v>30</v>
      </c>
      <c r="C409">
        <v>0</v>
      </c>
      <c r="D409" t="s">
        <v>11</v>
      </c>
      <c r="E409" t="s">
        <v>19</v>
      </c>
      <c r="F409" t="s">
        <v>20</v>
      </c>
      <c r="G409" s="3">
        <v>43549</v>
      </c>
      <c r="H409" t="str">
        <f>TEXT(tbl_HR_Data[[#This Row],[Joining Date]], "mmm")</f>
        <v>Mar</v>
      </c>
      <c r="I409" t="s">
        <v>94</v>
      </c>
      <c r="J409" t="s">
        <v>21</v>
      </c>
      <c r="K409" t="s">
        <v>15</v>
      </c>
      <c r="L409" t="s">
        <v>77</v>
      </c>
      <c r="M409">
        <f>IFERROR( _xlfn.XLOOKUP(TRIM(tbl_HR_Data[[#This Row],[Age]]),#REF!,#REF!), VALUE(TRIM(tbl_HR_Data[[#This Row],[Age]])))</f>
        <v>30</v>
      </c>
      <c r="N409" t="str">
        <f>IFERROR(_xlfn.XLOOKUP(tbl_HR_Data[[#This Row],[Gender]], Mapping[Gender _Discarded], Mapping[Gender_Correction]), PROPER(TRIM(tbl_HR_Data[[#This Row],[Gender]])))</f>
        <v>Male</v>
      </c>
      <c r="O409" t="str">
        <f>TRIM(tbl_HR_Data[[#This Row],[Position]])</f>
        <v>Director</v>
      </c>
      <c r="P409" t="str">
        <f>IFERROR(_xlfn.XLOOKUP(tbl_HR_Data[[#This Row],[Email]], Mapping[Email_Discarded], Mapping[Email_Correction]), LOWER(TRIM(tbl_HR_Data[[#This Row],[Email]])))</f>
        <v>email@example.com</v>
      </c>
      <c r="Q40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09" t="str" cm="1">
        <f t="array" ref="R409">_xlfn.REDUCE(Q409, {"-","/","_","\","(",")"}, _xlfn.LAMBDA(_xlpm.txt,_xlpm.itm, SUBSTITUTE(_xlpm.txt, _xlpm.itm, "")))</f>
        <v>Not Provided</v>
      </c>
      <c r="S409" s="3">
        <f>IFERROR(_xlfn.XLOOKUP(tbl_HR_Data[[#This Row],[Joining Date]], Mapping[Joining_Discarded], Mapping[Joining_Correction]), VALUE(tbl_HR_Data[[#This Row],[Joining Date]]))</f>
        <v>43549</v>
      </c>
      <c r="T409" t="str">
        <f>TEXT(tbl_HR_Data[[#This Row],[Joining Date]], "mmm")</f>
        <v>Mar</v>
      </c>
      <c r="U409" t="str">
        <f>TEXT(tbl_HR_Data[[#This Row],[Joining Date]], "ddd")</f>
        <v>Mon</v>
      </c>
    </row>
    <row r="410" spans="1:21" x14ac:dyDescent="0.35">
      <c r="A410" t="s">
        <v>100</v>
      </c>
      <c r="B410">
        <v>30</v>
      </c>
      <c r="C410">
        <v>60000</v>
      </c>
      <c r="D410" t="s">
        <v>18</v>
      </c>
      <c r="E410" t="s">
        <v>19</v>
      </c>
      <c r="F410" t="s">
        <v>20</v>
      </c>
      <c r="G410" s="3">
        <v>43549</v>
      </c>
      <c r="H410" t="str">
        <f>TEXT(tbl_HR_Data[[#This Row],[Joining Date]], "mmm")</f>
        <v>Mar</v>
      </c>
      <c r="I410" t="s">
        <v>94</v>
      </c>
      <c r="J410" t="s">
        <v>27</v>
      </c>
      <c r="K410" t="s">
        <v>77</v>
      </c>
      <c r="L410" t="s">
        <v>87</v>
      </c>
      <c r="M410">
        <f>IFERROR( _xlfn.XLOOKUP(TRIM(tbl_HR_Data[[#This Row],[Age]]),#REF!,#REF!), VALUE(TRIM(tbl_HR_Data[[#This Row],[Age]])))</f>
        <v>30</v>
      </c>
      <c r="N410" t="str">
        <f>IFERROR(_xlfn.XLOOKUP(tbl_HR_Data[[#This Row],[Gender]], Mapping[Gender _Discarded], Mapping[Gender_Correction]), PROPER(TRIM(tbl_HR_Data[[#This Row],[Gender]])))</f>
        <v>Female</v>
      </c>
      <c r="O410" t="str">
        <f>TRIM(tbl_HR_Data[[#This Row],[Position]])</f>
        <v>Director</v>
      </c>
      <c r="P410" t="str">
        <f>IFERROR(_xlfn.XLOOKUP(tbl_HR_Data[[#This Row],[Email]], Mapping[Email_Discarded], Mapping[Email_Correction]), LOWER(TRIM(tbl_HR_Data[[#This Row],[Email]])))</f>
        <v>not provided</v>
      </c>
      <c r="Q41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410" t="str" cm="1">
        <f t="array" ref="R410">_xlfn.REDUCE(Q410, {"-","/","_","\","(",")"}, _xlfn.LAMBDA(_xlpm.txt,_xlpm.itm, SUBSTITUTE(_xlpm.txt, _xlpm.itm, "")))</f>
        <v>1234567890</v>
      </c>
      <c r="S410" s="3">
        <f>IFERROR(_xlfn.XLOOKUP(tbl_HR_Data[[#This Row],[Joining Date]], Mapping[Joining_Discarded], Mapping[Joining_Correction]), VALUE(tbl_HR_Data[[#This Row],[Joining Date]]))</f>
        <v>43549</v>
      </c>
      <c r="T410" t="str">
        <f>TEXT(tbl_HR_Data[[#This Row],[Joining Date]], "mmm")</f>
        <v>Mar</v>
      </c>
      <c r="U410" t="str">
        <f>TEXT(tbl_HR_Data[[#This Row],[Joining Date]], "ddd")</f>
        <v>Mon</v>
      </c>
    </row>
    <row r="411" spans="1:21" x14ac:dyDescent="0.35">
      <c r="A411" t="s">
        <v>104</v>
      </c>
      <c r="B411">
        <v>0</v>
      </c>
      <c r="C411">
        <v>0</v>
      </c>
      <c r="D411" t="s">
        <v>11</v>
      </c>
      <c r="E411" t="s">
        <v>12</v>
      </c>
      <c r="F411" t="s">
        <v>20</v>
      </c>
      <c r="G411" s="3">
        <v>43549</v>
      </c>
      <c r="H411" t="str">
        <f>TEXT(tbl_HR_Data[[#This Row],[Joining Date]], "mmm")</f>
        <v>Mar</v>
      </c>
      <c r="I411" t="s">
        <v>94</v>
      </c>
      <c r="J411" t="s">
        <v>14</v>
      </c>
      <c r="K411" t="s">
        <v>32</v>
      </c>
      <c r="L411" t="s">
        <v>88</v>
      </c>
      <c r="M411">
        <f>IFERROR( _xlfn.XLOOKUP(TRIM(tbl_HR_Data[[#This Row],[Age]]),#REF!,#REF!), VALUE(TRIM(tbl_HR_Data[[#This Row],[Age]])))</f>
        <v>0</v>
      </c>
      <c r="N411" t="str">
        <f>IFERROR(_xlfn.XLOOKUP(tbl_HR_Data[[#This Row],[Gender]], Mapping[Gender _Discarded], Mapping[Gender_Correction]), PROPER(TRIM(tbl_HR_Data[[#This Row],[Gender]])))</f>
        <v>Male</v>
      </c>
      <c r="O411" t="str">
        <f>TRIM(tbl_HR_Data[[#This Row],[Position]])</f>
        <v>Director</v>
      </c>
      <c r="P411" t="str">
        <f>IFERROR(_xlfn.XLOOKUP(tbl_HR_Data[[#This Row],[Email]], Mapping[Email_Discarded], Mapping[Email_Correction]), LOWER(TRIM(tbl_HR_Data[[#This Row],[Email]])))</f>
        <v>name@company.org</v>
      </c>
      <c r="Q41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411" t="str" cm="1">
        <f t="array" ref="R411">_xlfn.REDUCE(Q411, {"-","/","_","\","(",")"}, _xlfn.LAMBDA(_xlpm.txt,_xlpm.itm, SUBSTITUTE(_xlpm.txt, _xlpm.itm, "")))</f>
        <v>0987654321</v>
      </c>
      <c r="S411" s="3">
        <f>IFERROR(_xlfn.XLOOKUP(tbl_HR_Data[[#This Row],[Joining Date]], Mapping[Joining_Discarded], Mapping[Joining_Correction]), VALUE(tbl_HR_Data[[#This Row],[Joining Date]]))</f>
        <v>43549</v>
      </c>
      <c r="T411" t="str">
        <f>TEXT(tbl_HR_Data[[#This Row],[Joining Date]], "mmm")</f>
        <v>Mar</v>
      </c>
      <c r="U411" t="str">
        <f>TEXT(tbl_HR_Data[[#This Row],[Joining Date]], "ddd")</f>
        <v>Mon</v>
      </c>
    </row>
    <row r="412" spans="1:21" x14ac:dyDescent="0.35">
      <c r="A412" t="s">
        <v>102</v>
      </c>
      <c r="B412">
        <v>40</v>
      </c>
      <c r="C412">
        <v>65000</v>
      </c>
      <c r="D412" t="s">
        <v>36</v>
      </c>
      <c r="E412" t="s">
        <v>12</v>
      </c>
      <c r="F412" t="s">
        <v>43</v>
      </c>
      <c r="G412" s="3">
        <v>43549</v>
      </c>
      <c r="H412" t="str">
        <f>TEXT(tbl_HR_Data[[#This Row],[Joining Date]], "mmm")</f>
        <v>Mar</v>
      </c>
      <c r="I412" t="s">
        <v>94</v>
      </c>
      <c r="J412" t="s">
        <v>27</v>
      </c>
      <c r="K412" t="s">
        <v>15</v>
      </c>
      <c r="L412" t="s">
        <v>89</v>
      </c>
      <c r="M412">
        <f>IFERROR( _xlfn.XLOOKUP(TRIM(tbl_HR_Data[[#This Row],[Age]]),#REF!,#REF!), VALUE(TRIM(tbl_HR_Data[[#This Row],[Age]])))</f>
        <v>40</v>
      </c>
      <c r="N412" t="str">
        <f>IFERROR(_xlfn.XLOOKUP(tbl_HR_Data[[#This Row],[Gender]], Mapping[Gender _Discarded], Mapping[Gender_Correction]), PROPER(TRIM(tbl_HR_Data[[#This Row],[Gender]])))</f>
        <v>Other</v>
      </c>
      <c r="O412" t="str">
        <f>TRIM(tbl_HR_Data[[#This Row],[Position]])</f>
        <v>Assistant</v>
      </c>
      <c r="P412" t="str">
        <f>IFERROR(_xlfn.XLOOKUP(tbl_HR_Data[[#This Row],[Email]], Mapping[Email_Discarded], Mapping[Email_Correction]), LOWER(TRIM(tbl_HR_Data[[#This Row],[Email]])))</f>
        <v>email@example.com</v>
      </c>
      <c r="Q41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412" t="str" cm="1">
        <f t="array" ref="R412">_xlfn.REDUCE(Q412, {"-","/","_","\","(",")"}, _xlfn.LAMBDA(_xlpm.txt,_xlpm.itm, SUBSTITUTE(_xlpm.txt, _xlpm.itm, "")))</f>
        <v>5555555555</v>
      </c>
      <c r="S412" s="3">
        <f>IFERROR(_xlfn.XLOOKUP(tbl_HR_Data[[#This Row],[Joining Date]], Mapping[Joining_Discarded], Mapping[Joining_Correction]), VALUE(tbl_HR_Data[[#This Row],[Joining Date]]))</f>
        <v>43549</v>
      </c>
      <c r="T412" t="str">
        <f>TEXT(tbl_HR_Data[[#This Row],[Joining Date]], "mmm")</f>
        <v>Mar</v>
      </c>
      <c r="U412" t="str">
        <f>TEXT(tbl_HR_Data[[#This Row],[Joining Date]], "ddd")</f>
        <v>Mon</v>
      </c>
    </row>
    <row r="413" spans="1:21" x14ac:dyDescent="0.35">
      <c r="A413" t="s">
        <v>101</v>
      </c>
      <c r="B413">
        <v>50</v>
      </c>
      <c r="C413">
        <v>65000</v>
      </c>
      <c r="D413" t="s">
        <v>36</v>
      </c>
      <c r="E413" t="s">
        <v>30</v>
      </c>
      <c r="F413" t="s">
        <v>13</v>
      </c>
      <c r="G413" s="3">
        <v>43549</v>
      </c>
      <c r="H413" t="str">
        <f>TEXT(tbl_HR_Data[[#This Row],[Joining Date]], "mmm")</f>
        <v>Mar</v>
      </c>
      <c r="I413" t="s">
        <v>94</v>
      </c>
      <c r="J413" t="s">
        <v>41</v>
      </c>
      <c r="K413" t="s">
        <v>32</v>
      </c>
      <c r="L413" t="s">
        <v>77</v>
      </c>
      <c r="M413">
        <f>IFERROR( _xlfn.XLOOKUP(TRIM(tbl_HR_Data[[#This Row],[Age]]),#REF!,#REF!), VALUE(TRIM(tbl_HR_Data[[#This Row],[Age]])))</f>
        <v>50</v>
      </c>
      <c r="N413" t="str">
        <f>IFERROR(_xlfn.XLOOKUP(tbl_HR_Data[[#This Row],[Gender]], Mapping[Gender _Discarded], Mapping[Gender_Correction]), PROPER(TRIM(tbl_HR_Data[[#This Row],[Gender]])))</f>
        <v>Other</v>
      </c>
      <c r="O413" t="str">
        <f>TRIM(tbl_HR_Data[[#This Row],[Position]])</f>
        <v>Manager</v>
      </c>
      <c r="P413" t="str">
        <f>IFERROR(_xlfn.XLOOKUP(tbl_HR_Data[[#This Row],[Email]], Mapping[Email_Discarded], Mapping[Email_Correction]), LOWER(TRIM(tbl_HR_Data[[#This Row],[Email]])))</f>
        <v>name@company.org</v>
      </c>
      <c r="Q41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13" t="str" cm="1">
        <f t="array" ref="R413">_xlfn.REDUCE(Q413, {"-","/","_","\","(",")"}, _xlfn.LAMBDA(_xlpm.txt,_xlpm.itm, SUBSTITUTE(_xlpm.txt, _xlpm.itm, "")))</f>
        <v>Not Provided</v>
      </c>
      <c r="S413" s="3">
        <f>IFERROR(_xlfn.XLOOKUP(tbl_HR_Data[[#This Row],[Joining Date]], Mapping[Joining_Discarded], Mapping[Joining_Correction]), VALUE(tbl_HR_Data[[#This Row],[Joining Date]]))</f>
        <v>43549</v>
      </c>
      <c r="T413" t="str">
        <f>TEXT(tbl_HR_Data[[#This Row],[Joining Date]], "mmm")</f>
        <v>Mar</v>
      </c>
      <c r="U413" t="str">
        <f>TEXT(tbl_HR_Data[[#This Row],[Joining Date]], "ddd")</f>
        <v>Mon</v>
      </c>
    </row>
    <row r="414" spans="1:21" x14ac:dyDescent="0.35">
      <c r="A414" t="s">
        <v>105</v>
      </c>
      <c r="B414">
        <v>35</v>
      </c>
      <c r="C414">
        <v>60000</v>
      </c>
      <c r="D414" t="s">
        <v>36</v>
      </c>
      <c r="E414" t="s">
        <v>26</v>
      </c>
      <c r="F414" t="s">
        <v>13</v>
      </c>
      <c r="G414" s="3">
        <v>43549</v>
      </c>
      <c r="H414" t="str">
        <f>TEXT(tbl_HR_Data[[#This Row],[Joining Date]], "mmm")</f>
        <v>Mar</v>
      </c>
      <c r="I414" t="s">
        <v>94</v>
      </c>
      <c r="J414" t="s">
        <v>41</v>
      </c>
      <c r="K414" t="s">
        <v>15</v>
      </c>
      <c r="L414" t="s">
        <v>89</v>
      </c>
      <c r="M414">
        <f>IFERROR( _xlfn.XLOOKUP(TRIM(tbl_HR_Data[[#This Row],[Age]]),#REF!,#REF!), VALUE(TRIM(tbl_HR_Data[[#This Row],[Age]])))</f>
        <v>35</v>
      </c>
      <c r="N414" t="str">
        <f>IFERROR(_xlfn.XLOOKUP(tbl_HR_Data[[#This Row],[Gender]], Mapping[Gender _Discarded], Mapping[Gender_Correction]), PROPER(TRIM(tbl_HR_Data[[#This Row],[Gender]])))</f>
        <v>Other</v>
      </c>
      <c r="O414" t="str">
        <f>TRIM(tbl_HR_Data[[#This Row],[Position]])</f>
        <v>Manager</v>
      </c>
      <c r="P414" t="str">
        <f>IFERROR(_xlfn.XLOOKUP(tbl_HR_Data[[#This Row],[Email]], Mapping[Email_Discarded], Mapping[Email_Correction]), LOWER(TRIM(tbl_HR_Data[[#This Row],[Email]])))</f>
        <v>email@example.com</v>
      </c>
      <c r="Q41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414" t="str" cm="1">
        <f t="array" ref="R414">_xlfn.REDUCE(Q414, {"-","/","_","\","(",")"}, _xlfn.LAMBDA(_xlpm.txt,_xlpm.itm, SUBSTITUTE(_xlpm.txt, _xlpm.itm, "")))</f>
        <v>5555555555</v>
      </c>
      <c r="S414" s="3">
        <f>IFERROR(_xlfn.XLOOKUP(tbl_HR_Data[[#This Row],[Joining Date]], Mapping[Joining_Discarded], Mapping[Joining_Correction]), VALUE(tbl_HR_Data[[#This Row],[Joining Date]]))</f>
        <v>43549</v>
      </c>
      <c r="T414" t="str">
        <f>TEXT(tbl_HR_Data[[#This Row],[Joining Date]], "mmm")</f>
        <v>Mar</v>
      </c>
      <c r="U414" t="str">
        <f>TEXT(tbl_HR_Data[[#This Row],[Joining Date]], "ddd")</f>
        <v>Mon</v>
      </c>
    </row>
    <row r="415" spans="1:21" x14ac:dyDescent="0.35">
      <c r="A415" t="s">
        <v>102</v>
      </c>
      <c r="B415">
        <v>35</v>
      </c>
      <c r="C415">
        <v>0</v>
      </c>
      <c r="D415" t="s">
        <v>18</v>
      </c>
      <c r="E415" t="s">
        <v>26</v>
      </c>
      <c r="F415" t="s">
        <v>13</v>
      </c>
      <c r="G415" s="3">
        <v>43549</v>
      </c>
      <c r="H415" t="str">
        <f>TEXT(tbl_HR_Data[[#This Row],[Joining Date]], "mmm")</f>
        <v>Mar</v>
      </c>
      <c r="I415" t="s">
        <v>94</v>
      </c>
      <c r="J415" t="s">
        <v>41</v>
      </c>
      <c r="K415" t="s">
        <v>77</v>
      </c>
      <c r="L415" t="s">
        <v>77</v>
      </c>
      <c r="M415">
        <f>IFERROR( _xlfn.XLOOKUP(TRIM(tbl_HR_Data[[#This Row],[Age]]),#REF!,#REF!), VALUE(TRIM(tbl_HR_Data[[#This Row],[Age]])))</f>
        <v>35</v>
      </c>
      <c r="N415" t="str">
        <f>IFERROR(_xlfn.XLOOKUP(tbl_HR_Data[[#This Row],[Gender]], Mapping[Gender _Discarded], Mapping[Gender_Correction]), PROPER(TRIM(tbl_HR_Data[[#This Row],[Gender]])))</f>
        <v>Female</v>
      </c>
      <c r="O415" t="str">
        <f>TRIM(tbl_HR_Data[[#This Row],[Position]])</f>
        <v>Manager</v>
      </c>
      <c r="P415" t="str">
        <f>IFERROR(_xlfn.XLOOKUP(tbl_HR_Data[[#This Row],[Email]], Mapping[Email_Discarded], Mapping[Email_Correction]), LOWER(TRIM(tbl_HR_Data[[#This Row],[Email]])))</f>
        <v>not provided</v>
      </c>
      <c r="Q41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15" t="str" cm="1">
        <f t="array" ref="R415">_xlfn.REDUCE(Q415, {"-","/","_","\","(",")"}, _xlfn.LAMBDA(_xlpm.txt,_xlpm.itm, SUBSTITUTE(_xlpm.txt, _xlpm.itm, "")))</f>
        <v>Not Provided</v>
      </c>
      <c r="S415" s="3">
        <f>IFERROR(_xlfn.XLOOKUP(tbl_HR_Data[[#This Row],[Joining Date]], Mapping[Joining_Discarded], Mapping[Joining_Correction]), VALUE(tbl_HR_Data[[#This Row],[Joining Date]]))</f>
        <v>43549</v>
      </c>
      <c r="T415" t="str">
        <f>TEXT(tbl_HR_Data[[#This Row],[Joining Date]], "mmm")</f>
        <v>Mar</v>
      </c>
      <c r="U415" t="str">
        <f>TEXT(tbl_HR_Data[[#This Row],[Joining Date]], "ddd")</f>
        <v>Mon</v>
      </c>
    </row>
    <row r="416" spans="1:21" x14ac:dyDescent="0.35">
      <c r="A416" t="s">
        <v>104</v>
      </c>
      <c r="B416">
        <v>40</v>
      </c>
      <c r="C416">
        <v>70000</v>
      </c>
      <c r="D416" t="s">
        <v>36</v>
      </c>
      <c r="E416" t="s">
        <v>37</v>
      </c>
      <c r="F416" t="s">
        <v>44</v>
      </c>
      <c r="G416" s="3">
        <v>43549</v>
      </c>
      <c r="H416" t="str">
        <f>TEXT(tbl_HR_Data[[#This Row],[Joining Date]], "mmm")</f>
        <v>Mar</v>
      </c>
      <c r="I416" t="s">
        <v>94</v>
      </c>
      <c r="J416" t="s">
        <v>41</v>
      </c>
      <c r="K416" t="s">
        <v>22</v>
      </c>
      <c r="L416" t="s">
        <v>87</v>
      </c>
      <c r="M416">
        <f>IFERROR( _xlfn.XLOOKUP(TRIM(tbl_HR_Data[[#This Row],[Age]]),#REF!,#REF!), VALUE(TRIM(tbl_HR_Data[[#This Row],[Age]])))</f>
        <v>40</v>
      </c>
      <c r="N416" t="str">
        <f>IFERROR(_xlfn.XLOOKUP(tbl_HR_Data[[#This Row],[Gender]], Mapping[Gender _Discarded], Mapping[Gender_Correction]), PROPER(TRIM(tbl_HR_Data[[#This Row],[Gender]])))</f>
        <v>Other</v>
      </c>
      <c r="O416" t="str">
        <f>TRIM(tbl_HR_Data[[#This Row],[Position]])</f>
        <v>Analyst</v>
      </c>
      <c r="P416" t="str">
        <f>IFERROR(_xlfn.XLOOKUP(tbl_HR_Data[[#This Row],[Email]], Mapping[Email_Discarded], Mapping[Email_Correction]), LOWER(TRIM(tbl_HR_Data[[#This Row],[Email]])))</f>
        <v>user@domain.com</v>
      </c>
      <c r="Q41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416" t="str" cm="1">
        <f t="array" ref="R416">_xlfn.REDUCE(Q416, {"-","/","_","\","(",")"}, _xlfn.LAMBDA(_xlpm.txt,_xlpm.itm, SUBSTITUTE(_xlpm.txt, _xlpm.itm, "")))</f>
        <v>1234567890</v>
      </c>
      <c r="S416" s="3">
        <f>IFERROR(_xlfn.XLOOKUP(tbl_HR_Data[[#This Row],[Joining Date]], Mapping[Joining_Discarded], Mapping[Joining_Correction]), VALUE(tbl_HR_Data[[#This Row],[Joining Date]]))</f>
        <v>43549</v>
      </c>
      <c r="T416" t="str">
        <f>TEXT(tbl_HR_Data[[#This Row],[Joining Date]], "mmm")</f>
        <v>Mar</v>
      </c>
      <c r="U416" t="str">
        <f>TEXT(tbl_HR_Data[[#This Row],[Joining Date]], "ddd")</f>
        <v>Mon</v>
      </c>
    </row>
    <row r="417" spans="1:21" x14ac:dyDescent="0.35">
      <c r="A417" t="s">
        <v>108</v>
      </c>
      <c r="B417">
        <v>30</v>
      </c>
      <c r="C417">
        <v>65000</v>
      </c>
      <c r="D417" t="s">
        <v>11</v>
      </c>
      <c r="E417" t="s">
        <v>30</v>
      </c>
      <c r="F417" t="s">
        <v>20</v>
      </c>
      <c r="G417" s="3">
        <v>43549</v>
      </c>
      <c r="H417" t="str">
        <f>TEXT(tbl_HR_Data[[#This Row],[Joining Date]], "mmm")</f>
        <v>Mar</v>
      </c>
      <c r="I417" t="s">
        <v>94</v>
      </c>
      <c r="J417" t="s">
        <v>14</v>
      </c>
      <c r="K417" t="s">
        <v>15</v>
      </c>
      <c r="L417" t="s">
        <v>87</v>
      </c>
      <c r="M417">
        <f>IFERROR( _xlfn.XLOOKUP(TRIM(tbl_HR_Data[[#This Row],[Age]]),#REF!,#REF!), VALUE(TRIM(tbl_HR_Data[[#This Row],[Age]])))</f>
        <v>30</v>
      </c>
      <c r="N417" t="str">
        <f>IFERROR(_xlfn.XLOOKUP(tbl_HR_Data[[#This Row],[Gender]], Mapping[Gender _Discarded], Mapping[Gender_Correction]), PROPER(TRIM(tbl_HR_Data[[#This Row],[Gender]])))</f>
        <v>Male</v>
      </c>
      <c r="O417" t="str">
        <f>TRIM(tbl_HR_Data[[#This Row],[Position]])</f>
        <v>Director</v>
      </c>
      <c r="P417" t="str">
        <f>IFERROR(_xlfn.XLOOKUP(tbl_HR_Data[[#This Row],[Email]], Mapping[Email_Discarded], Mapping[Email_Correction]), LOWER(TRIM(tbl_HR_Data[[#This Row],[Email]])))</f>
        <v>email@example.com</v>
      </c>
      <c r="Q41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417" t="str" cm="1">
        <f t="array" ref="R417">_xlfn.REDUCE(Q417, {"-","/","_","\","(",")"}, _xlfn.LAMBDA(_xlpm.txt,_xlpm.itm, SUBSTITUTE(_xlpm.txt, _xlpm.itm, "")))</f>
        <v>1234567890</v>
      </c>
      <c r="S417" s="3">
        <f>IFERROR(_xlfn.XLOOKUP(tbl_HR_Data[[#This Row],[Joining Date]], Mapping[Joining_Discarded], Mapping[Joining_Correction]), VALUE(tbl_HR_Data[[#This Row],[Joining Date]]))</f>
        <v>43549</v>
      </c>
      <c r="T417" t="str">
        <f>TEXT(tbl_HR_Data[[#This Row],[Joining Date]], "mmm")</f>
        <v>Mar</v>
      </c>
      <c r="U417" t="str">
        <f>TEXT(tbl_HR_Data[[#This Row],[Joining Date]], "ddd")</f>
        <v>Mon</v>
      </c>
    </row>
    <row r="418" spans="1:21" x14ac:dyDescent="0.35">
      <c r="A418" t="s">
        <v>102</v>
      </c>
      <c r="B418">
        <v>25</v>
      </c>
      <c r="C418">
        <v>50000</v>
      </c>
      <c r="D418" t="s">
        <v>11</v>
      </c>
      <c r="E418" t="s">
        <v>30</v>
      </c>
      <c r="F418" t="s">
        <v>13</v>
      </c>
      <c r="G418" s="3">
        <v>43549</v>
      </c>
      <c r="H418" t="str">
        <f>TEXT(tbl_HR_Data[[#This Row],[Joining Date]], "mmm")</f>
        <v>Mar</v>
      </c>
      <c r="I418" t="s">
        <v>94</v>
      </c>
      <c r="J418" t="s">
        <v>27</v>
      </c>
      <c r="K418" t="s">
        <v>77</v>
      </c>
      <c r="L418" t="s">
        <v>77</v>
      </c>
      <c r="M418">
        <f>IFERROR( _xlfn.XLOOKUP(TRIM(tbl_HR_Data[[#This Row],[Age]]),#REF!,#REF!), VALUE(TRIM(tbl_HR_Data[[#This Row],[Age]])))</f>
        <v>25</v>
      </c>
      <c r="N418" t="str">
        <f>IFERROR(_xlfn.XLOOKUP(tbl_HR_Data[[#This Row],[Gender]], Mapping[Gender _Discarded], Mapping[Gender_Correction]), PROPER(TRIM(tbl_HR_Data[[#This Row],[Gender]])))</f>
        <v>Male</v>
      </c>
      <c r="O418" t="str">
        <f>TRIM(tbl_HR_Data[[#This Row],[Position]])</f>
        <v>Manager</v>
      </c>
      <c r="P418" t="str">
        <f>IFERROR(_xlfn.XLOOKUP(tbl_HR_Data[[#This Row],[Email]], Mapping[Email_Discarded], Mapping[Email_Correction]), LOWER(TRIM(tbl_HR_Data[[#This Row],[Email]])))</f>
        <v>not provided</v>
      </c>
      <c r="Q41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18" t="str" cm="1">
        <f t="array" ref="R418">_xlfn.REDUCE(Q418, {"-","/","_","\","(",")"}, _xlfn.LAMBDA(_xlpm.txt,_xlpm.itm, SUBSTITUTE(_xlpm.txt, _xlpm.itm, "")))</f>
        <v>Not Provided</v>
      </c>
      <c r="S418" s="3">
        <f>IFERROR(_xlfn.XLOOKUP(tbl_HR_Data[[#This Row],[Joining Date]], Mapping[Joining_Discarded], Mapping[Joining_Correction]), VALUE(tbl_HR_Data[[#This Row],[Joining Date]]))</f>
        <v>43549</v>
      </c>
      <c r="T418" t="str">
        <f>TEXT(tbl_HR_Data[[#This Row],[Joining Date]], "mmm")</f>
        <v>Mar</v>
      </c>
      <c r="U418" t="str">
        <f>TEXT(tbl_HR_Data[[#This Row],[Joining Date]], "ddd")</f>
        <v>Mon</v>
      </c>
    </row>
    <row r="419" spans="1:21" x14ac:dyDescent="0.35">
      <c r="A419" t="s">
        <v>100</v>
      </c>
      <c r="B419">
        <v>30</v>
      </c>
      <c r="C419">
        <v>65000</v>
      </c>
      <c r="D419" t="s">
        <v>36</v>
      </c>
      <c r="E419" t="s">
        <v>30</v>
      </c>
      <c r="F419" t="s">
        <v>13</v>
      </c>
      <c r="G419" s="3">
        <v>43549</v>
      </c>
      <c r="H419" t="str">
        <f>TEXT(tbl_HR_Data[[#This Row],[Joining Date]], "mmm")</f>
        <v>Mar</v>
      </c>
      <c r="I419" t="s">
        <v>94</v>
      </c>
      <c r="J419" t="s">
        <v>31</v>
      </c>
      <c r="K419" t="s">
        <v>32</v>
      </c>
      <c r="L419" t="s">
        <v>88</v>
      </c>
      <c r="M419">
        <f>IFERROR( _xlfn.XLOOKUP(TRIM(tbl_HR_Data[[#This Row],[Age]]),#REF!,#REF!), VALUE(TRIM(tbl_HR_Data[[#This Row],[Age]])))</f>
        <v>30</v>
      </c>
      <c r="N419" t="str">
        <f>IFERROR(_xlfn.XLOOKUP(tbl_HR_Data[[#This Row],[Gender]], Mapping[Gender _Discarded], Mapping[Gender_Correction]), PROPER(TRIM(tbl_HR_Data[[#This Row],[Gender]])))</f>
        <v>Other</v>
      </c>
      <c r="O419" t="str">
        <f>TRIM(tbl_HR_Data[[#This Row],[Position]])</f>
        <v>Manager</v>
      </c>
      <c r="P419" t="str">
        <f>IFERROR(_xlfn.XLOOKUP(tbl_HR_Data[[#This Row],[Email]], Mapping[Email_Discarded], Mapping[Email_Correction]), LOWER(TRIM(tbl_HR_Data[[#This Row],[Email]])))</f>
        <v>name@company.org</v>
      </c>
      <c r="Q41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419" t="str" cm="1">
        <f t="array" ref="R419">_xlfn.REDUCE(Q419, {"-","/","_","\","(",")"}, _xlfn.LAMBDA(_xlpm.txt,_xlpm.itm, SUBSTITUTE(_xlpm.txt, _xlpm.itm, "")))</f>
        <v>0987654321</v>
      </c>
      <c r="S419" s="3">
        <f>IFERROR(_xlfn.XLOOKUP(tbl_HR_Data[[#This Row],[Joining Date]], Mapping[Joining_Discarded], Mapping[Joining_Correction]), VALUE(tbl_HR_Data[[#This Row],[Joining Date]]))</f>
        <v>43549</v>
      </c>
      <c r="T419" t="str">
        <f>TEXT(tbl_HR_Data[[#This Row],[Joining Date]], "mmm")</f>
        <v>Mar</v>
      </c>
      <c r="U419" t="str">
        <f>TEXT(tbl_HR_Data[[#This Row],[Joining Date]], "ddd")</f>
        <v>Mon</v>
      </c>
    </row>
    <row r="420" spans="1:21" x14ac:dyDescent="0.35">
      <c r="A420" t="s">
        <v>105</v>
      </c>
      <c r="B420">
        <v>50</v>
      </c>
      <c r="C420">
        <v>70000</v>
      </c>
      <c r="D420" t="s">
        <v>11</v>
      </c>
      <c r="E420" t="s">
        <v>19</v>
      </c>
      <c r="F420" t="s">
        <v>39</v>
      </c>
      <c r="G420" s="3">
        <v>43549</v>
      </c>
      <c r="H420" t="str">
        <f>TEXT(tbl_HR_Data[[#This Row],[Joining Date]], "mmm")</f>
        <v>Mar</v>
      </c>
      <c r="I420" t="s">
        <v>94</v>
      </c>
      <c r="J420" t="s">
        <v>21</v>
      </c>
      <c r="K420" t="s">
        <v>77</v>
      </c>
      <c r="L420" t="s">
        <v>87</v>
      </c>
      <c r="M420">
        <f>IFERROR( _xlfn.XLOOKUP(TRIM(tbl_HR_Data[[#This Row],[Age]]),#REF!,#REF!), VALUE(TRIM(tbl_HR_Data[[#This Row],[Age]])))</f>
        <v>50</v>
      </c>
      <c r="N420" t="str">
        <f>IFERROR(_xlfn.XLOOKUP(tbl_HR_Data[[#This Row],[Gender]], Mapping[Gender _Discarded], Mapping[Gender_Correction]), PROPER(TRIM(tbl_HR_Data[[#This Row],[Gender]])))</f>
        <v>Male</v>
      </c>
      <c r="O420" t="str">
        <f>TRIM(tbl_HR_Data[[#This Row],[Position]])</f>
        <v>Clerk</v>
      </c>
      <c r="P420" t="str">
        <f>IFERROR(_xlfn.XLOOKUP(tbl_HR_Data[[#This Row],[Email]], Mapping[Email_Discarded], Mapping[Email_Correction]), LOWER(TRIM(tbl_HR_Data[[#This Row],[Email]])))</f>
        <v>not provided</v>
      </c>
      <c r="Q42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420" t="str" cm="1">
        <f t="array" ref="R420">_xlfn.REDUCE(Q420, {"-","/","_","\","(",")"}, _xlfn.LAMBDA(_xlpm.txt,_xlpm.itm, SUBSTITUTE(_xlpm.txt, _xlpm.itm, "")))</f>
        <v>1234567890</v>
      </c>
      <c r="S420" s="3">
        <f>IFERROR(_xlfn.XLOOKUP(tbl_HR_Data[[#This Row],[Joining Date]], Mapping[Joining_Discarded], Mapping[Joining_Correction]), VALUE(tbl_HR_Data[[#This Row],[Joining Date]]))</f>
        <v>43549</v>
      </c>
      <c r="T420" t="str">
        <f>TEXT(tbl_HR_Data[[#This Row],[Joining Date]], "mmm")</f>
        <v>Mar</v>
      </c>
      <c r="U420" t="str">
        <f>TEXT(tbl_HR_Data[[#This Row],[Joining Date]], "ddd")</f>
        <v>Mon</v>
      </c>
    </row>
    <row r="421" spans="1:21" x14ac:dyDescent="0.35">
      <c r="A421" t="s">
        <v>99</v>
      </c>
      <c r="B421">
        <v>25</v>
      </c>
      <c r="C421">
        <v>65000</v>
      </c>
      <c r="D421" t="s">
        <v>36</v>
      </c>
      <c r="E421" t="s">
        <v>26</v>
      </c>
      <c r="F421" t="s">
        <v>39</v>
      </c>
      <c r="G421" s="3">
        <v>43549</v>
      </c>
      <c r="H421" t="str">
        <f>TEXT(tbl_HR_Data[[#This Row],[Joining Date]], "mmm")</f>
        <v>Mar</v>
      </c>
      <c r="I421" t="s">
        <v>94</v>
      </c>
      <c r="J421" t="s">
        <v>14</v>
      </c>
      <c r="K421" t="s">
        <v>77</v>
      </c>
      <c r="L421" t="s">
        <v>77</v>
      </c>
      <c r="M421">
        <f>IFERROR( _xlfn.XLOOKUP(TRIM(tbl_HR_Data[[#This Row],[Age]]),#REF!,#REF!), VALUE(TRIM(tbl_HR_Data[[#This Row],[Age]])))</f>
        <v>25</v>
      </c>
      <c r="N421" t="str">
        <f>IFERROR(_xlfn.XLOOKUP(tbl_HR_Data[[#This Row],[Gender]], Mapping[Gender _Discarded], Mapping[Gender_Correction]), PROPER(TRIM(tbl_HR_Data[[#This Row],[Gender]])))</f>
        <v>Other</v>
      </c>
      <c r="O421" t="str">
        <f>TRIM(tbl_HR_Data[[#This Row],[Position]])</f>
        <v>Clerk</v>
      </c>
      <c r="P421" t="str">
        <f>IFERROR(_xlfn.XLOOKUP(tbl_HR_Data[[#This Row],[Email]], Mapping[Email_Discarded], Mapping[Email_Correction]), LOWER(TRIM(tbl_HR_Data[[#This Row],[Email]])))</f>
        <v>not provided</v>
      </c>
      <c r="Q42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21" t="str" cm="1">
        <f t="array" ref="R421">_xlfn.REDUCE(Q421, {"-","/","_","\","(",")"}, _xlfn.LAMBDA(_xlpm.txt,_xlpm.itm, SUBSTITUTE(_xlpm.txt, _xlpm.itm, "")))</f>
        <v>Not Provided</v>
      </c>
      <c r="S421" s="3">
        <f>IFERROR(_xlfn.XLOOKUP(tbl_HR_Data[[#This Row],[Joining Date]], Mapping[Joining_Discarded], Mapping[Joining_Correction]), VALUE(tbl_HR_Data[[#This Row],[Joining Date]]))</f>
        <v>43549</v>
      </c>
      <c r="T421" t="str">
        <f>TEXT(tbl_HR_Data[[#This Row],[Joining Date]], "mmm")</f>
        <v>Mar</v>
      </c>
      <c r="U421" t="str">
        <f>TEXT(tbl_HR_Data[[#This Row],[Joining Date]], "ddd")</f>
        <v>Mon</v>
      </c>
    </row>
    <row r="422" spans="1:21" x14ac:dyDescent="0.35">
      <c r="A422" t="s">
        <v>105</v>
      </c>
      <c r="B422">
        <v>50</v>
      </c>
      <c r="C422">
        <v>60000</v>
      </c>
      <c r="D422" t="s">
        <v>11</v>
      </c>
      <c r="E422" t="s">
        <v>26</v>
      </c>
      <c r="F422" t="s">
        <v>39</v>
      </c>
      <c r="G422" s="3">
        <v>43549</v>
      </c>
      <c r="H422" t="str">
        <f>TEXT(tbl_HR_Data[[#This Row],[Joining Date]], "mmm")</f>
        <v>Mar</v>
      </c>
      <c r="I422" t="s">
        <v>94</v>
      </c>
      <c r="J422" t="s">
        <v>41</v>
      </c>
      <c r="K422" t="s">
        <v>77</v>
      </c>
      <c r="L422" t="s">
        <v>88</v>
      </c>
      <c r="M422">
        <f>IFERROR( _xlfn.XLOOKUP(TRIM(tbl_HR_Data[[#This Row],[Age]]),#REF!,#REF!), VALUE(TRIM(tbl_HR_Data[[#This Row],[Age]])))</f>
        <v>50</v>
      </c>
      <c r="N422" t="str">
        <f>IFERROR(_xlfn.XLOOKUP(tbl_HR_Data[[#This Row],[Gender]], Mapping[Gender _Discarded], Mapping[Gender_Correction]), PROPER(TRIM(tbl_HR_Data[[#This Row],[Gender]])))</f>
        <v>Male</v>
      </c>
      <c r="O422" t="str">
        <f>TRIM(tbl_HR_Data[[#This Row],[Position]])</f>
        <v>Clerk</v>
      </c>
      <c r="P422" t="str">
        <f>IFERROR(_xlfn.XLOOKUP(tbl_HR_Data[[#This Row],[Email]], Mapping[Email_Discarded], Mapping[Email_Correction]), LOWER(TRIM(tbl_HR_Data[[#This Row],[Email]])))</f>
        <v>not provided</v>
      </c>
      <c r="Q42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422" t="str" cm="1">
        <f t="array" ref="R422">_xlfn.REDUCE(Q422, {"-","/","_","\","(",")"}, _xlfn.LAMBDA(_xlpm.txt,_xlpm.itm, SUBSTITUTE(_xlpm.txt, _xlpm.itm, "")))</f>
        <v>0987654321</v>
      </c>
      <c r="S422" s="3">
        <f>IFERROR(_xlfn.XLOOKUP(tbl_HR_Data[[#This Row],[Joining Date]], Mapping[Joining_Discarded], Mapping[Joining_Correction]), VALUE(tbl_HR_Data[[#This Row],[Joining Date]]))</f>
        <v>43549</v>
      </c>
      <c r="T422" t="str">
        <f>TEXT(tbl_HR_Data[[#This Row],[Joining Date]], "mmm")</f>
        <v>Mar</v>
      </c>
      <c r="U422" t="str">
        <f>TEXT(tbl_HR_Data[[#This Row],[Joining Date]], "ddd")</f>
        <v>Mon</v>
      </c>
    </row>
    <row r="423" spans="1:21" x14ac:dyDescent="0.35">
      <c r="A423" t="s">
        <v>108</v>
      </c>
      <c r="B423">
        <v>40</v>
      </c>
      <c r="C423">
        <v>55000</v>
      </c>
      <c r="D423" t="s">
        <v>18</v>
      </c>
      <c r="E423" t="s">
        <v>30</v>
      </c>
      <c r="F423" t="s">
        <v>39</v>
      </c>
      <c r="G423" s="3">
        <v>43549</v>
      </c>
      <c r="H423" t="str">
        <f>TEXT(tbl_HR_Data[[#This Row],[Joining Date]], "mmm")</f>
        <v>Mar</v>
      </c>
      <c r="I423" t="s">
        <v>94</v>
      </c>
      <c r="J423" t="s">
        <v>21</v>
      </c>
      <c r="K423" t="s">
        <v>22</v>
      </c>
      <c r="L423" t="s">
        <v>77</v>
      </c>
      <c r="M423">
        <f>IFERROR( _xlfn.XLOOKUP(TRIM(tbl_HR_Data[[#This Row],[Age]]),#REF!,#REF!), VALUE(TRIM(tbl_HR_Data[[#This Row],[Age]])))</f>
        <v>40</v>
      </c>
      <c r="N423" t="str">
        <f>IFERROR(_xlfn.XLOOKUP(tbl_HR_Data[[#This Row],[Gender]], Mapping[Gender _Discarded], Mapping[Gender_Correction]), PROPER(TRIM(tbl_HR_Data[[#This Row],[Gender]])))</f>
        <v>Female</v>
      </c>
      <c r="O423" t="str">
        <f>TRIM(tbl_HR_Data[[#This Row],[Position]])</f>
        <v>Clerk</v>
      </c>
      <c r="P423" t="str">
        <f>IFERROR(_xlfn.XLOOKUP(tbl_HR_Data[[#This Row],[Email]], Mapping[Email_Discarded], Mapping[Email_Correction]), LOWER(TRIM(tbl_HR_Data[[#This Row],[Email]])))</f>
        <v>user@domain.com</v>
      </c>
      <c r="Q42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23" t="str" cm="1">
        <f t="array" ref="R423">_xlfn.REDUCE(Q423, {"-","/","_","\","(",")"}, _xlfn.LAMBDA(_xlpm.txt,_xlpm.itm, SUBSTITUTE(_xlpm.txt, _xlpm.itm, "")))</f>
        <v>Not Provided</v>
      </c>
      <c r="S423" s="3">
        <f>IFERROR(_xlfn.XLOOKUP(tbl_HR_Data[[#This Row],[Joining Date]], Mapping[Joining_Discarded], Mapping[Joining_Correction]), VALUE(tbl_HR_Data[[#This Row],[Joining Date]]))</f>
        <v>43549</v>
      </c>
      <c r="T423" t="str">
        <f>TEXT(tbl_HR_Data[[#This Row],[Joining Date]], "mmm")</f>
        <v>Mar</v>
      </c>
      <c r="U423" t="str">
        <f>TEXT(tbl_HR_Data[[#This Row],[Joining Date]], "ddd")</f>
        <v>Mon</v>
      </c>
    </row>
    <row r="424" spans="1:21" x14ac:dyDescent="0.35">
      <c r="A424" t="s">
        <v>104</v>
      </c>
      <c r="B424">
        <v>35</v>
      </c>
      <c r="C424">
        <v>50000</v>
      </c>
      <c r="D424" t="s">
        <v>36</v>
      </c>
      <c r="E424" t="s">
        <v>30</v>
      </c>
      <c r="F424" t="s">
        <v>44</v>
      </c>
      <c r="G424" s="3">
        <v>43549</v>
      </c>
      <c r="H424" t="str">
        <f>TEXT(tbl_HR_Data[[#This Row],[Joining Date]], "mmm")</f>
        <v>Mar</v>
      </c>
      <c r="I424" t="s">
        <v>94</v>
      </c>
      <c r="J424" t="s">
        <v>14</v>
      </c>
      <c r="K424" t="s">
        <v>77</v>
      </c>
      <c r="L424" t="s">
        <v>89</v>
      </c>
      <c r="M424">
        <f>IFERROR( _xlfn.XLOOKUP(TRIM(tbl_HR_Data[[#This Row],[Age]]),#REF!,#REF!), VALUE(TRIM(tbl_HR_Data[[#This Row],[Age]])))</f>
        <v>35</v>
      </c>
      <c r="N424" t="str">
        <f>IFERROR(_xlfn.XLOOKUP(tbl_HR_Data[[#This Row],[Gender]], Mapping[Gender _Discarded], Mapping[Gender_Correction]), PROPER(TRIM(tbl_HR_Data[[#This Row],[Gender]])))</f>
        <v>Other</v>
      </c>
      <c r="O424" t="str">
        <f>TRIM(tbl_HR_Data[[#This Row],[Position]])</f>
        <v>Analyst</v>
      </c>
      <c r="P424" t="str">
        <f>IFERROR(_xlfn.XLOOKUP(tbl_HR_Data[[#This Row],[Email]], Mapping[Email_Discarded], Mapping[Email_Correction]), LOWER(TRIM(tbl_HR_Data[[#This Row],[Email]])))</f>
        <v>not provided</v>
      </c>
      <c r="Q42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424" t="str" cm="1">
        <f t="array" ref="R424">_xlfn.REDUCE(Q424, {"-","/","_","\","(",")"}, _xlfn.LAMBDA(_xlpm.txt,_xlpm.itm, SUBSTITUTE(_xlpm.txt, _xlpm.itm, "")))</f>
        <v>5555555555</v>
      </c>
      <c r="S424" s="3">
        <f>IFERROR(_xlfn.XLOOKUP(tbl_HR_Data[[#This Row],[Joining Date]], Mapping[Joining_Discarded], Mapping[Joining_Correction]), VALUE(tbl_HR_Data[[#This Row],[Joining Date]]))</f>
        <v>43549</v>
      </c>
      <c r="T424" t="str">
        <f>TEXT(tbl_HR_Data[[#This Row],[Joining Date]], "mmm")</f>
        <v>Mar</v>
      </c>
      <c r="U424" t="str">
        <f>TEXT(tbl_HR_Data[[#This Row],[Joining Date]], "ddd")</f>
        <v>Mon</v>
      </c>
    </row>
    <row r="425" spans="1:21" x14ac:dyDescent="0.35">
      <c r="A425" t="s">
        <v>106</v>
      </c>
      <c r="B425">
        <v>0</v>
      </c>
      <c r="C425">
        <v>70000</v>
      </c>
      <c r="D425" t="s">
        <v>11</v>
      </c>
      <c r="E425" t="s">
        <v>26</v>
      </c>
      <c r="F425" t="s">
        <v>39</v>
      </c>
      <c r="G425" s="3">
        <v>43549</v>
      </c>
      <c r="H425" t="str">
        <f>TEXT(tbl_HR_Data[[#This Row],[Joining Date]], "mmm")</f>
        <v>Mar</v>
      </c>
      <c r="I425" t="s">
        <v>94</v>
      </c>
      <c r="J425" t="s">
        <v>31</v>
      </c>
      <c r="K425" t="s">
        <v>77</v>
      </c>
      <c r="L425" t="s">
        <v>88</v>
      </c>
      <c r="M425">
        <f>IFERROR( _xlfn.XLOOKUP(TRIM(tbl_HR_Data[[#This Row],[Age]]),#REF!,#REF!), VALUE(TRIM(tbl_HR_Data[[#This Row],[Age]])))</f>
        <v>0</v>
      </c>
      <c r="N425" t="str">
        <f>IFERROR(_xlfn.XLOOKUP(tbl_HR_Data[[#This Row],[Gender]], Mapping[Gender _Discarded], Mapping[Gender_Correction]), PROPER(TRIM(tbl_HR_Data[[#This Row],[Gender]])))</f>
        <v>Male</v>
      </c>
      <c r="O425" t="str">
        <f>TRIM(tbl_HR_Data[[#This Row],[Position]])</f>
        <v>Clerk</v>
      </c>
      <c r="P425" t="str">
        <f>IFERROR(_xlfn.XLOOKUP(tbl_HR_Data[[#This Row],[Email]], Mapping[Email_Discarded], Mapping[Email_Correction]), LOWER(TRIM(tbl_HR_Data[[#This Row],[Email]])))</f>
        <v>not provided</v>
      </c>
      <c r="Q42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425" t="str" cm="1">
        <f t="array" ref="R425">_xlfn.REDUCE(Q425, {"-","/","_","\","(",")"}, _xlfn.LAMBDA(_xlpm.txt,_xlpm.itm, SUBSTITUTE(_xlpm.txt, _xlpm.itm, "")))</f>
        <v>0987654321</v>
      </c>
      <c r="S425" s="3">
        <f>IFERROR(_xlfn.XLOOKUP(tbl_HR_Data[[#This Row],[Joining Date]], Mapping[Joining_Discarded], Mapping[Joining_Correction]), VALUE(tbl_HR_Data[[#This Row],[Joining Date]]))</f>
        <v>43549</v>
      </c>
      <c r="T425" t="str">
        <f>TEXT(tbl_HR_Data[[#This Row],[Joining Date]], "mmm")</f>
        <v>Mar</v>
      </c>
      <c r="U425" t="str">
        <f>TEXT(tbl_HR_Data[[#This Row],[Joining Date]], "ddd")</f>
        <v>Mon</v>
      </c>
    </row>
    <row r="426" spans="1:21" x14ac:dyDescent="0.35">
      <c r="A426" t="s">
        <v>102</v>
      </c>
      <c r="B426">
        <v>0</v>
      </c>
      <c r="C426">
        <v>0</v>
      </c>
      <c r="D426" t="s">
        <v>36</v>
      </c>
      <c r="E426" t="s">
        <v>19</v>
      </c>
      <c r="F426" t="s">
        <v>43</v>
      </c>
      <c r="G426" s="3">
        <v>43549</v>
      </c>
      <c r="H426" t="str">
        <f>TEXT(tbl_HR_Data[[#This Row],[Joining Date]], "mmm")</f>
        <v>Mar</v>
      </c>
      <c r="I426" t="s">
        <v>94</v>
      </c>
      <c r="J426" t="s">
        <v>21</v>
      </c>
      <c r="K426" t="s">
        <v>77</v>
      </c>
      <c r="L426" t="s">
        <v>88</v>
      </c>
      <c r="M426">
        <f>IFERROR( _xlfn.XLOOKUP(TRIM(tbl_HR_Data[[#This Row],[Age]]),#REF!,#REF!), VALUE(TRIM(tbl_HR_Data[[#This Row],[Age]])))</f>
        <v>0</v>
      </c>
      <c r="N426" t="str">
        <f>IFERROR(_xlfn.XLOOKUP(tbl_HR_Data[[#This Row],[Gender]], Mapping[Gender _Discarded], Mapping[Gender_Correction]), PROPER(TRIM(tbl_HR_Data[[#This Row],[Gender]])))</f>
        <v>Other</v>
      </c>
      <c r="O426" t="str">
        <f>TRIM(tbl_HR_Data[[#This Row],[Position]])</f>
        <v>Assistant</v>
      </c>
      <c r="P426" t="str">
        <f>IFERROR(_xlfn.XLOOKUP(tbl_HR_Data[[#This Row],[Email]], Mapping[Email_Discarded], Mapping[Email_Correction]), LOWER(TRIM(tbl_HR_Data[[#This Row],[Email]])))</f>
        <v>not provided</v>
      </c>
      <c r="Q42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426" t="str" cm="1">
        <f t="array" ref="R426">_xlfn.REDUCE(Q426, {"-","/","_","\","(",")"}, _xlfn.LAMBDA(_xlpm.txt,_xlpm.itm, SUBSTITUTE(_xlpm.txt, _xlpm.itm, "")))</f>
        <v>0987654321</v>
      </c>
      <c r="S426" s="3">
        <f>IFERROR(_xlfn.XLOOKUP(tbl_HR_Data[[#This Row],[Joining Date]], Mapping[Joining_Discarded], Mapping[Joining_Correction]), VALUE(tbl_HR_Data[[#This Row],[Joining Date]]))</f>
        <v>43549</v>
      </c>
      <c r="T426" t="str">
        <f>TEXT(tbl_HR_Data[[#This Row],[Joining Date]], "mmm")</f>
        <v>Mar</v>
      </c>
      <c r="U426" t="str">
        <f>TEXT(tbl_HR_Data[[#This Row],[Joining Date]], "ddd")</f>
        <v>Mon</v>
      </c>
    </row>
    <row r="427" spans="1:21" x14ac:dyDescent="0.35">
      <c r="A427" t="s">
        <v>99</v>
      </c>
      <c r="B427">
        <v>30</v>
      </c>
      <c r="C427">
        <v>0</v>
      </c>
      <c r="D427" t="s">
        <v>36</v>
      </c>
      <c r="E427" t="s">
        <v>19</v>
      </c>
      <c r="F427" t="s">
        <v>43</v>
      </c>
      <c r="G427" s="3">
        <v>43549</v>
      </c>
      <c r="H427" t="str">
        <f>TEXT(tbl_HR_Data[[#This Row],[Joining Date]], "mmm")</f>
        <v>Mar</v>
      </c>
      <c r="I427" t="s">
        <v>94</v>
      </c>
      <c r="J427" t="s">
        <v>21</v>
      </c>
      <c r="K427" t="s">
        <v>32</v>
      </c>
      <c r="L427" t="s">
        <v>89</v>
      </c>
      <c r="M427">
        <f>IFERROR( _xlfn.XLOOKUP(TRIM(tbl_HR_Data[[#This Row],[Age]]),#REF!,#REF!), VALUE(TRIM(tbl_HR_Data[[#This Row],[Age]])))</f>
        <v>30</v>
      </c>
      <c r="N427" t="str">
        <f>IFERROR(_xlfn.XLOOKUP(tbl_HR_Data[[#This Row],[Gender]], Mapping[Gender _Discarded], Mapping[Gender_Correction]), PROPER(TRIM(tbl_HR_Data[[#This Row],[Gender]])))</f>
        <v>Other</v>
      </c>
      <c r="O427" t="str">
        <f>TRIM(tbl_HR_Data[[#This Row],[Position]])</f>
        <v>Assistant</v>
      </c>
      <c r="P427" t="str">
        <f>IFERROR(_xlfn.XLOOKUP(tbl_HR_Data[[#This Row],[Email]], Mapping[Email_Discarded], Mapping[Email_Correction]), LOWER(TRIM(tbl_HR_Data[[#This Row],[Email]])))</f>
        <v>name@company.org</v>
      </c>
      <c r="Q42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427" t="str" cm="1">
        <f t="array" ref="R427">_xlfn.REDUCE(Q427, {"-","/","_","\","(",")"}, _xlfn.LAMBDA(_xlpm.txt,_xlpm.itm, SUBSTITUTE(_xlpm.txt, _xlpm.itm, "")))</f>
        <v>5555555555</v>
      </c>
      <c r="S427" s="3">
        <f>IFERROR(_xlfn.XLOOKUP(tbl_HR_Data[[#This Row],[Joining Date]], Mapping[Joining_Discarded], Mapping[Joining_Correction]), VALUE(tbl_HR_Data[[#This Row],[Joining Date]]))</f>
        <v>43549</v>
      </c>
      <c r="T427" t="str">
        <f>TEXT(tbl_HR_Data[[#This Row],[Joining Date]], "mmm")</f>
        <v>Mar</v>
      </c>
      <c r="U427" t="str">
        <f>TEXT(tbl_HR_Data[[#This Row],[Joining Date]], "ddd")</f>
        <v>Mon</v>
      </c>
    </row>
    <row r="428" spans="1:21" x14ac:dyDescent="0.35">
      <c r="A428" t="s">
        <v>102</v>
      </c>
      <c r="B428">
        <v>35</v>
      </c>
      <c r="C428">
        <v>50000</v>
      </c>
      <c r="D428" t="s">
        <v>18</v>
      </c>
      <c r="E428" t="s">
        <v>30</v>
      </c>
      <c r="F428" t="s">
        <v>39</v>
      </c>
      <c r="G428" s="3">
        <v>43549</v>
      </c>
      <c r="H428" t="str">
        <f>TEXT(tbl_HR_Data[[#This Row],[Joining Date]], "mmm")</f>
        <v>Mar</v>
      </c>
      <c r="I428" t="s">
        <v>94</v>
      </c>
      <c r="J428" t="s">
        <v>21</v>
      </c>
      <c r="K428" t="s">
        <v>22</v>
      </c>
      <c r="L428" t="s">
        <v>89</v>
      </c>
      <c r="M428">
        <f>IFERROR( _xlfn.XLOOKUP(TRIM(tbl_HR_Data[[#This Row],[Age]]),#REF!,#REF!), VALUE(TRIM(tbl_HR_Data[[#This Row],[Age]])))</f>
        <v>35</v>
      </c>
      <c r="N428" t="str">
        <f>IFERROR(_xlfn.XLOOKUP(tbl_HR_Data[[#This Row],[Gender]], Mapping[Gender _Discarded], Mapping[Gender_Correction]), PROPER(TRIM(tbl_HR_Data[[#This Row],[Gender]])))</f>
        <v>Female</v>
      </c>
      <c r="O428" t="str">
        <f>TRIM(tbl_HR_Data[[#This Row],[Position]])</f>
        <v>Clerk</v>
      </c>
      <c r="P428" t="str">
        <f>IFERROR(_xlfn.XLOOKUP(tbl_HR_Data[[#This Row],[Email]], Mapping[Email_Discarded], Mapping[Email_Correction]), LOWER(TRIM(tbl_HR_Data[[#This Row],[Email]])))</f>
        <v>user@domain.com</v>
      </c>
      <c r="Q42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428" t="str" cm="1">
        <f t="array" ref="R428">_xlfn.REDUCE(Q428, {"-","/","_","\","(",")"}, _xlfn.LAMBDA(_xlpm.txt,_xlpm.itm, SUBSTITUTE(_xlpm.txt, _xlpm.itm, "")))</f>
        <v>5555555555</v>
      </c>
      <c r="S428" s="3">
        <f>IFERROR(_xlfn.XLOOKUP(tbl_HR_Data[[#This Row],[Joining Date]], Mapping[Joining_Discarded], Mapping[Joining_Correction]), VALUE(tbl_HR_Data[[#This Row],[Joining Date]]))</f>
        <v>43549</v>
      </c>
      <c r="T428" t="str">
        <f>TEXT(tbl_HR_Data[[#This Row],[Joining Date]], "mmm")</f>
        <v>Mar</v>
      </c>
      <c r="U428" t="str">
        <f>TEXT(tbl_HR_Data[[#This Row],[Joining Date]], "ddd")</f>
        <v>Mon</v>
      </c>
    </row>
    <row r="429" spans="1:21" x14ac:dyDescent="0.35">
      <c r="A429" t="s">
        <v>105</v>
      </c>
      <c r="B429">
        <v>0</v>
      </c>
      <c r="C429">
        <v>55000</v>
      </c>
      <c r="D429" t="s">
        <v>18</v>
      </c>
      <c r="E429" t="s">
        <v>37</v>
      </c>
      <c r="F429" t="s">
        <v>39</v>
      </c>
      <c r="G429" s="3">
        <v>43549</v>
      </c>
      <c r="H429" t="str">
        <f>TEXT(tbl_HR_Data[[#This Row],[Joining Date]], "mmm")</f>
        <v>Mar</v>
      </c>
      <c r="I429" t="s">
        <v>94</v>
      </c>
      <c r="J429" t="s">
        <v>21</v>
      </c>
      <c r="K429" t="s">
        <v>77</v>
      </c>
      <c r="L429" t="s">
        <v>87</v>
      </c>
      <c r="M429">
        <f>IFERROR( _xlfn.XLOOKUP(TRIM(tbl_HR_Data[[#This Row],[Age]]),#REF!,#REF!), VALUE(TRIM(tbl_HR_Data[[#This Row],[Age]])))</f>
        <v>0</v>
      </c>
      <c r="N429" t="str">
        <f>IFERROR(_xlfn.XLOOKUP(tbl_HR_Data[[#This Row],[Gender]], Mapping[Gender _Discarded], Mapping[Gender_Correction]), PROPER(TRIM(tbl_HR_Data[[#This Row],[Gender]])))</f>
        <v>Female</v>
      </c>
      <c r="O429" t="str">
        <f>TRIM(tbl_HR_Data[[#This Row],[Position]])</f>
        <v>Clerk</v>
      </c>
      <c r="P429" t="str">
        <f>IFERROR(_xlfn.XLOOKUP(tbl_HR_Data[[#This Row],[Email]], Mapping[Email_Discarded], Mapping[Email_Correction]), LOWER(TRIM(tbl_HR_Data[[#This Row],[Email]])))</f>
        <v>not provided</v>
      </c>
      <c r="Q42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429" t="str" cm="1">
        <f t="array" ref="R429">_xlfn.REDUCE(Q429, {"-","/","_","\","(",")"}, _xlfn.LAMBDA(_xlpm.txt,_xlpm.itm, SUBSTITUTE(_xlpm.txt, _xlpm.itm, "")))</f>
        <v>1234567890</v>
      </c>
      <c r="S429" s="3">
        <f>IFERROR(_xlfn.XLOOKUP(tbl_HR_Data[[#This Row],[Joining Date]], Mapping[Joining_Discarded], Mapping[Joining_Correction]), VALUE(tbl_HR_Data[[#This Row],[Joining Date]]))</f>
        <v>43549</v>
      </c>
      <c r="T429" t="str">
        <f>TEXT(tbl_HR_Data[[#This Row],[Joining Date]], "mmm")</f>
        <v>Mar</v>
      </c>
      <c r="U429" t="str">
        <f>TEXT(tbl_HR_Data[[#This Row],[Joining Date]], "ddd")</f>
        <v>Mon</v>
      </c>
    </row>
    <row r="430" spans="1:21" x14ac:dyDescent="0.35">
      <c r="A430" t="s">
        <v>101</v>
      </c>
      <c r="B430">
        <v>0</v>
      </c>
      <c r="C430">
        <v>55000</v>
      </c>
      <c r="D430" t="s">
        <v>11</v>
      </c>
      <c r="E430" t="s">
        <v>30</v>
      </c>
      <c r="F430" t="s">
        <v>13</v>
      </c>
      <c r="G430" s="3">
        <v>43549</v>
      </c>
      <c r="H430" t="str">
        <f>TEXT(tbl_HR_Data[[#This Row],[Joining Date]], "mmm")</f>
        <v>Mar</v>
      </c>
      <c r="I430" t="s">
        <v>94</v>
      </c>
      <c r="J430" t="s">
        <v>14</v>
      </c>
      <c r="K430" t="s">
        <v>15</v>
      </c>
      <c r="L430" t="s">
        <v>77</v>
      </c>
      <c r="M430">
        <f>IFERROR( _xlfn.XLOOKUP(TRIM(tbl_HR_Data[[#This Row],[Age]]),#REF!,#REF!), VALUE(TRIM(tbl_HR_Data[[#This Row],[Age]])))</f>
        <v>0</v>
      </c>
      <c r="N430" t="str">
        <f>IFERROR(_xlfn.XLOOKUP(tbl_HR_Data[[#This Row],[Gender]], Mapping[Gender _Discarded], Mapping[Gender_Correction]), PROPER(TRIM(tbl_HR_Data[[#This Row],[Gender]])))</f>
        <v>Male</v>
      </c>
      <c r="O430" t="str">
        <f>TRIM(tbl_HR_Data[[#This Row],[Position]])</f>
        <v>Manager</v>
      </c>
      <c r="P430" t="str">
        <f>IFERROR(_xlfn.XLOOKUP(tbl_HR_Data[[#This Row],[Email]], Mapping[Email_Discarded], Mapping[Email_Correction]), LOWER(TRIM(tbl_HR_Data[[#This Row],[Email]])))</f>
        <v>email@example.com</v>
      </c>
      <c r="Q43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30" t="str" cm="1">
        <f t="array" ref="R430">_xlfn.REDUCE(Q430, {"-","/","_","\","(",")"}, _xlfn.LAMBDA(_xlpm.txt,_xlpm.itm, SUBSTITUTE(_xlpm.txt, _xlpm.itm, "")))</f>
        <v>Not Provided</v>
      </c>
      <c r="S430" s="3">
        <f>IFERROR(_xlfn.XLOOKUP(tbl_HR_Data[[#This Row],[Joining Date]], Mapping[Joining_Discarded], Mapping[Joining_Correction]), VALUE(tbl_HR_Data[[#This Row],[Joining Date]]))</f>
        <v>43549</v>
      </c>
      <c r="T430" t="str">
        <f>TEXT(tbl_HR_Data[[#This Row],[Joining Date]], "mmm")</f>
        <v>Mar</v>
      </c>
      <c r="U430" t="str">
        <f>TEXT(tbl_HR_Data[[#This Row],[Joining Date]], "ddd")</f>
        <v>Mon</v>
      </c>
    </row>
    <row r="431" spans="1:21" x14ac:dyDescent="0.35">
      <c r="A431" t="s">
        <v>107</v>
      </c>
      <c r="B431">
        <v>40</v>
      </c>
      <c r="C431">
        <v>55000</v>
      </c>
      <c r="D431" t="s">
        <v>11</v>
      </c>
      <c r="E431" t="s">
        <v>37</v>
      </c>
      <c r="F431" t="s">
        <v>43</v>
      </c>
      <c r="G431" s="3">
        <v>43549</v>
      </c>
      <c r="H431" t="str">
        <f>TEXT(tbl_HR_Data[[#This Row],[Joining Date]], "mmm")</f>
        <v>Mar</v>
      </c>
      <c r="I431" t="s">
        <v>94</v>
      </c>
      <c r="J431" t="s">
        <v>21</v>
      </c>
      <c r="K431" t="s">
        <v>22</v>
      </c>
      <c r="L431" t="s">
        <v>89</v>
      </c>
      <c r="M431">
        <f>IFERROR( _xlfn.XLOOKUP(TRIM(tbl_HR_Data[[#This Row],[Age]]),#REF!,#REF!), VALUE(TRIM(tbl_HR_Data[[#This Row],[Age]])))</f>
        <v>40</v>
      </c>
      <c r="N431" t="str">
        <f>IFERROR(_xlfn.XLOOKUP(tbl_HR_Data[[#This Row],[Gender]], Mapping[Gender _Discarded], Mapping[Gender_Correction]), PROPER(TRIM(tbl_HR_Data[[#This Row],[Gender]])))</f>
        <v>Male</v>
      </c>
      <c r="O431" t="str">
        <f>TRIM(tbl_HR_Data[[#This Row],[Position]])</f>
        <v>Assistant</v>
      </c>
      <c r="P431" t="str">
        <f>IFERROR(_xlfn.XLOOKUP(tbl_HR_Data[[#This Row],[Email]], Mapping[Email_Discarded], Mapping[Email_Correction]), LOWER(TRIM(tbl_HR_Data[[#This Row],[Email]])))</f>
        <v>user@domain.com</v>
      </c>
      <c r="Q43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431" t="str" cm="1">
        <f t="array" ref="R431">_xlfn.REDUCE(Q431, {"-","/","_","\","(",")"}, _xlfn.LAMBDA(_xlpm.txt,_xlpm.itm, SUBSTITUTE(_xlpm.txt, _xlpm.itm, "")))</f>
        <v>5555555555</v>
      </c>
      <c r="S431" s="3">
        <f>IFERROR(_xlfn.XLOOKUP(tbl_HR_Data[[#This Row],[Joining Date]], Mapping[Joining_Discarded], Mapping[Joining_Correction]), VALUE(tbl_HR_Data[[#This Row],[Joining Date]]))</f>
        <v>43549</v>
      </c>
      <c r="T431" t="str">
        <f>TEXT(tbl_HR_Data[[#This Row],[Joining Date]], "mmm")</f>
        <v>Mar</v>
      </c>
      <c r="U431" t="str">
        <f>TEXT(tbl_HR_Data[[#This Row],[Joining Date]], "ddd")</f>
        <v>Mon</v>
      </c>
    </row>
    <row r="432" spans="1:21" x14ac:dyDescent="0.35">
      <c r="A432" t="s">
        <v>102</v>
      </c>
      <c r="B432">
        <v>25</v>
      </c>
      <c r="C432">
        <v>55000</v>
      </c>
      <c r="D432" t="s">
        <v>18</v>
      </c>
      <c r="E432" t="s">
        <v>26</v>
      </c>
      <c r="F432" t="s">
        <v>44</v>
      </c>
      <c r="G432" s="3">
        <v>43549</v>
      </c>
      <c r="H432" t="str">
        <f>TEXT(tbl_HR_Data[[#This Row],[Joining Date]], "mmm")</f>
        <v>Mar</v>
      </c>
      <c r="I432" t="s">
        <v>94</v>
      </c>
      <c r="J432" t="s">
        <v>41</v>
      </c>
      <c r="K432" t="s">
        <v>32</v>
      </c>
      <c r="L432" t="s">
        <v>77</v>
      </c>
      <c r="M432">
        <f>IFERROR( _xlfn.XLOOKUP(TRIM(tbl_HR_Data[[#This Row],[Age]]),#REF!,#REF!), VALUE(TRIM(tbl_HR_Data[[#This Row],[Age]])))</f>
        <v>25</v>
      </c>
      <c r="N432" t="str">
        <f>IFERROR(_xlfn.XLOOKUP(tbl_HR_Data[[#This Row],[Gender]], Mapping[Gender _Discarded], Mapping[Gender_Correction]), PROPER(TRIM(tbl_HR_Data[[#This Row],[Gender]])))</f>
        <v>Female</v>
      </c>
      <c r="O432" t="str">
        <f>TRIM(tbl_HR_Data[[#This Row],[Position]])</f>
        <v>Analyst</v>
      </c>
      <c r="P432" t="str">
        <f>IFERROR(_xlfn.XLOOKUP(tbl_HR_Data[[#This Row],[Email]], Mapping[Email_Discarded], Mapping[Email_Correction]), LOWER(TRIM(tbl_HR_Data[[#This Row],[Email]])))</f>
        <v>name@company.org</v>
      </c>
      <c r="Q43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32" t="str" cm="1">
        <f t="array" ref="R432">_xlfn.REDUCE(Q432, {"-","/","_","\","(",")"}, _xlfn.LAMBDA(_xlpm.txt,_xlpm.itm, SUBSTITUTE(_xlpm.txt, _xlpm.itm, "")))</f>
        <v>Not Provided</v>
      </c>
      <c r="S432" s="3">
        <f>IFERROR(_xlfn.XLOOKUP(tbl_HR_Data[[#This Row],[Joining Date]], Mapping[Joining_Discarded], Mapping[Joining_Correction]), VALUE(tbl_HR_Data[[#This Row],[Joining Date]]))</f>
        <v>43549</v>
      </c>
      <c r="T432" t="str">
        <f>TEXT(tbl_HR_Data[[#This Row],[Joining Date]], "mmm")</f>
        <v>Mar</v>
      </c>
      <c r="U432" t="str">
        <f>TEXT(tbl_HR_Data[[#This Row],[Joining Date]], "ddd")</f>
        <v>Mon</v>
      </c>
    </row>
    <row r="433" spans="1:21" x14ac:dyDescent="0.35">
      <c r="A433" t="s">
        <v>101</v>
      </c>
      <c r="B433">
        <v>25</v>
      </c>
      <c r="C433">
        <v>65000</v>
      </c>
      <c r="D433" t="s">
        <v>11</v>
      </c>
      <c r="E433" t="s">
        <v>19</v>
      </c>
      <c r="F433" t="s">
        <v>44</v>
      </c>
      <c r="G433" s="3">
        <v>43549</v>
      </c>
      <c r="H433" t="str">
        <f>TEXT(tbl_HR_Data[[#This Row],[Joining Date]], "mmm")</f>
        <v>Mar</v>
      </c>
      <c r="I433" t="s">
        <v>94</v>
      </c>
      <c r="J433" t="s">
        <v>14</v>
      </c>
      <c r="K433" t="s">
        <v>77</v>
      </c>
      <c r="L433" t="s">
        <v>87</v>
      </c>
      <c r="M433">
        <f>IFERROR( _xlfn.XLOOKUP(TRIM(tbl_HR_Data[[#This Row],[Age]]),#REF!,#REF!), VALUE(TRIM(tbl_HR_Data[[#This Row],[Age]])))</f>
        <v>25</v>
      </c>
      <c r="N433" t="str">
        <f>IFERROR(_xlfn.XLOOKUP(tbl_HR_Data[[#This Row],[Gender]], Mapping[Gender _Discarded], Mapping[Gender_Correction]), PROPER(TRIM(tbl_HR_Data[[#This Row],[Gender]])))</f>
        <v>Male</v>
      </c>
      <c r="O433" t="str">
        <f>TRIM(tbl_HR_Data[[#This Row],[Position]])</f>
        <v>Analyst</v>
      </c>
      <c r="P433" t="str">
        <f>IFERROR(_xlfn.XLOOKUP(tbl_HR_Data[[#This Row],[Email]], Mapping[Email_Discarded], Mapping[Email_Correction]), LOWER(TRIM(tbl_HR_Data[[#This Row],[Email]])))</f>
        <v>not provided</v>
      </c>
      <c r="Q43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433" t="str" cm="1">
        <f t="array" ref="R433">_xlfn.REDUCE(Q433, {"-","/","_","\","(",")"}, _xlfn.LAMBDA(_xlpm.txt,_xlpm.itm, SUBSTITUTE(_xlpm.txt, _xlpm.itm, "")))</f>
        <v>1234567890</v>
      </c>
      <c r="S433" s="3">
        <f>IFERROR(_xlfn.XLOOKUP(tbl_HR_Data[[#This Row],[Joining Date]], Mapping[Joining_Discarded], Mapping[Joining_Correction]), VALUE(tbl_HR_Data[[#This Row],[Joining Date]]))</f>
        <v>43549</v>
      </c>
      <c r="T433" t="str">
        <f>TEXT(tbl_HR_Data[[#This Row],[Joining Date]], "mmm")</f>
        <v>Mar</v>
      </c>
      <c r="U433" t="str">
        <f>TEXT(tbl_HR_Data[[#This Row],[Joining Date]], "ddd")</f>
        <v>Mon</v>
      </c>
    </row>
    <row r="434" spans="1:21" x14ac:dyDescent="0.35">
      <c r="A434" t="s">
        <v>103</v>
      </c>
      <c r="B434">
        <v>30</v>
      </c>
      <c r="C434">
        <v>0</v>
      </c>
      <c r="D434" t="s">
        <v>11</v>
      </c>
      <c r="E434" t="s">
        <v>30</v>
      </c>
      <c r="F434" t="s">
        <v>20</v>
      </c>
      <c r="G434" s="3">
        <v>43549</v>
      </c>
      <c r="H434" t="str">
        <f>TEXT(tbl_HR_Data[[#This Row],[Joining Date]], "mmm")</f>
        <v>Mar</v>
      </c>
      <c r="I434" t="s">
        <v>94</v>
      </c>
      <c r="J434" t="s">
        <v>31</v>
      </c>
      <c r="K434" t="s">
        <v>15</v>
      </c>
      <c r="L434" t="s">
        <v>77</v>
      </c>
      <c r="M434">
        <f>IFERROR( _xlfn.XLOOKUP(TRIM(tbl_HR_Data[[#This Row],[Age]]),#REF!,#REF!), VALUE(TRIM(tbl_HR_Data[[#This Row],[Age]])))</f>
        <v>30</v>
      </c>
      <c r="N434" t="str">
        <f>IFERROR(_xlfn.XLOOKUP(tbl_HR_Data[[#This Row],[Gender]], Mapping[Gender _Discarded], Mapping[Gender_Correction]), PROPER(TRIM(tbl_HR_Data[[#This Row],[Gender]])))</f>
        <v>Male</v>
      </c>
      <c r="O434" t="str">
        <f>TRIM(tbl_HR_Data[[#This Row],[Position]])</f>
        <v>Director</v>
      </c>
      <c r="P434" t="str">
        <f>IFERROR(_xlfn.XLOOKUP(tbl_HR_Data[[#This Row],[Email]], Mapping[Email_Discarded], Mapping[Email_Correction]), LOWER(TRIM(tbl_HR_Data[[#This Row],[Email]])))</f>
        <v>email@example.com</v>
      </c>
      <c r="Q43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34" t="str" cm="1">
        <f t="array" ref="R434">_xlfn.REDUCE(Q434, {"-","/","_","\","(",")"}, _xlfn.LAMBDA(_xlpm.txt,_xlpm.itm, SUBSTITUTE(_xlpm.txt, _xlpm.itm, "")))</f>
        <v>Not Provided</v>
      </c>
      <c r="S434" s="3">
        <f>IFERROR(_xlfn.XLOOKUP(tbl_HR_Data[[#This Row],[Joining Date]], Mapping[Joining_Discarded], Mapping[Joining_Correction]), VALUE(tbl_HR_Data[[#This Row],[Joining Date]]))</f>
        <v>43549</v>
      </c>
      <c r="T434" t="str">
        <f>TEXT(tbl_HR_Data[[#This Row],[Joining Date]], "mmm")</f>
        <v>Mar</v>
      </c>
      <c r="U434" t="str">
        <f>TEXT(tbl_HR_Data[[#This Row],[Joining Date]], "ddd")</f>
        <v>Mon</v>
      </c>
    </row>
    <row r="435" spans="1:21" x14ac:dyDescent="0.35">
      <c r="A435" t="s">
        <v>107</v>
      </c>
      <c r="B435">
        <v>50</v>
      </c>
      <c r="C435">
        <v>50000</v>
      </c>
      <c r="D435" t="s">
        <v>18</v>
      </c>
      <c r="E435" t="s">
        <v>37</v>
      </c>
      <c r="F435" t="s">
        <v>43</v>
      </c>
      <c r="G435" s="3">
        <v>43549</v>
      </c>
      <c r="H435" t="str">
        <f>TEXT(tbl_HR_Data[[#This Row],[Joining Date]], "mmm")</f>
        <v>Mar</v>
      </c>
      <c r="I435" t="s">
        <v>94</v>
      </c>
      <c r="J435" t="s">
        <v>31</v>
      </c>
      <c r="K435" t="s">
        <v>77</v>
      </c>
      <c r="L435" t="s">
        <v>87</v>
      </c>
      <c r="M435">
        <f>IFERROR( _xlfn.XLOOKUP(TRIM(tbl_HR_Data[[#This Row],[Age]]),#REF!,#REF!), VALUE(TRIM(tbl_HR_Data[[#This Row],[Age]])))</f>
        <v>50</v>
      </c>
      <c r="N435" t="str">
        <f>IFERROR(_xlfn.XLOOKUP(tbl_HR_Data[[#This Row],[Gender]], Mapping[Gender _Discarded], Mapping[Gender_Correction]), PROPER(TRIM(tbl_HR_Data[[#This Row],[Gender]])))</f>
        <v>Female</v>
      </c>
      <c r="O435" t="str">
        <f>TRIM(tbl_HR_Data[[#This Row],[Position]])</f>
        <v>Assistant</v>
      </c>
      <c r="P435" t="str">
        <f>IFERROR(_xlfn.XLOOKUP(tbl_HR_Data[[#This Row],[Email]], Mapping[Email_Discarded], Mapping[Email_Correction]), LOWER(TRIM(tbl_HR_Data[[#This Row],[Email]])))</f>
        <v>not provided</v>
      </c>
      <c r="Q43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435" t="str" cm="1">
        <f t="array" ref="R435">_xlfn.REDUCE(Q435, {"-","/","_","\","(",")"}, _xlfn.LAMBDA(_xlpm.txt,_xlpm.itm, SUBSTITUTE(_xlpm.txt, _xlpm.itm, "")))</f>
        <v>1234567890</v>
      </c>
      <c r="S435" s="3">
        <f>IFERROR(_xlfn.XLOOKUP(tbl_HR_Data[[#This Row],[Joining Date]], Mapping[Joining_Discarded], Mapping[Joining_Correction]), VALUE(tbl_HR_Data[[#This Row],[Joining Date]]))</f>
        <v>43549</v>
      </c>
      <c r="T435" t="str">
        <f>TEXT(tbl_HR_Data[[#This Row],[Joining Date]], "mmm")</f>
        <v>Mar</v>
      </c>
      <c r="U435" t="str">
        <f>TEXT(tbl_HR_Data[[#This Row],[Joining Date]], "ddd")</f>
        <v>Mon</v>
      </c>
    </row>
    <row r="436" spans="1:21" x14ac:dyDescent="0.35">
      <c r="A436" t="s">
        <v>99</v>
      </c>
      <c r="B436">
        <v>30</v>
      </c>
      <c r="C436">
        <v>60000</v>
      </c>
      <c r="D436" t="s">
        <v>18</v>
      </c>
      <c r="E436" t="s">
        <v>37</v>
      </c>
      <c r="F436" t="s">
        <v>20</v>
      </c>
      <c r="G436" s="3">
        <v>43549</v>
      </c>
      <c r="H436" t="str">
        <f>TEXT(tbl_HR_Data[[#This Row],[Joining Date]], "mmm")</f>
        <v>Mar</v>
      </c>
      <c r="I436" t="s">
        <v>94</v>
      </c>
      <c r="J436" t="s">
        <v>31</v>
      </c>
      <c r="K436" t="s">
        <v>77</v>
      </c>
      <c r="L436" t="s">
        <v>89</v>
      </c>
      <c r="M436">
        <f>IFERROR( _xlfn.XLOOKUP(TRIM(tbl_HR_Data[[#This Row],[Age]]),#REF!,#REF!), VALUE(TRIM(tbl_HR_Data[[#This Row],[Age]])))</f>
        <v>30</v>
      </c>
      <c r="N436" t="str">
        <f>IFERROR(_xlfn.XLOOKUP(tbl_HR_Data[[#This Row],[Gender]], Mapping[Gender _Discarded], Mapping[Gender_Correction]), PROPER(TRIM(tbl_HR_Data[[#This Row],[Gender]])))</f>
        <v>Female</v>
      </c>
      <c r="O436" t="str">
        <f>TRIM(tbl_HR_Data[[#This Row],[Position]])</f>
        <v>Director</v>
      </c>
      <c r="P436" t="str">
        <f>IFERROR(_xlfn.XLOOKUP(tbl_HR_Data[[#This Row],[Email]], Mapping[Email_Discarded], Mapping[Email_Correction]), LOWER(TRIM(tbl_HR_Data[[#This Row],[Email]])))</f>
        <v>not provided</v>
      </c>
      <c r="Q43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436" t="str" cm="1">
        <f t="array" ref="R436">_xlfn.REDUCE(Q436, {"-","/","_","\","(",")"}, _xlfn.LAMBDA(_xlpm.txt,_xlpm.itm, SUBSTITUTE(_xlpm.txt, _xlpm.itm, "")))</f>
        <v>5555555555</v>
      </c>
      <c r="S436" s="3">
        <f>IFERROR(_xlfn.XLOOKUP(tbl_HR_Data[[#This Row],[Joining Date]], Mapping[Joining_Discarded], Mapping[Joining_Correction]), VALUE(tbl_HR_Data[[#This Row],[Joining Date]]))</f>
        <v>43549</v>
      </c>
      <c r="T436" t="str">
        <f>TEXT(tbl_HR_Data[[#This Row],[Joining Date]], "mmm")</f>
        <v>Mar</v>
      </c>
      <c r="U436" t="str">
        <f>TEXT(tbl_HR_Data[[#This Row],[Joining Date]], "ddd")</f>
        <v>Mon</v>
      </c>
    </row>
    <row r="437" spans="1:21" x14ac:dyDescent="0.35">
      <c r="A437" t="s">
        <v>107</v>
      </c>
      <c r="B437">
        <v>25</v>
      </c>
      <c r="C437">
        <v>0</v>
      </c>
      <c r="D437" t="s">
        <v>36</v>
      </c>
      <c r="E437" t="s">
        <v>12</v>
      </c>
      <c r="F437" t="s">
        <v>39</v>
      </c>
      <c r="G437" s="3">
        <v>43549</v>
      </c>
      <c r="H437" t="str">
        <f>TEXT(tbl_HR_Data[[#This Row],[Joining Date]], "mmm")</f>
        <v>Mar</v>
      </c>
      <c r="I437" t="s">
        <v>94</v>
      </c>
      <c r="J437" t="s">
        <v>27</v>
      </c>
      <c r="K437" t="s">
        <v>77</v>
      </c>
      <c r="L437" t="s">
        <v>77</v>
      </c>
      <c r="M437">
        <f>IFERROR( _xlfn.XLOOKUP(TRIM(tbl_HR_Data[[#This Row],[Age]]),#REF!,#REF!), VALUE(TRIM(tbl_HR_Data[[#This Row],[Age]])))</f>
        <v>25</v>
      </c>
      <c r="N437" t="str">
        <f>IFERROR(_xlfn.XLOOKUP(tbl_HR_Data[[#This Row],[Gender]], Mapping[Gender _Discarded], Mapping[Gender_Correction]), PROPER(TRIM(tbl_HR_Data[[#This Row],[Gender]])))</f>
        <v>Other</v>
      </c>
      <c r="O437" t="str">
        <f>TRIM(tbl_HR_Data[[#This Row],[Position]])</f>
        <v>Clerk</v>
      </c>
      <c r="P437" t="str">
        <f>IFERROR(_xlfn.XLOOKUP(tbl_HR_Data[[#This Row],[Email]], Mapping[Email_Discarded], Mapping[Email_Correction]), LOWER(TRIM(tbl_HR_Data[[#This Row],[Email]])))</f>
        <v>not provided</v>
      </c>
      <c r="Q43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37" t="str" cm="1">
        <f t="array" ref="R437">_xlfn.REDUCE(Q437, {"-","/","_","\","(",")"}, _xlfn.LAMBDA(_xlpm.txt,_xlpm.itm, SUBSTITUTE(_xlpm.txt, _xlpm.itm, "")))</f>
        <v>Not Provided</v>
      </c>
      <c r="S437" s="3">
        <f>IFERROR(_xlfn.XLOOKUP(tbl_HR_Data[[#This Row],[Joining Date]], Mapping[Joining_Discarded], Mapping[Joining_Correction]), VALUE(tbl_HR_Data[[#This Row],[Joining Date]]))</f>
        <v>43549</v>
      </c>
      <c r="T437" t="str">
        <f>TEXT(tbl_HR_Data[[#This Row],[Joining Date]], "mmm")</f>
        <v>Mar</v>
      </c>
      <c r="U437" t="str">
        <f>TEXT(tbl_HR_Data[[#This Row],[Joining Date]], "ddd")</f>
        <v>Mon</v>
      </c>
    </row>
    <row r="438" spans="1:21" x14ac:dyDescent="0.35">
      <c r="A438" t="s">
        <v>106</v>
      </c>
      <c r="B438">
        <v>50</v>
      </c>
      <c r="C438">
        <v>60000</v>
      </c>
      <c r="D438" t="s">
        <v>11</v>
      </c>
      <c r="E438" t="s">
        <v>26</v>
      </c>
      <c r="F438" t="s">
        <v>20</v>
      </c>
      <c r="G438" s="3">
        <v>43549</v>
      </c>
      <c r="H438" t="str">
        <f>TEXT(tbl_HR_Data[[#This Row],[Joining Date]], "mmm")</f>
        <v>Mar</v>
      </c>
      <c r="I438" t="s">
        <v>94</v>
      </c>
      <c r="J438" t="s">
        <v>41</v>
      </c>
      <c r="K438" t="s">
        <v>22</v>
      </c>
      <c r="L438" t="s">
        <v>87</v>
      </c>
      <c r="M438">
        <f>IFERROR( _xlfn.XLOOKUP(TRIM(tbl_HR_Data[[#This Row],[Age]]),#REF!,#REF!), VALUE(TRIM(tbl_HR_Data[[#This Row],[Age]])))</f>
        <v>50</v>
      </c>
      <c r="N438" t="str">
        <f>IFERROR(_xlfn.XLOOKUP(tbl_HR_Data[[#This Row],[Gender]], Mapping[Gender _Discarded], Mapping[Gender_Correction]), PROPER(TRIM(tbl_HR_Data[[#This Row],[Gender]])))</f>
        <v>Male</v>
      </c>
      <c r="O438" t="str">
        <f>TRIM(tbl_HR_Data[[#This Row],[Position]])</f>
        <v>Director</v>
      </c>
      <c r="P438" t="str">
        <f>IFERROR(_xlfn.XLOOKUP(tbl_HR_Data[[#This Row],[Email]], Mapping[Email_Discarded], Mapping[Email_Correction]), LOWER(TRIM(tbl_HR_Data[[#This Row],[Email]])))</f>
        <v>user@domain.com</v>
      </c>
      <c r="Q43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438" t="str" cm="1">
        <f t="array" ref="R438">_xlfn.REDUCE(Q438, {"-","/","_","\","(",")"}, _xlfn.LAMBDA(_xlpm.txt,_xlpm.itm, SUBSTITUTE(_xlpm.txt, _xlpm.itm, "")))</f>
        <v>1234567890</v>
      </c>
      <c r="S438" s="3">
        <f>IFERROR(_xlfn.XLOOKUP(tbl_HR_Data[[#This Row],[Joining Date]], Mapping[Joining_Discarded], Mapping[Joining_Correction]), VALUE(tbl_HR_Data[[#This Row],[Joining Date]]))</f>
        <v>43549</v>
      </c>
      <c r="T438" t="str">
        <f>TEXT(tbl_HR_Data[[#This Row],[Joining Date]], "mmm")</f>
        <v>Mar</v>
      </c>
      <c r="U438" t="str">
        <f>TEXT(tbl_HR_Data[[#This Row],[Joining Date]], "ddd")</f>
        <v>Mon</v>
      </c>
    </row>
    <row r="439" spans="1:21" x14ac:dyDescent="0.35">
      <c r="A439" t="s">
        <v>102</v>
      </c>
      <c r="B439">
        <v>50</v>
      </c>
      <c r="C439">
        <v>65000</v>
      </c>
      <c r="D439" t="s">
        <v>18</v>
      </c>
      <c r="E439" t="s">
        <v>12</v>
      </c>
      <c r="F439" t="s">
        <v>20</v>
      </c>
      <c r="G439" s="3">
        <v>43549</v>
      </c>
      <c r="H439" t="str">
        <f>TEXT(tbl_HR_Data[[#This Row],[Joining Date]], "mmm")</f>
        <v>Mar</v>
      </c>
      <c r="I439" t="s">
        <v>94</v>
      </c>
      <c r="J439" t="s">
        <v>27</v>
      </c>
      <c r="K439" t="s">
        <v>77</v>
      </c>
      <c r="L439" t="s">
        <v>88</v>
      </c>
      <c r="M439">
        <f>IFERROR( _xlfn.XLOOKUP(TRIM(tbl_HR_Data[[#This Row],[Age]]),#REF!,#REF!), VALUE(TRIM(tbl_HR_Data[[#This Row],[Age]])))</f>
        <v>50</v>
      </c>
      <c r="N439" t="str">
        <f>IFERROR(_xlfn.XLOOKUP(tbl_HR_Data[[#This Row],[Gender]], Mapping[Gender _Discarded], Mapping[Gender_Correction]), PROPER(TRIM(tbl_HR_Data[[#This Row],[Gender]])))</f>
        <v>Female</v>
      </c>
      <c r="O439" t="str">
        <f>TRIM(tbl_HR_Data[[#This Row],[Position]])</f>
        <v>Director</v>
      </c>
      <c r="P439" t="str">
        <f>IFERROR(_xlfn.XLOOKUP(tbl_HR_Data[[#This Row],[Email]], Mapping[Email_Discarded], Mapping[Email_Correction]), LOWER(TRIM(tbl_HR_Data[[#This Row],[Email]])))</f>
        <v>not provided</v>
      </c>
      <c r="Q43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439" t="str" cm="1">
        <f t="array" ref="R439">_xlfn.REDUCE(Q439, {"-","/","_","\","(",")"}, _xlfn.LAMBDA(_xlpm.txt,_xlpm.itm, SUBSTITUTE(_xlpm.txt, _xlpm.itm, "")))</f>
        <v>0987654321</v>
      </c>
      <c r="S439" s="3">
        <f>IFERROR(_xlfn.XLOOKUP(tbl_HR_Data[[#This Row],[Joining Date]], Mapping[Joining_Discarded], Mapping[Joining_Correction]), VALUE(tbl_HR_Data[[#This Row],[Joining Date]]))</f>
        <v>43549</v>
      </c>
      <c r="T439" t="str">
        <f>TEXT(tbl_HR_Data[[#This Row],[Joining Date]], "mmm")</f>
        <v>Mar</v>
      </c>
      <c r="U439" t="str">
        <f>TEXT(tbl_HR_Data[[#This Row],[Joining Date]], "ddd")</f>
        <v>Mon</v>
      </c>
    </row>
    <row r="440" spans="1:21" x14ac:dyDescent="0.35">
      <c r="A440" t="s">
        <v>107</v>
      </c>
      <c r="B440">
        <v>0</v>
      </c>
      <c r="C440">
        <v>55000</v>
      </c>
      <c r="D440" t="s">
        <v>36</v>
      </c>
      <c r="E440" t="s">
        <v>30</v>
      </c>
      <c r="F440" t="s">
        <v>39</v>
      </c>
      <c r="G440" s="3">
        <v>43549</v>
      </c>
      <c r="H440" t="str">
        <f>TEXT(tbl_HR_Data[[#This Row],[Joining Date]], "mmm")</f>
        <v>Mar</v>
      </c>
      <c r="I440" t="s">
        <v>94</v>
      </c>
      <c r="J440" t="s">
        <v>27</v>
      </c>
      <c r="K440" t="s">
        <v>77</v>
      </c>
      <c r="L440" t="s">
        <v>77</v>
      </c>
      <c r="M440">
        <f>IFERROR( _xlfn.XLOOKUP(TRIM(tbl_HR_Data[[#This Row],[Age]]),#REF!,#REF!), VALUE(TRIM(tbl_HR_Data[[#This Row],[Age]])))</f>
        <v>0</v>
      </c>
      <c r="N440" t="str">
        <f>IFERROR(_xlfn.XLOOKUP(tbl_HR_Data[[#This Row],[Gender]], Mapping[Gender _Discarded], Mapping[Gender_Correction]), PROPER(TRIM(tbl_HR_Data[[#This Row],[Gender]])))</f>
        <v>Other</v>
      </c>
      <c r="O440" t="str">
        <f>TRIM(tbl_HR_Data[[#This Row],[Position]])</f>
        <v>Clerk</v>
      </c>
      <c r="P440" t="str">
        <f>IFERROR(_xlfn.XLOOKUP(tbl_HR_Data[[#This Row],[Email]], Mapping[Email_Discarded], Mapping[Email_Correction]), LOWER(TRIM(tbl_HR_Data[[#This Row],[Email]])))</f>
        <v>not provided</v>
      </c>
      <c r="Q44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40" t="str" cm="1">
        <f t="array" ref="R440">_xlfn.REDUCE(Q440, {"-","/","_","\","(",")"}, _xlfn.LAMBDA(_xlpm.txt,_xlpm.itm, SUBSTITUTE(_xlpm.txt, _xlpm.itm, "")))</f>
        <v>Not Provided</v>
      </c>
      <c r="S440" s="3">
        <f>IFERROR(_xlfn.XLOOKUP(tbl_HR_Data[[#This Row],[Joining Date]], Mapping[Joining_Discarded], Mapping[Joining_Correction]), VALUE(tbl_HR_Data[[#This Row],[Joining Date]]))</f>
        <v>43549</v>
      </c>
      <c r="T440" t="str">
        <f>TEXT(tbl_HR_Data[[#This Row],[Joining Date]], "mmm")</f>
        <v>Mar</v>
      </c>
      <c r="U440" t="str">
        <f>TEXT(tbl_HR_Data[[#This Row],[Joining Date]], "ddd")</f>
        <v>Mon</v>
      </c>
    </row>
    <row r="441" spans="1:21" x14ac:dyDescent="0.35">
      <c r="A441" t="s">
        <v>107</v>
      </c>
      <c r="B441">
        <v>25</v>
      </c>
      <c r="C441">
        <v>0</v>
      </c>
      <c r="D441" t="s">
        <v>11</v>
      </c>
      <c r="E441" t="s">
        <v>30</v>
      </c>
      <c r="F441" t="s">
        <v>43</v>
      </c>
      <c r="G441" s="3">
        <v>43549</v>
      </c>
      <c r="H441" t="str">
        <f>TEXT(tbl_HR_Data[[#This Row],[Joining Date]], "mmm")</f>
        <v>Mar</v>
      </c>
      <c r="I441" t="s">
        <v>94</v>
      </c>
      <c r="J441" t="s">
        <v>27</v>
      </c>
      <c r="K441" t="s">
        <v>22</v>
      </c>
      <c r="L441" t="s">
        <v>77</v>
      </c>
      <c r="M441">
        <f>IFERROR( _xlfn.XLOOKUP(TRIM(tbl_HR_Data[[#This Row],[Age]]),#REF!,#REF!), VALUE(TRIM(tbl_HR_Data[[#This Row],[Age]])))</f>
        <v>25</v>
      </c>
      <c r="N441" t="str">
        <f>IFERROR(_xlfn.XLOOKUP(tbl_HR_Data[[#This Row],[Gender]], Mapping[Gender _Discarded], Mapping[Gender_Correction]), PROPER(TRIM(tbl_HR_Data[[#This Row],[Gender]])))</f>
        <v>Male</v>
      </c>
      <c r="O441" t="str">
        <f>TRIM(tbl_HR_Data[[#This Row],[Position]])</f>
        <v>Assistant</v>
      </c>
      <c r="P441" t="str">
        <f>IFERROR(_xlfn.XLOOKUP(tbl_HR_Data[[#This Row],[Email]], Mapping[Email_Discarded], Mapping[Email_Correction]), LOWER(TRIM(tbl_HR_Data[[#This Row],[Email]])))</f>
        <v>user@domain.com</v>
      </c>
      <c r="Q44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41" t="str" cm="1">
        <f t="array" ref="R441">_xlfn.REDUCE(Q441, {"-","/","_","\","(",")"}, _xlfn.LAMBDA(_xlpm.txt,_xlpm.itm, SUBSTITUTE(_xlpm.txt, _xlpm.itm, "")))</f>
        <v>Not Provided</v>
      </c>
      <c r="S441" s="3">
        <f>IFERROR(_xlfn.XLOOKUP(tbl_HR_Data[[#This Row],[Joining Date]], Mapping[Joining_Discarded], Mapping[Joining_Correction]), VALUE(tbl_HR_Data[[#This Row],[Joining Date]]))</f>
        <v>43549</v>
      </c>
      <c r="T441" t="str">
        <f>TEXT(tbl_HR_Data[[#This Row],[Joining Date]], "mmm")</f>
        <v>Mar</v>
      </c>
      <c r="U441" t="str">
        <f>TEXT(tbl_HR_Data[[#This Row],[Joining Date]], "ddd")</f>
        <v>Mon</v>
      </c>
    </row>
    <row r="442" spans="1:21" x14ac:dyDescent="0.35">
      <c r="A442" t="s">
        <v>106</v>
      </c>
      <c r="B442">
        <v>35</v>
      </c>
      <c r="C442">
        <v>55000</v>
      </c>
      <c r="D442" t="s">
        <v>11</v>
      </c>
      <c r="E442" t="s">
        <v>12</v>
      </c>
      <c r="F442" t="s">
        <v>39</v>
      </c>
      <c r="G442" s="3">
        <v>43549</v>
      </c>
      <c r="H442" t="str">
        <f>TEXT(tbl_HR_Data[[#This Row],[Joining Date]], "mmm")</f>
        <v>Mar</v>
      </c>
      <c r="I442" t="s">
        <v>94</v>
      </c>
      <c r="J442" t="s">
        <v>41</v>
      </c>
      <c r="K442" t="s">
        <v>77</v>
      </c>
      <c r="L442" t="s">
        <v>77</v>
      </c>
      <c r="M442">
        <f>IFERROR( _xlfn.XLOOKUP(TRIM(tbl_HR_Data[[#This Row],[Age]]),#REF!,#REF!), VALUE(TRIM(tbl_HR_Data[[#This Row],[Age]])))</f>
        <v>35</v>
      </c>
      <c r="N442" t="str">
        <f>IFERROR(_xlfn.XLOOKUP(tbl_HR_Data[[#This Row],[Gender]], Mapping[Gender _Discarded], Mapping[Gender_Correction]), PROPER(TRIM(tbl_HR_Data[[#This Row],[Gender]])))</f>
        <v>Male</v>
      </c>
      <c r="O442" t="str">
        <f>TRIM(tbl_HR_Data[[#This Row],[Position]])</f>
        <v>Clerk</v>
      </c>
      <c r="P442" t="str">
        <f>IFERROR(_xlfn.XLOOKUP(tbl_HR_Data[[#This Row],[Email]], Mapping[Email_Discarded], Mapping[Email_Correction]), LOWER(TRIM(tbl_HR_Data[[#This Row],[Email]])))</f>
        <v>not provided</v>
      </c>
      <c r="Q44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42" t="str" cm="1">
        <f t="array" ref="R442">_xlfn.REDUCE(Q442, {"-","/","_","\","(",")"}, _xlfn.LAMBDA(_xlpm.txt,_xlpm.itm, SUBSTITUTE(_xlpm.txt, _xlpm.itm, "")))</f>
        <v>Not Provided</v>
      </c>
      <c r="S442" s="3">
        <f>IFERROR(_xlfn.XLOOKUP(tbl_HR_Data[[#This Row],[Joining Date]], Mapping[Joining_Discarded], Mapping[Joining_Correction]), VALUE(tbl_HR_Data[[#This Row],[Joining Date]]))</f>
        <v>43549</v>
      </c>
      <c r="T442" t="str">
        <f>TEXT(tbl_HR_Data[[#This Row],[Joining Date]], "mmm")</f>
        <v>Mar</v>
      </c>
      <c r="U442" t="str">
        <f>TEXT(tbl_HR_Data[[#This Row],[Joining Date]], "ddd")</f>
        <v>Mon</v>
      </c>
    </row>
    <row r="443" spans="1:21" x14ac:dyDescent="0.35">
      <c r="A443" t="s">
        <v>107</v>
      </c>
      <c r="B443">
        <v>0</v>
      </c>
      <c r="C443">
        <v>55000</v>
      </c>
      <c r="D443" t="s">
        <v>11</v>
      </c>
      <c r="E443" t="s">
        <v>19</v>
      </c>
      <c r="F443" t="s">
        <v>43</v>
      </c>
      <c r="G443" s="3">
        <v>43549</v>
      </c>
      <c r="H443" t="str">
        <f>TEXT(tbl_HR_Data[[#This Row],[Joining Date]], "mmm")</f>
        <v>Mar</v>
      </c>
      <c r="I443" t="s">
        <v>94</v>
      </c>
      <c r="J443" t="s">
        <v>14</v>
      </c>
      <c r="K443" t="s">
        <v>77</v>
      </c>
      <c r="L443" t="s">
        <v>87</v>
      </c>
      <c r="M443">
        <f>IFERROR( _xlfn.XLOOKUP(TRIM(tbl_HR_Data[[#This Row],[Age]]),#REF!,#REF!), VALUE(TRIM(tbl_HR_Data[[#This Row],[Age]])))</f>
        <v>0</v>
      </c>
      <c r="N443" t="str">
        <f>IFERROR(_xlfn.XLOOKUP(tbl_HR_Data[[#This Row],[Gender]], Mapping[Gender _Discarded], Mapping[Gender_Correction]), PROPER(TRIM(tbl_HR_Data[[#This Row],[Gender]])))</f>
        <v>Male</v>
      </c>
      <c r="O443" t="str">
        <f>TRIM(tbl_HR_Data[[#This Row],[Position]])</f>
        <v>Assistant</v>
      </c>
      <c r="P443" t="str">
        <f>IFERROR(_xlfn.XLOOKUP(tbl_HR_Data[[#This Row],[Email]], Mapping[Email_Discarded], Mapping[Email_Correction]), LOWER(TRIM(tbl_HR_Data[[#This Row],[Email]])))</f>
        <v>not provided</v>
      </c>
      <c r="Q44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443" t="str" cm="1">
        <f t="array" ref="R443">_xlfn.REDUCE(Q443, {"-","/","_","\","(",")"}, _xlfn.LAMBDA(_xlpm.txt,_xlpm.itm, SUBSTITUTE(_xlpm.txt, _xlpm.itm, "")))</f>
        <v>1234567890</v>
      </c>
      <c r="S443" s="3">
        <f>IFERROR(_xlfn.XLOOKUP(tbl_HR_Data[[#This Row],[Joining Date]], Mapping[Joining_Discarded], Mapping[Joining_Correction]), VALUE(tbl_HR_Data[[#This Row],[Joining Date]]))</f>
        <v>43549</v>
      </c>
      <c r="T443" t="str">
        <f>TEXT(tbl_HR_Data[[#This Row],[Joining Date]], "mmm")</f>
        <v>Mar</v>
      </c>
      <c r="U443" t="str">
        <f>TEXT(tbl_HR_Data[[#This Row],[Joining Date]], "ddd")</f>
        <v>Mon</v>
      </c>
    </row>
    <row r="444" spans="1:21" x14ac:dyDescent="0.35">
      <c r="A444" t="s">
        <v>108</v>
      </c>
      <c r="B444">
        <v>35</v>
      </c>
      <c r="C444">
        <v>0</v>
      </c>
      <c r="D444" t="s">
        <v>11</v>
      </c>
      <c r="E444" t="s">
        <v>30</v>
      </c>
      <c r="F444" t="s">
        <v>39</v>
      </c>
      <c r="G444" s="3">
        <v>43549</v>
      </c>
      <c r="H444" t="str">
        <f>TEXT(tbl_HR_Data[[#This Row],[Joining Date]], "mmm")</f>
        <v>Mar</v>
      </c>
      <c r="I444" t="s">
        <v>94</v>
      </c>
      <c r="J444" t="s">
        <v>14</v>
      </c>
      <c r="K444" t="s">
        <v>22</v>
      </c>
      <c r="L444" t="s">
        <v>88</v>
      </c>
      <c r="M444">
        <f>IFERROR( _xlfn.XLOOKUP(TRIM(tbl_HR_Data[[#This Row],[Age]]),#REF!,#REF!), VALUE(TRIM(tbl_HR_Data[[#This Row],[Age]])))</f>
        <v>35</v>
      </c>
      <c r="N444" t="str">
        <f>IFERROR(_xlfn.XLOOKUP(tbl_HR_Data[[#This Row],[Gender]], Mapping[Gender _Discarded], Mapping[Gender_Correction]), PROPER(TRIM(tbl_HR_Data[[#This Row],[Gender]])))</f>
        <v>Male</v>
      </c>
      <c r="O444" t="str">
        <f>TRIM(tbl_HR_Data[[#This Row],[Position]])</f>
        <v>Clerk</v>
      </c>
      <c r="P444" t="str">
        <f>IFERROR(_xlfn.XLOOKUP(tbl_HR_Data[[#This Row],[Email]], Mapping[Email_Discarded], Mapping[Email_Correction]), LOWER(TRIM(tbl_HR_Data[[#This Row],[Email]])))</f>
        <v>user@domain.com</v>
      </c>
      <c r="Q44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444" t="str" cm="1">
        <f t="array" ref="R444">_xlfn.REDUCE(Q444, {"-","/","_","\","(",")"}, _xlfn.LAMBDA(_xlpm.txt,_xlpm.itm, SUBSTITUTE(_xlpm.txt, _xlpm.itm, "")))</f>
        <v>0987654321</v>
      </c>
      <c r="S444" s="3">
        <f>IFERROR(_xlfn.XLOOKUP(tbl_HR_Data[[#This Row],[Joining Date]], Mapping[Joining_Discarded], Mapping[Joining_Correction]), VALUE(tbl_HR_Data[[#This Row],[Joining Date]]))</f>
        <v>43549</v>
      </c>
      <c r="T444" t="str">
        <f>TEXT(tbl_HR_Data[[#This Row],[Joining Date]], "mmm")</f>
        <v>Mar</v>
      </c>
      <c r="U444" t="str">
        <f>TEXT(tbl_HR_Data[[#This Row],[Joining Date]], "ddd")</f>
        <v>Mon</v>
      </c>
    </row>
    <row r="445" spans="1:21" x14ac:dyDescent="0.35">
      <c r="A445" t="s">
        <v>108</v>
      </c>
      <c r="B445">
        <v>0</v>
      </c>
      <c r="C445">
        <v>0</v>
      </c>
      <c r="D445" t="s">
        <v>11</v>
      </c>
      <c r="E445" t="s">
        <v>37</v>
      </c>
      <c r="F445" t="s">
        <v>20</v>
      </c>
      <c r="G445" s="3">
        <v>43549</v>
      </c>
      <c r="H445" t="str">
        <f>TEXT(tbl_HR_Data[[#This Row],[Joining Date]], "mmm")</f>
        <v>Mar</v>
      </c>
      <c r="I445" t="s">
        <v>94</v>
      </c>
      <c r="J445" t="s">
        <v>27</v>
      </c>
      <c r="K445" t="s">
        <v>22</v>
      </c>
      <c r="L445" t="s">
        <v>88</v>
      </c>
      <c r="M445">
        <f>IFERROR( _xlfn.XLOOKUP(TRIM(tbl_HR_Data[[#This Row],[Age]]),#REF!,#REF!), VALUE(TRIM(tbl_HR_Data[[#This Row],[Age]])))</f>
        <v>0</v>
      </c>
      <c r="N445" t="str">
        <f>IFERROR(_xlfn.XLOOKUP(tbl_HR_Data[[#This Row],[Gender]], Mapping[Gender _Discarded], Mapping[Gender_Correction]), PROPER(TRIM(tbl_HR_Data[[#This Row],[Gender]])))</f>
        <v>Male</v>
      </c>
      <c r="O445" t="str">
        <f>TRIM(tbl_HR_Data[[#This Row],[Position]])</f>
        <v>Director</v>
      </c>
      <c r="P445" t="str">
        <f>IFERROR(_xlfn.XLOOKUP(tbl_HR_Data[[#This Row],[Email]], Mapping[Email_Discarded], Mapping[Email_Correction]), LOWER(TRIM(tbl_HR_Data[[#This Row],[Email]])))</f>
        <v>user@domain.com</v>
      </c>
      <c r="Q44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445" t="str" cm="1">
        <f t="array" ref="R445">_xlfn.REDUCE(Q445, {"-","/","_","\","(",")"}, _xlfn.LAMBDA(_xlpm.txt,_xlpm.itm, SUBSTITUTE(_xlpm.txt, _xlpm.itm, "")))</f>
        <v>0987654321</v>
      </c>
      <c r="S445" s="3">
        <f>IFERROR(_xlfn.XLOOKUP(tbl_HR_Data[[#This Row],[Joining Date]], Mapping[Joining_Discarded], Mapping[Joining_Correction]), VALUE(tbl_HR_Data[[#This Row],[Joining Date]]))</f>
        <v>43549</v>
      </c>
      <c r="T445" t="str">
        <f>TEXT(tbl_HR_Data[[#This Row],[Joining Date]], "mmm")</f>
        <v>Mar</v>
      </c>
      <c r="U445" t="str">
        <f>TEXT(tbl_HR_Data[[#This Row],[Joining Date]], "ddd")</f>
        <v>Mon</v>
      </c>
    </row>
    <row r="446" spans="1:21" x14ac:dyDescent="0.35">
      <c r="A446" t="s">
        <v>105</v>
      </c>
      <c r="B446">
        <v>35</v>
      </c>
      <c r="C446">
        <v>55000</v>
      </c>
      <c r="D446" t="s">
        <v>18</v>
      </c>
      <c r="E446" t="s">
        <v>26</v>
      </c>
      <c r="F446" t="s">
        <v>44</v>
      </c>
      <c r="G446" s="3">
        <v>43549</v>
      </c>
      <c r="H446" t="str">
        <f>TEXT(tbl_HR_Data[[#This Row],[Joining Date]], "mmm")</f>
        <v>Mar</v>
      </c>
      <c r="I446" t="s">
        <v>94</v>
      </c>
      <c r="J446" t="s">
        <v>21</v>
      </c>
      <c r="K446" t="s">
        <v>15</v>
      </c>
      <c r="L446" t="s">
        <v>87</v>
      </c>
      <c r="M446">
        <f>IFERROR( _xlfn.XLOOKUP(TRIM(tbl_HR_Data[[#This Row],[Age]]),#REF!,#REF!), VALUE(TRIM(tbl_HR_Data[[#This Row],[Age]])))</f>
        <v>35</v>
      </c>
      <c r="N446" t="str">
        <f>IFERROR(_xlfn.XLOOKUP(tbl_HR_Data[[#This Row],[Gender]], Mapping[Gender _Discarded], Mapping[Gender_Correction]), PROPER(TRIM(tbl_HR_Data[[#This Row],[Gender]])))</f>
        <v>Female</v>
      </c>
      <c r="O446" t="str">
        <f>TRIM(tbl_HR_Data[[#This Row],[Position]])</f>
        <v>Analyst</v>
      </c>
      <c r="P446" t="str">
        <f>IFERROR(_xlfn.XLOOKUP(tbl_HR_Data[[#This Row],[Email]], Mapping[Email_Discarded], Mapping[Email_Correction]), LOWER(TRIM(tbl_HR_Data[[#This Row],[Email]])))</f>
        <v>email@example.com</v>
      </c>
      <c r="Q44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446" t="str" cm="1">
        <f t="array" ref="R446">_xlfn.REDUCE(Q446, {"-","/","_","\","(",")"}, _xlfn.LAMBDA(_xlpm.txt,_xlpm.itm, SUBSTITUTE(_xlpm.txt, _xlpm.itm, "")))</f>
        <v>1234567890</v>
      </c>
      <c r="S446" s="3">
        <f>IFERROR(_xlfn.XLOOKUP(tbl_HR_Data[[#This Row],[Joining Date]], Mapping[Joining_Discarded], Mapping[Joining_Correction]), VALUE(tbl_HR_Data[[#This Row],[Joining Date]]))</f>
        <v>43549</v>
      </c>
      <c r="T446" t="str">
        <f>TEXT(tbl_HR_Data[[#This Row],[Joining Date]], "mmm")</f>
        <v>Mar</v>
      </c>
      <c r="U446" t="str">
        <f>TEXT(tbl_HR_Data[[#This Row],[Joining Date]], "ddd")</f>
        <v>Mon</v>
      </c>
    </row>
    <row r="447" spans="1:21" x14ac:dyDescent="0.35">
      <c r="A447" t="s">
        <v>102</v>
      </c>
      <c r="B447">
        <v>30</v>
      </c>
      <c r="C447">
        <v>70000</v>
      </c>
      <c r="D447" t="s">
        <v>11</v>
      </c>
      <c r="E447" t="s">
        <v>12</v>
      </c>
      <c r="F447" t="s">
        <v>20</v>
      </c>
      <c r="G447" s="3">
        <v>43549</v>
      </c>
      <c r="H447" t="str">
        <f>TEXT(tbl_HR_Data[[#This Row],[Joining Date]], "mmm")</f>
        <v>Mar</v>
      </c>
      <c r="I447" t="s">
        <v>94</v>
      </c>
      <c r="J447" t="s">
        <v>31</v>
      </c>
      <c r="K447" t="s">
        <v>77</v>
      </c>
      <c r="L447" t="s">
        <v>89</v>
      </c>
      <c r="M447">
        <f>IFERROR( _xlfn.XLOOKUP(TRIM(tbl_HR_Data[[#This Row],[Age]]),#REF!,#REF!), VALUE(TRIM(tbl_HR_Data[[#This Row],[Age]])))</f>
        <v>30</v>
      </c>
      <c r="N447" t="str">
        <f>IFERROR(_xlfn.XLOOKUP(tbl_HR_Data[[#This Row],[Gender]], Mapping[Gender _Discarded], Mapping[Gender_Correction]), PROPER(TRIM(tbl_HR_Data[[#This Row],[Gender]])))</f>
        <v>Male</v>
      </c>
      <c r="O447" t="str">
        <f>TRIM(tbl_HR_Data[[#This Row],[Position]])</f>
        <v>Director</v>
      </c>
      <c r="P447" t="str">
        <f>IFERROR(_xlfn.XLOOKUP(tbl_HR_Data[[#This Row],[Email]], Mapping[Email_Discarded], Mapping[Email_Correction]), LOWER(TRIM(tbl_HR_Data[[#This Row],[Email]])))</f>
        <v>not provided</v>
      </c>
      <c r="Q44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447" t="str" cm="1">
        <f t="array" ref="R447">_xlfn.REDUCE(Q447, {"-","/","_","\","(",")"}, _xlfn.LAMBDA(_xlpm.txt,_xlpm.itm, SUBSTITUTE(_xlpm.txt, _xlpm.itm, "")))</f>
        <v>5555555555</v>
      </c>
      <c r="S447" s="3">
        <f>IFERROR(_xlfn.XLOOKUP(tbl_HR_Data[[#This Row],[Joining Date]], Mapping[Joining_Discarded], Mapping[Joining_Correction]), VALUE(tbl_HR_Data[[#This Row],[Joining Date]]))</f>
        <v>43549</v>
      </c>
      <c r="T447" t="str">
        <f>TEXT(tbl_HR_Data[[#This Row],[Joining Date]], "mmm")</f>
        <v>Mar</v>
      </c>
      <c r="U447" t="str">
        <f>TEXT(tbl_HR_Data[[#This Row],[Joining Date]], "ddd")</f>
        <v>Mon</v>
      </c>
    </row>
    <row r="448" spans="1:21" x14ac:dyDescent="0.35">
      <c r="A448" t="s">
        <v>107</v>
      </c>
      <c r="B448">
        <v>25</v>
      </c>
      <c r="C448">
        <v>0</v>
      </c>
      <c r="D448" t="s">
        <v>18</v>
      </c>
      <c r="E448" t="s">
        <v>12</v>
      </c>
      <c r="F448" t="s">
        <v>43</v>
      </c>
      <c r="G448" s="3">
        <v>43549</v>
      </c>
      <c r="H448" t="str">
        <f>TEXT(tbl_HR_Data[[#This Row],[Joining Date]], "mmm")</f>
        <v>Mar</v>
      </c>
      <c r="I448" t="s">
        <v>94</v>
      </c>
      <c r="J448" t="s">
        <v>21</v>
      </c>
      <c r="K448" t="s">
        <v>77</v>
      </c>
      <c r="L448" t="s">
        <v>89</v>
      </c>
      <c r="M448">
        <f>IFERROR( _xlfn.XLOOKUP(TRIM(tbl_HR_Data[[#This Row],[Age]]),#REF!,#REF!), VALUE(TRIM(tbl_HR_Data[[#This Row],[Age]])))</f>
        <v>25</v>
      </c>
      <c r="N448" t="str">
        <f>IFERROR(_xlfn.XLOOKUP(tbl_HR_Data[[#This Row],[Gender]], Mapping[Gender _Discarded], Mapping[Gender_Correction]), PROPER(TRIM(tbl_HR_Data[[#This Row],[Gender]])))</f>
        <v>Female</v>
      </c>
      <c r="O448" t="str">
        <f>TRIM(tbl_HR_Data[[#This Row],[Position]])</f>
        <v>Assistant</v>
      </c>
      <c r="P448" t="str">
        <f>IFERROR(_xlfn.XLOOKUP(tbl_HR_Data[[#This Row],[Email]], Mapping[Email_Discarded], Mapping[Email_Correction]), LOWER(TRIM(tbl_HR_Data[[#This Row],[Email]])))</f>
        <v>not provided</v>
      </c>
      <c r="Q44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448" t="str" cm="1">
        <f t="array" ref="R448">_xlfn.REDUCE(Q448, {"-","/","_","\","(",")"}, _xlfn.LAMBDA(_xlpm.txt,_xlpm.itm, SUBSTITUTE(_xlpm.txt, _xlpm.itm, "")))</f>
        <v>5555555555</v>
      </c>
      <c r="S448" s="3">
        <f>IFERROR(_xlfn.XLOOKUP(tbl_HR_Data[[#This Row],[Joining Date]], Mapping[Joining_Discarded], Mapping[Joining_Correction]), VALUE(tbl_HR_Data[[#This Row],[Joining Date]]))</f>
        <v>43549</v>
      </c>
      <c r="T448" t="str">
        <f>TEXT(tbl_HR_Data[[#This Row],[Joining Date]], "mmm")</f>
        <v>Mar</v>
      </c>
      <c r="U448" t="str">
        <f>TEXT(tbl_HR_Data[[#This Row],[Joining Date]], "ddd")</f>
        <v>Mon</v>
      </c>
    </row>
    <row r="449" spans="1:21" x14ac:dyDescent="0.35">
      <c r="A449" t="s">
        <v>102</v>
      </c>
      <c r="B449">
        <v>35</v>
      </c>
      <c r="C449">
        <v>65000</v>
      </c>
      <c r="D449" t="s">
        <v>18</v>
      </c>
      <c r="E449" t="s">
        <v>19</v>
      </c>
      <c r="F449" t="s">
        <v>13</v>
      </c>
      <c r="G449" s="3">
        <v>43549</v>
      </c>
      <c r="H449" t="str">
        <f>TEXT(tbl_HR_Data[[#This Row],[Joining Date]], "mmm")</f>
        <v>Mar</v>
      </c>
      <c r="I449" t="s">
        <v>94</v>
      </c>
      <c r="J449" t="s">
        <v>14</v>
      </c>
      <c r="K449" t="s">
        <v>32</v>
      </c>
      <c r="L449" t="s">
        <v>77</v>
      </c>
      <c r="M449">
        <f>IFERROR( _xlfn.XLOOKUP(TRIM(tbl_HR_Data[[#This Row],[Age]]),#REF!,#REF!), VALUE(TRIM(tbl_HR_Data[[#This Row],[Age]])))</f>
        <v>35</v>
      </c>
      <c r="N449" t="str">
        <f>IFERROR(_xlfn.XLOOKUP(tbl_HR_Data[[#This Row],[Gender]], Mapping[Gender _Discarded], Mapping[Gender_Correction]), PROPER(TRIM(tbl_HR_Data[[#This Row],[Gender]])))</f>
        <v>Female</v>
      </c>
      <c r="O449" t="str">
        <f>TRIM(tbl_HR_Data[[#This Row],[Position]])</f>
        <v>Manager</v>
      </c>
      <c r="P449" t="str">
        <f>IFERROR(_xlfn.XLOOKUP(tbl_HR_Data[[#This Row],[Email]], Mapping[Email_Discarded], Mapping[Email_Correction]), LOWER(TRIM(tbl_HR_Data[[#This Row],[Email]])))</f>
        <v>name@company.org</v>
      </c>
      <c r="Q44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49" t="str" cm="1">
        <f t="array" ref="R449">_xlfn.REDUCE(Q449, {"-","/","_","\","(",")"}, _xlfn.LAMBDA(_xlpm.txt,_xlpm.itm, SUBSTITUTE(_xlpm.txt, _xlpm.itm, "")))</f>
        <v>Not Provided</v>
      </c>
      <c r="S449" s="3">
        <f>IFERROR(_xlfn.XLOOKUP(tbl_HR_Data[[#This Row],[Joining Date]], Mapping[Joining_Discarded], Mapping[Joining_Correction]), VALUE(tbl_HR_Data[[#This Row],[Joining Date]]))</f>
        <v>43549</v>
      </c>
      <c r="T449" t="str">
        <f>TEXT(tbl_HR_Data[[#This Row],[Joining Date]], "mmm")</f>
        <v>Mar</v>
      </c>
      <c r="U449" t="str">
        <f>TEXT(tbl_HR_Data[[#This Row],[Joining Date]], "ddd")</f>
        <v>Mon</v>
      </c>
    </row>
    <row r="450" spans="1:21" x14ac:dyDescent="0.35">
      <c r="A450" t="s">
        <v>106</v>
      </c>
      <c r="B450">
        <v>25</v>
      </c>
      <c r="C450">
        <v>65000</v>
      </c>
      <c r="D450" t="s">
        <v>11</v>
      </c>
      <c r="E450" t="s">
        <v>30</v>
      </c>
      <c r="F450" t="s">
        <v>44</v>
      </c>
      <c r="G450" s="3">
        <v>43549</v>
      </c>
      <c r="H450" t="str">
        <f>TEXT(tbl_HR_Data[[#This Row],[Joining Date]], "mmm")</f>
        <v>Mar</v>
      </c>
      <c r="I450" t="s">
        <v>94</v>
      </c>
      <c r="J450" t="s">
        <v>27</v>
      </c>
      <c r="K450" t="s">
        <v>22</v>
      </c>
      <c r="L450" t="s">
        <v>89</v>
      </c>
      <c r="M450">
        <f>IFERROR( _xlfn.XLOOKUP(TRIM(tbl_HR_Data[[#This Row],[Age]]),#REF!,#REF!), VALUE(TRIM(tbl_HR_Data[[#This Row],[Age]])))</f>
        <v>25</v>
      </c>
      <c r="N450" t="str">
        <f>IFERROR(_xlfn.XLOOKUP(tbl_HR_Data[[#This Row],[Gender]], Mapping[Gender _Discarded], Mapping[Gender_Correction]), PROPER(TRIM(tbl_HR_Data[[#This Row],[Gender]])))</f>
        <v>Male</v>
      </c>
      <c r="O450" t="str">
        <f>TRIM(tbl_HR_Data[[#This Row],[Position]])</f>
        <v>Analyst</v>
      </c>
      <c r="P450" t="str">
        <f>IFERROR(_xlfn.XLOOKUP(tbl_HR_Data[[#This Row],[Email]], Mapping[Email_Discarded], Mapping[Email_Correction]), LOWER(TRIM(tbl_HR_Data[[#This Row],[Email]])))</f>
        <v>user@domain.com</v>
      </c>
      <c r="Q45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450" t="str" cm="1">
        <f t="array" ref="R450">_xlfn.REDUCE(Q450, {"-","/","_","\","(",")"}, _xlfn.LAMBDA(_xlpm.txt,_xlpm.itm, SUBSTITUTE(_xlpm.txt, _xlpm.itm, "")))</f>
        <v>5555555555</v>
      </c>
      <c r="S450" s="3">
        <f>IFERROR(_xlfn.XLOOKUP(tbl_HR_Data[[#This Row],[Joining Date]], Mapping[Joining_Discarded], Mapping[Joining_Correction]), VALUE(tbl_HR_Data[[#This Row],[Joining Date]]))</f>
        <v>43549</v>
      </c>
      <c r="T450" t="str">
        <f>TEXT(tbl_HR_Data[[#This Row],[Joining Date]], "mmm")</f>
        <v>Mar</v>
      </c>
      <c r="U450" t="str">
        <f>TEXT(tbl_HR_Data[[#This Row],[Joining Date]], "ddd")</f>
        <v>Mon</v>
      </c>
    </row>
    <row r="451" spans="1:21" x14ac:dyDescent="0.35">
      <c r="A451" t="s">
        <v>108</v>
      </c>
      <c r="B451">
        <v>30</v>
      </c>
      <c r="C451">
        <v>50000</v>
      </c>
      <c r="D451" t="s">
        <v>11</v>
      </c>
      <c r="E451" t="s">
        <v>12</v>
      </c>
      <c r="F451" t="s">
        <v>13</v>
      </c>
      <c r="G451" s="3">
        <v>43549</v>
      </c>
      <c r="H451" t="str">
        <f>TEXT(tbl_HR_Data[[#This Row],[Joining Date]], "mmm")</f>
        <v>Mar</v>
      </c>
      <c r="I451" t="s">
        <v>94</v>
      </c>
      <c r="J451" t="s">
        <v>27</v>
      </c>
      <c r="K451" t="s">
        <v>77</v>
      </c>
      <c r="L451" t="s">
        <v>87</v>
      </c>
      <c r="M451">
        <f>IFERROR( _xlfn.XLOOKUP(TRIM(tbl_HR_Data[[#This Row],[Age]]),#REF!,#REF!), VALUE(TRIM(tbl_HR_Data[[#This Row],[Age]])))</f>
        <v>30</v>
      </c>
      <c r="N451" t="str">
        <f>IFERROR(_xlfn.XLOOKUP(tbl_HR_Data[[#This Row],[Gender]], Mapping[Gender _Discarded], Mapping[Gender_Correction]), PROPER(TRIM(tbl_HR_Data[[#This Row],[Gender]])))</f>
        <v>Male</v>
      </c>
      <c r="O451" t="str">
        <f>TRIM(tbl_HR_Data[[#This Row],[Position]])</f>
        <v>Manager</v>
      </c>
      <c r="P451" t="str">
        <f>IFERROR(_xlfn.XLOOKUP(tbl_HR_Data[[#This Row],[Email]], Mapping[Email_Discarded], Mapping[Email_Correction]), LOWER(TRIM(tbl_HR_Data[[#This Row],[Email]])))</f>
        <v>not provided</v>
      </c>
      <c r="Q45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451" t="str" cm="1">
        <f t="array" ref="R451">_xlfn.REDUCE(Q451, {"-","/","_","\","(",")"}, _xlfn.LAMBDA(_xlpm.txt,_xlpm.itm, SUBSTITUTE(_xlpm.txt, _xlpm.itm, "")))</f>
        <v>1234567890</v>
      </c>
      <c r="S451" s="3">
        <f>IFERROR(_xlfn.XLOOKUP(tbl_HR_Data[[#This Row],[Joining Date]], Mapping[Joining_Discarded], Mapping[Joining_Correction]), VALUE(tbl_HR_Data[[#This Row],[Joining Date]]))</f>
        <v>43549</v>
      </c>
      <c r="T451" t="str">
        <f>TEXT(tbl_HR_Data[[#This Row],[Joining Date]], "mmm")</f>
        <v>Mar</v>
      </c>
      <c r="U451" t="str">
        <f>TEXT(tbl_HR_Data[[#This Row],[Joining Date]], "ddd")</f>
        <v>Mon</v>
      </c>
    </row>
    <row r="452" spans="1:21" x14ac:dyDescent="0.35">
      <c r="A452" t="s">
        <v>102</v>
      </c>
      <c r="B452">
        <v>25</v>
      </c>
      <c r="C452">
        <v>70000</v>
      </c>
      <c r="D452" t="s">
        <v>36</v>
      </c>
      <c r="E452" t="s">
        <v>30</v>
      </c>
      <c r="F452" t="s">
        <v>39</v>
      </c>
      <c r="G452" s="3">
        <v>43549</v>
      </c>
      <c r="H452" t="str">
        <f>TEXT(tbl_HR_Data[[#This Row],[Joining Date]], "mmm")</f>
        <v>Mar</v>
      </c>
      <c r="I452" t="s">
        <v>94</v>
      </c>
      <c r="J452" t="s">
        <v>21</v>
      </c>
      <c r="K452" t="s">
        <v>77</v>
      </c>
      <c r="L452" t="s">
        <v>89</v>
      </c>
      <c r="M452">
        <f>IFERROR( _xlfn.XLOOKUP(TRIM(tbl_HR_Data[[#This Row],[Age]]),#REF!,#REF!), VALUE(TRIM(tbl_HR_Data[[#This Row],[Age]])))</f>
        <v>25</v>
      </c>
      <c r="N452" t="str">
        <f>IFERROR(_xlfn.XLOOKUP(tbl_HR_Data[[#This Row],[Gender]], Mapping[Gender _Discarded], Mapping[Gender_Correction]), PROPER(TRIM(tbl_HR_Data[[#This Row],[Gender]])))</f>
        <v>Other</v>
      </c>
      <c r="O452" t="str">
        <f>TRIM(tbl_HR_Data[[#This Row],[Position]])</f>
        <v>Clerk</v>
      </c>
      <c r="P452" t="str">
        <f>IFERROR(_xlfn.XLOOKUP(tbl_HR_Data[[#This Row],[Email]], Mapping[Email_Discarded], Mapping[Email_Correction]), LOWER(TRIM(tbl_HR_Data[[#This Row],[Email]])))</f>
        <v>not provided</v>
      </c>
      <c r="Q45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452" t="str" cm="1">
        <f t="array" ref="R452">_xlfn.REDUCE(Q452, {"-","/","_","\","(",")"}, _xlfn.LAMBDA(_xlpm.txt,_xlpm.itm, SUBSTITUTE(_xlpm.txt, _xlpm.itm, "")))</f>
        <v>5555555555</v>
      </c>
      <c r="S452" s="3">
        <f>IFERROR(_xlfn.XLOOKUP(tbl_HR_Data[[#This Row],[Joining Date]], Mapping[Joining_Discarded], Mapping[Joining_Correction]), VALUE(tbl_HR_Data[[#This Row],[Joining Date]]))</f>
        <v>43549</v>
      </c>
      <c r="T452" t="str">
        <f>TEXT(tbl_HR_Data[[#This Row],[Joining Date]], "mmm")</f>
        <v>Mar</v>
      </c>
      <c r="U452" t="str">
        <f>TEXT(tbl_HR_Data[[#This Row],[Joining Date]], "ddd")</f>
        <v>Mon</v>
      </c>
    </row>
    <row r="453" spans="1:21" x14ac:dyDescent="0.35">
      <c r="A453" t="s">
        <v>100</v>
      </c>
      <c r="B453">
        <v>25</v>
      </c>
      <c r="C453">
        <v>65000</v>
      </c>
      <c r="D453" t="s">
        <v>36</v>
      </c>
      <c r="E453" t="s">
        <v>19</v>
      </c>
      <c r="F453" t="s">
        <v>20</v>
      </c>
      <c r="G453" s="3">
        <v>43549</v>
      </c>
      <c r="H453" t="str">
        <f>TEXT(tbl_HR_Data[[#This Row],[Joining Date]], "mmm")</f>
        <v>Mar</v>
      </c>
      <c r="I453" t="s">
        <v>94</v>
      </c>
      <c r="J453" t="s">
        <v>41</v>
      </c>
      <c r="K453" t="s">
        <v>77</v>
      </c>
      <c r="L453" t="s">
        <v>89</v>
      </c>
      <c r="M453">
        <f>IFERROR( _xlfn.XLOOKUP(TRIM(tbl_HR_Data[[#This Row],[Age]]),#REF!,#REF!), VALUE(TRIM(tbl_HR_Data[[#This Row],[Age]])))</f>
        <v>25</v>
      </c>
      <c r="N453" t="str">
        <f>IFERROR(_xlfn.XLOOKUP(tbl_HR_Data[[#This Row],[Gender]], Mapping[Gender _Discarded], Mapping[Gender_Correction]), PROPER(TRIM(tbl_HR_Data[[#This Row],[Gender]])))</f>
        <v>Other</v>
      </c>
      <c r="O453" t="str">
        <f>TRIM(tbl_HR_Data[[#This Row],[Position]])</f>
        <v>Director</v>
      </c>
      <c r="P453" t="str">
        <f>IFERROR(_xlfn.XLOOKUP(tbl_HR_Data[[#This Row],[Email]], Mapping[Email_Discarded], Mapping[Email_Correction]), LOWER(TRIM(tbl_HR_Data[[#This Row],[Email]])))</f>
        <v>not provided</v>
      </c>
      <c r="Q45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453" t="str" cm="1">
        <f t="array" ref="R453">_xlfn.REDUCE(Q453, {"-","/","_","\","(",")"}, _xlfn.LAMBDA(_xlpm.txt,_xlpm.itm, SUBSTITUTE(_xlpm.txt, _xlpm.itm, "")))</f>
        <v>5555555555</v>
      </c>
      <c r="S453" s="3">
        <f>IFERROR(_xlfn.XLOOKUP(tbl_HR_Data[[#This Row],[Joining Date]], Mapping[Joining_Discarded], Mapping[Joining_Correction]), VALUE(tbl_HR_Data[[#This Row],[Joining Date]]))</f>
        <v>43549</v>
      </c>
      <c r="T453" t="str">
        <f>TEXT(tbl_HR_Data[[#This Row],[Joining Date]], "mmm")</f>
        <v>Mar</v>
      </c>
      <c r="U453" t="str">
        <f>TEXT(tbl_HR_Data[[#This Row],[Joining Date]], "ddd")</f>
        <v>Mon</v>
      </c>
    </row>
    <row r="454" spans="1:21" x14ac:dyDescent="0.35">
      <c r="A454" t="s">
        <v>107</v>
      </c>
      <c r="B454">
        <v>25</v>
      </c>
      <c r="C454">
        <v>0</v>
      </c>
      <c r="D454" t="s">
        <v>36</v>
      </c>
      <c r="E454" t="s">
        <v>30</v>
      </c>
      <c r="F454" t="s">
        <v>39</v>
      </c>
      <c r="G454" s="3">
        <v>43549</v>
      </c>
      <c r="H454" t="str">
        <f>TEXT(tbl_HR_Data[[#This Row],[Joining Date]], "mmm")</f>
        <v>Mar</v>
      </c>
      <c r="I454" t="s">
        <v>94</v>
      </c>
      <c r="J454" t="s">
        <v>41</v>
      </c>
      <c r="K454" t="s">
        <v>15</v>
      </c>
      <c r="L454" t="s">
        <v>87</v>
      </c>
      <c r="M454">
        <f>IFERROR( _xlfn.XLOOKUP(TRIM(tbl_HR_Data[[#This Row],[Age]]),#REF!,#REF!), VALUE(TRIM(tbl_HR_Data[[#This Row],[Age]])))</f>
        <v>25</v>
      </c>
      <c r="N454" t="str">
        <f>IFERROR(_xlfn.XLOOKUP(tbl_HR_Data[[#This Row],[Gender]], Mapping[Gender _Discarded], Mapping[Gender_Correction]), PROPER(TRIM(tbl_HR_Data[[#This Row],[Gender]])))</f>
        <v>Other</v>
      </c>
      <c r="O454" t="str">
        <f>TRIM(tbl_HR_Data[[#This Row],[Position]])</f>
        <v>Clerk</v>
      </c>
      <c r="P454" t="str">
        <f>IFERROR(_xlfn.XLOOKUP(tbl_HR_Data[[#This Row],[Email]], Mapping[Email_Discarded], Mapping[Email_Correction]), LOWER(TRIM(tbl_HR_Data[[#This Row],[Email]])))</f>
        <v>email@example.com</v>
      </c>
      <c r="Q45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454" t="str" cm="1">
        <f t="array" ref="R454">_xlfn.REDUCE(Q454, {"-","/","_","\","(",")"}, _xlfn.LAMBDA(_xlpm.txt,_xlpm.itm, SUBSTITUTE(_xlpm.txt, _xlpm.itm, "")))</f>
        <v>1234567890</v>
      </c>
      <c r="S454" s="3">
        <f>IFERROR(_xlfn.XLOOKUP(tbl_HR_Data[[#This Row],[Joining Date]], Mapping[Joining_Discarded], Mapping[Joining_Correction]), VALUE(tbl_HR_Data[[#This Row],[Joining Date]]))</f>
        <v>43549</v>
      </c>
      <c r="T454" t="str">
        <f>TEXT(tbl_HR_Data[[#This Row],[Joining Date]], "mmm")</f>
        <v>Mar</v>
      </c>
      <c r="U454" t="str">
        <f>TEXT(tbl_HR_Data[[#This Row],[Joining Date]], "ddd")</f>
        <v>Mon</v>
      </c>
    </row>
    <row r="455" spans="1:21" x14ac:dyDescent="0.35">
      <c r="A455" t="s">
        <v>102</v>
      </c>
      <c r="B455">
        <v>30</v>
      </c>
      <c r="C455">
        <v>70000</v>
      </c>
      <c r="D455" t="s">
        <v>18</v>
      </c>
      <c r="E455" t="s">
        <v>12</v>
      </c>
      <c r="F455" t="s">
        <v>20</v>
      </c>
      <c r="G455" s="3">
        <v>43549</v>
      </c>
      <c r="H455" t="str">
        <f>TEXT(tbl_HR_Data[[#This Row],[Joining Date]], "mmm")</f>
        <v>Mar</v>
      </c>
      <c r="I455" t="s">
        <v>94</v>
      </c>
      <c r="J455" t="s">
        <v>21</v>
      </c>
      <c r="K455" t="s">
        <v>15</v>
      </c>
      <c r="L455" t="s">
        <v>88</v>
      </c>
      <c r="M455">
        <f>IFERROR( _xlfn.XLOOKUP(TRIM(tbl_HR_Data[[#This Row],[Age]]),#REF!,#REF!), VALUE(TRIM(tbl_HR_Data[[#This Row],[Age]])))</f>
        <v>30</v>
      </c>
      <c r="N455" t="str">
        <f>IFERROR(_xlfn.XLOOKUP(tbl_HR_Data[[#This Row],[Gender]], Mapping[Gender _Discarded], Mapping[Gender_Correction]), PROPER(TRIM(tbl_HR_Data[[#This Row],[Gender]])))</f>
        <v>Female</v>
      </c>
      <c r="O455" t="str">
        <f>TRIM(tbl_HR_Data[[#This Row],[Position]])</f>
        <v>Director</v>
      </c>
      <c r="P455" t="str">
        <f>IFERROR(_xlfn.XLOOKUP(tbl_HR_Data[[#This Row],[Email]], Mapping[Email_Discarded], Mapping[Email_Correction]), LOWER(TRIM(tbl_HR_Data[[#This Row],[Email]])))</f>
        <v>email@example.com</v>
      </c>
      <c r="Q45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455" t="str" cm="1">
        <f t="array" ref="R455">_xlfn.REDUCE(Q455, {"-","/","_","\","(",")"}, _xlfn.LAMBDA(_xlpm.txt,_xlpm.itm, SUBSTITUTE(_xlpm.txt, _xlpm.itm, "")))</f>
        <v>0987654321</v>
      </c>
      <c r="S455" s="3">
        <f>IFERROR(_xlfn.XLOOKUP(tbl_HR_Data[[#This Row],[Joining Date]], Mapping[Joining_Discarded], Mapping[Joining_Correction]), VALUE(tbl_HR_Data[[#This Row],[Joining Date]]))</f>
        <v>43549</v>
      </c>
      <c r="T455" t="str">
        <f>TEXT(tbl_HR_Data[[#This Row],[Joining Date]], "mmm")</f>
        <v>Mar</v>
      </c>
      <c r="U455" t="str">
        <f>TEXT(tbl_HR_Data[[#This Row],[Joining Date]], "ddd")</f>
        <v>Mon</v>
      </c>
    </row>
    <row r="456" spans="1:21" x14ac:dyDescent="0.35">
      <c r="A456" t="s">
        <v>100</v>
      </c>
      <c r="B456">
        <v>25</v>
      </c>
      <c r="C456">
        <v>65000</v>
      </c>
      <c r="D456" t="s">
        <v>36</v>
      </c>
      <c r="E456" t="s">
        <v>12</v>
      </c>
      <c r="F456" t="s">
        <v>39</v>
      </c>
      <c r="G456" s="3">
        <v>43549</v>
      </c>
      <c r="H456" t="str">
        <f>TEXT(tbl_HR_Data[[#This Row],[Joining Date]], "mmm")</f>
        <v>Mar</v>
      </c>
      <c r="I456" t="s">
        <v>94</v>
      </c>
      <c r="J456" t="s">
        <v>41</v>
      </c>
      <c r="K456" t="s">
        <v>77</v>
      </c>
      <c r="L456" t="s">
        <v>89</v>
      </c>
      <c r="M456">
        <f>IFERROR( _xlfn.XLOOKUP(TRIM(tbl_HR_Data[[#This Row],[Age]]),#REF!,#REF!), VALUE(TRIM(tbl_HR_Data[[#This Row],[Age]])))</f>
        <v>25</v>
      </c>
      <c r="N456" t="str">
        <f>IFERROR(_xlfn.XLOOKUP(tbl_HR_Data[[#This Row],[Gender]], Mapping[Gender _Discarded], Mapping[Gender_Correction]), PROPER(TRIM(tbl_HR_Data[[#This Row],[Gender]])))</f>
        <v>Other</v>
      </c>
      <c r="O456" t="str">
        <f>TRIM(tbl_HR_Data[[#This Row],[Position]])</f>
        <v>Clerk</v>
      </c>
      <c r="P456" t="str">
        <f>IFERROR(_xlfn.XLOOKUP(tbl_HR_Data[[#This Row],[Email]], Mapping[Email_Discarded], Mapping[Email_Correction]), LOWER(TRIM(tbl_HR_Data[[#This Row],[Email]])))</f>
        <v>not provided</v>
      </c>
      <c r="Q45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456" t="str" cm="1">
        <f t="array" ref="R456">_xlfn.REDUCE(Q456, {"-","/","_","\","(",")"}, _xlfn.LAMBDA(_xlpm.txt,_xlpm.itm, SUBSTITUTE(_xlpm.txt, _xlpm.itm, "")))</f>
        <v>5555555555</v>
      </c>
      <c r="S456" s="3">
        <f>IFERROR(_xlfn.XLOOKUP(tbl_HR_Data[[#This Row],[Joining Date]], Mapping[Joining_Discarded], Mapping[Joining_Correction]), VALUE(tbl_HR_Data[[#This Row],[Joining Date]]))</f>
        <v>43549</v>
      </c>
      <c r="T456" t="str">
        <f>TEXT(tbl_HR_Data[[#This Row],[Joining Date]], "mmm")</f>
        <v>Mar</v>
      </c>
      <c r="U456" t="str">
        <f>TEXT(tbl_HR_Data[[#This Row],[Joining Date]], "ddd")</f>
        <v>Mon</v>
      </c>
    </row>
    <row r="457" spans="1:21" x14ac:dyDescent="0.35">
      <c r="A457" t="s">
        <v>105</v>
      </c>
      <c r="B457">
        <v>35</v>
      </c>
      <c r="C457">
        <v>65000</v>
      </c>
      <c r="D457" t="s">
        <v>11</v>
      </c>
      <c r="E457" t="s">
        <v>26</v>
      </c>
      <c r="F457" t="s">
        <v>20</v>
      </c>
      <c r="G457" s="3">
        <v>43549</v>
      </c>
      <c r="H457" t="str">
        <f>TEXT(tbl_HR_Data[[#This Row],[Joining Date]], "mmm")</f>
        <v>Mar</v>
      </c>
      <c r="I457" t="s">
        <v>94</v>
      </c>
      <c r="J457" t="s">
        <v>27</v>
      </c>
      <c r="K457" t="s">
        <v>77</v>
      </c>
      <c r="L457" t="s">
        <v>77</v>
      </c>
      <c r="M457">
        <f>IFERROR( _xlfn.XLOOKUP(TRIM(tbl_HR_Data[[#This Row],[Age]]),#REF!,#REF!), VALUE(TRIM(tbl_HR_Data[[#This Row],[Age]])))</f>
        <v>35</v>
      </c>
      <c r="N457" t="str">
        <f>IFERROR(_xlfn.XLOOKUP(tbl_HR_Data[[#This Row],[Gender]], Mapping[Gender _Discarded], Mapping[Gender_Correction]), PROPER(TRIM(tbl_HR_Data[[#This Row],[Gender]])))</f>
        <v>Male</v>
      </c>
      <c r="O457" t="str">
        <f>TRIM(tbl_HR_Data[[#This Row],[Position]])</f>
        <v>Director</v>
      </c>
      <c r="P457" t="str">
        <f>IFERROR(_xlfn.XLOOKUP(tbl_HR_Data[[#This Row],[Email]], Mapping[Email_Discarded], Mapping[Email_Correction]), LOWER(TRIM(tbl_HR_Data[[#This Row],[Email]])))</f>
        <v>not provided</v>
      </c>
      <c r="Q45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57" t="str" cm="1">
        <f t="array" ref="R457">_xlfn.REDUCE(Q457, {"-","/","_","\","(",")"}, _xlfn.LAMBDA(_xlpm.txt,_xlpm.itm, SUBSTITUTE(_xlpm.txt, _xlpm.itm, "")))</f>
        <v>Not Provided</v>
      </c>
      <c r="S457" s="3">
        <f>IFERROR(_xlfn.XLOOKUP(tbl_HR_Data[[#This Row],[Joining Date]], Mapping[Joining_Discarded], Mapping[Joining_Correction]), VALUE(tbl_HR_Data[[#This Row],[Joining Date]]))</f>
        <v>43549</v>
      </c>
      <c r="T457" t="str">
        <f>TEXT(tbl_HR_Data[[#This Row],[Joining Date]], "mmm")</f>
        <v>Mar</v>
      </c>
      <c r="U457" t="str">
        <f>TEXT(tbl_HR_Data[[#This Row],[Joining Date]], "ddd")</f>
        <v>Mon</v>
      </c>
    </row>
    <row r="458" spans="1:21" x14ac:dyDescent="0.35">
      <c r="A458" t="s">
        <v>105</v>
      </c>
      <c r="B458">
        <v>50</v>
      </c>
      <c r="C458">
        <v>55000</v>
      </c>
      <c r="D458" t="s">
        <v>11</v>
      </c>
      <c r="E458" t="s">
        <v>12</v>
      </c>
      <c r="F458" t="s">
        <v>20</v>
      </c>
      <c r="G458" s="3">
        <v>43549</v>
      </c>
      <c r="H458" t="str">
        <f>TEXT(tbl_HR_Data[[#This Row],[Joining Date]], "mmm")</f>
        <v>Mar</v>
      </c>
      <c r="I458" t="s">
        <v>94</v>
      </c>
      <c r="J458" t="s">
        <v>21</v>
      </c>
      <c r="K458" t="s">
        <v>22</v>
      </c>
      <c r="L458" t="s">
        <v>77</v>
      </c>
      <c r="M458">
        <f>IFERROR( _xlfn.XLOOKUP(TRIM(tbl_HR_Data[[#This Row],[Age]]),#REF!,#REF!), VALUE(TRIM(tbl_HR_Data[[#This Row],[Age]])))</f>
        <v>50</v>
      </c>
      <c r="N458" t="str">
        <f>IFERROR(_xlfn.XLOOKUP(tbl_HR_Data[[#This Row],[Gender]], Mapping[Gender _Discarded], Mapping[Gender_Correction]), PROPER(TRIM(tbl_HR_Data[[#This Row],[Gender]])))</f>
        <v>Male</v>
      </c>
      <c r="O458" t="str">
        <f>TRIM(tbl_HR_Data[[#This Row],[Position]])</f>
        <v>Director</v>
      </c>
      <c r="P458" t="str">
        <f>IFERROR(_xlfn.XLOOKUP(tbl_HR_Data[[#This Row],[Email]], Mapping[Email_Discarded], Mapping[Email_Correction]), LOWER(TRIM(tbl_HR_Data[[#This Row],[Email]])))</f>
        <v>user@domain.com</v>
      </c>
      <c r="Q45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58" t="str" cm="1">
        <f t="array" ref="R458">_xlfn.REDUCE(Q458, {"-","/","_","\","(",")"}, _xlfn.LAMBDA(_xlpm.txt,_xlpm.itm, SUBSTITUTE(_xlpm.txt, _xlpm.itm, "")))</f>
        <v>Not Provided</v>
      </c>
      <c r="S458" s="3">
        <f>IFERROR(_xlfn.XLOOKUP(tbl_HR_Data[[#This Row],[Joining Date]], Mapping[Joining_Discarded], Mapping[Joining_Correction]), VALUE(tbl_HR_Data[[#This Row],[Joining Date]]))</f>
        <v>43549</v>
      </c>
      <c r="T458" t="str">
        <f>TEXT(tbl_HR_Data[[#This Row],[Joining Date]], "mmm")</f>
        <v>Mar</v>
      </c>
      <c r="U458" t="str">
        <f>TEXT(tbl_HR_Data[[#This Row],[Joining Date]], "ddd")</f>
        <v>Mon</v>
      </c>
    </row>
    <row r="459" spans="1:21" x14ac:dyDescent="0.35">
      <c r="A459" t="s">
        <v>102</v>
      </c>
      <c r="B459">
        <v>50</v>
      </c>
      <c r="C459">
        <v>70000</v>
      </c>
      <c r="D459" t="s">
        <v>11</v>
      </c>
      <c r="E459" t="s">
        <v>26</v>
      </c>
      <c r="F459" t="s">
        <v>44</v>
      </c>
      <c r="G459" s="3">
        <v>43549</v>
      </c>
      <c r="H459" t="str">
        <f>TEXT(tbl_HR_Data[[#This Row],[Joining Date]], "mmm")</f>
        <v>Mar</v>
      </c>
      <c r="I459" t="s">
        <v>94</v>
      </c>
      <c r="J459" t="s">
        <v>31</v>
      </c>
      <c r="K459" t="s">
        <v>77</v>
      </c>
      <c r="L459" t="s">
        <v>89</v>
      </c>
      <c r="M459">
        <f>IFERROR( _xlfn.XLOOKUP(TRIM(tbl_HR_Data[[#This Row],[Age]]),#REF!,#REF!), VALUE(TRIM(tbl_HR_Data[[#This Row],[Age]])))</f>
        <v>50</v>
      </c>
      <c r="N459" t="str">
        <f>IFERROR(_xlfn.XLOOKUP(tbl_HR_Data[[#This Row],[Gender]], Mapping[Gender _Discarded], Mapping[Gender_Correction]), PROPER(TRIM(tbl_HR_Data[[#This Row],[Gender]])))</f>
        <v>Male</v>
      </c>
      <c r="O459" t="str">
        <f>TRIM(tbl_HR_Data[[#This Row],[Position]])</f>
        <v>Analyst</v>
      </c>
      <c r="P459" t="str">
        <f>IFERROR(_xlfn.XLOOKUP(tbl_HR_Data[[#This Row],[Email]], Mapping[Email_Discarded], Mapping[Email_Correction]), LOWER(TRIM(tbl_HR_Data[[#This Row],[Email]])))</f>
        <v>not provided</v>
      </c>
      <c r="Q45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459" t="str" cm="1">
        <f t="array" ref="R459">_xlfn.REDUCE(Q459, {"-","/","_","\","(",")"}, _xlfn.LAMBDA(_xlpm.txt,_xlpm.itm, SUBSTITUTE(_xlpm.txt, _xlpm.itm, "")))</f>
        <v>5555555555</v>
      </c>
      <c r="S459" s="3">
        <f>IFERROR(_xlfn.XLOOKUP(tbl_HR_Data[[#This Row],[Joining Date]], Mapping[Joining_Discarded], Mapping[Joining_Correction]), VALUE(tbl_HR_Data[[#This Row],[Joining Date]]))</f>
        <v>43549</v>
      </c>
      <c r="T459" t="str">
        <f>TEXT(tbl_HR_Data[[#This Row],[Joining Date]], "mmm")</f>
        <v>Mar</v>
      </c>
      <c r="U459" t="str">
        <f>TEXT(tbl_HR_Data[[#This Row],[Joining Date]], "ddd")</f>
        <v>Mon</v>
      </c>
    </row>
    <row r="460" spans="1:21" x14ac:dyDescent="0.35">
      <c r="A460" t="s">
        <v>107</v>
      </c>
      <c r="B460">
        <v>30</v>
      </c>
      <c r="C460">
        <v>55000</v>
      </c>
      <c r="D460" t="s">
        <v>11</v>
      </c>
      <c r="E460" t="s">
        <v>12</v>
      </c>
      <c r="F460" t="s">
        <v>43</v>
      </c>
      <c r="G460" s="3">
        <v>43549</v>
      </c>
      <c r="H460" t="str">
        <f>TEXT(tbl_HR_Data[[#This Row],[Joining Date]], "mmm")</f>
        <v>Mar</v>
      </c>
      <c r="I460" t="s">
        <v>94</v>
      </c>
      <c r="J460" t="s">
        <v>21</v>
      </c>
      <c r="K460" t="s">
        <v>15</v>
      </c>
      <c r="L460" t="s">
        <v>87</v>
      </c>
      <c r="M460">
        <f>IFERROR( _xlfn.XLOOKUP(TRIM(tbl_HR_Data[[#This Row],[Age]]),#REF!,#REF!), VALUE(TRIM(tbl_HR_Data[[#This Row],[Age]])))</f>
        <v>30</v>
      </c>
      <c r="N460" t="str">
        <f>IFERROR(_xlfn.XLOOKUP(tbl_HR_Data[[#This Row],[Gender]], Mapping[Gender _Discarded], Mapping[Gender_Correction]), PROPER(TRIM(tbl_HR_Data[[#This Row],[Gender]])))</f>
        <v>Male</v>
      </c>
      <c r="O460" t="str">
        <f>TRIM(tbl_HR_Data[[#This Row],[Position]])</f>
        <v>Assistant</v>
      </c>
      <c r="P460" t="str">
        <f>IFERROR(_xlfn.XLOOKUP(tbl_HR_Data[[#This Row],[Email]], Mapping[Email_Discarded], Mapping[Email_Correction]), LOWER(TRIM(tbl_HR_Data[[#This Row],[Email]])))</f>
        <v>email@example.com</v>
      </c>
      <c r="Q46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460" t="str" cm="1">
        <f t="array" ref="R460">_xlfn.REDUCE(Q460, {"-","/","_","\","(",")"}, _xlfn.LAMBDA(_xlpm.txt,_xlpm.itm, SUBSTITUTE(_xlpm.txt, _xlpm.itm, "")))</f>
        <v>1234567890</v>
      </c>
      <c r="S460" s="3">
        <f>IFERROR(_xlfn.XLOOKUP(tbl_HR_Data[[#This Row],[Joining Date]], Mapping[Joining_Discarded], Mapping[Joining_Correction]), VALUE(tbl_HR_Data[[#This Row],[Joining Date]]))</f>
        <v>43549</v>
      </c>
      <c r="T460" t="str">
        <f>TEXT(tbl_HR_Data[[#This Row],[Joining Date]], "mmm")</f>
        <v>Mar</v>
      </c>
      <c r="U460" t="str">
        <f>TEXT(tbl_HR_Data[[#This Row],[Joining Date]], "ddd")</f>
        <v>Mon</v>
      </c>
    </row>
    <row r="461" spans="1:21" x14ac:dyDescent="0.35">
      <c r="A461" t="s">
        <v>99</v>
      </c>
      <c r="B461">
        <v>35</v>
      </c>
      <c r="C461">
        <v>70000</v>
      </c>
      <c r="D461" t="s">
        <v>11</v>
      </c>
      <c r="E461" t="s">
        <v>26</v>
      </c>
      <c r="F461" t="s">
        <v>44</v>
      </c>
      <c r="G461" s="3">
        <v>43549</v>
      </c>
      <c r="H461" t="str">
        <f>TEXT(tbl_HR_Data[[#This Row],[Joining Date]], "mmm")</f>
        <v>Mar</v>
      </c>
      <c r="I461" t="s">
        <v>94</v>
      </c>
      <c r="J461" t="s">
        <v>14</v>
      </c>
      <c r="K461" t="s">
        <v>77</v>
      </c>
      <c r="L461" t="s">
        <v>77</v>
      </c>
      <c r="M461">
        <f>IFERROR( _xlfn.XLOOKUP(TRIM(tbl_HR_Data[[#This Row],[Age]]),#REF!,#REF!), VALUE(TRIM(tbl_HR_Data[[#This Row],[Age]])))</f>
        <v>35</v>
      </c>
      <c r="N461" t="str">
        <f>IFERROR(_xlfn.XLOOKUP(tbl_HR_Data[[#This Row],[Gender]], Mapping[Gender _Discarded], Mapping[Gender_Correction]), PROPER(TRIM(tbl_HR_Data[[#This Row],[Gender]])))</f>
        <v>Male</v>
      </c>
      <c r="O461" t="str">
        <f>TRIM(tbl_HR_Data[[#This Row],[Position]])</f>
        <v>Analyst</v>
      </c>
      <c r="P461" t="str">
        <f>IFERROR(_xlfn.XLOOKUP(tbl_HR_Data[[#This Row],[Email]], Mapping[Email_Discarded], Mapping[Email_Correction]), LOWER(TRIM(tbl_HR_Data[[#This Row],[Email]])))</f>
        <v>not provided</v>
      </c>
      <c r="Q46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61" t="str" cm="1">
        <f t="array" ref="R461">_xlfn.REDUCE(Q461, {"-","/","_","\","(",")"}, _xlfn.LAMBDA(_xlpm.txt,_xlpm.itm, SUBSTITUTE(_xlpm.txt, _xlpm.itm, "")))</f>
        <v>Not Provided</v>
      </c>
      <c r="S461" s="3">
        <f>IFERROR(_xlfn.XLOOKUP(tbl_HR_Data[[#This Row],[Joining Date]], Mapping[Joining_Discarded], Mapping[Joining_Correction]), VALUE(tbl_HR_Data[[#This Row],[Joining Date]]))</f>
        <v>43549</v>
      </c>
      <c r="T461" t="str">
        <f>TEXT(tbl_HR_Data[[#This Row],[Joining Date]], "mmm")</f>
        <v>Mar</v>
      </c>
      <c r="U461" t="str">
        <f>TEXT(tbl_HR_Data[[#This Row],[Joining Date]], "ddd")</f>
        <v>Mon</v>
      </c>
    </row>
    <row r="462" spans="1:21" x14ac:dyDescent="0.35">
      <c r="A462" t="s">
        <v>105</v>
      </c>
      <c r="B462">
        <v>0</v>
      </c>
      <c r="C462">
        <v>60000</v>
      </c>
      <c r="D462" t="s">
        <v>18</v>
      </c>
      <c r="E462" t="s">
        <v>12</v>
      </c>
      <c r="F462" t="s">
        <v>43</v>
      </c>
      <c r="G462" s="3">
        <v>43549</v>
      </c>
      <c r="H462" t="str">
        <f>TEXT(tbl_HR_Data[[#This Row],[Joining Date]], "mmm")</f>
        <v>Mar</v>
      </c>
      <c r="I462" t="s">
        <v>94</v>
      </c>
      <c r="J462" t="s">
        <v>31</v>
      </c>
      <c r="K462" t="s">
        <v>77</v>
      </c>
      <c r="L462" t="s">
        <v>87</v>
      </c>
      <c r="M462">
        <f>IFERROR( _xlfn.XLOOKUP(TRIM(tbl_HR_Data[[#This Row],[Age]]),#REF!,#REF!), VALUE(TRIM(tbl_HR_Data[[#This Row],[Age]])))</f>
        <v>0</v>
      </c>
      <c r="N462" t="str">
        <f>IFERROR(_xlfn.XLOOKUP(tbl_HR_Data[[#This Row],[Gender]], Mapping[Gender _Discarded], Mapping[Gender_Correction]), PROPER(TRIM(tbl_HR_Data[[#This Row],[Gender]])))</f>
        <v>Female</v>
      </c>
      <c r="O462" t="str">
        <f>TRIM(tbl_HR_Data[[#This Row],[Position]])</f>
        <v>Assistant</v>
      </c>
      <c r="P462" t="str">
        <f>IFERROR(_xlfn.XLOOKUP(tbl_HR_Data[[#This Row],[Email]], Mapping[Email_Discarded], Mapping[Email_Correction]), LOWER(TRIM(tbl_HR_Data[[#This Row],[Email]])))</f>
        <v>not provided</v>
      </c>
      <c r="Q46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462" t="str" cm="1">
        <f t="array" ref="R462">_xlfn.REDUCE(Q462, {"-","/","_","\","(",")"}, _xlfn.LAMBDA(_xlpm.txt,_xlpm.itm, SUBSTITUTE(_xlpm.txt, _xlpm.itm, "")))</f>
        <v>1234567890</v>
      </c>
      <c r="S462" s="3">
        <f>IFERROR(_xlfn.XLOOKUP(tbl_HR_Data[[#This Row],[Joining Date]], Mapping[Joining_Discarded], Mapping[Joining_Correction]), VALUE(tbl_HR_Data[[#This Row],[Joining Date]]))</f>
        <v>43549</v>
      </c>
      <c r="T462" t="str">
        <f>TEXT(tbl_HR_Data[[#This Row],[Joining Date]], "mmm")</f>
        <v>Mar</v>
      </c>
      <c r="U462" t="str">
        <f>TEXT(tbl_HR_Data[[#This Row],[Joining Date]], "ddd")</f>
        <v>Mon</v>
      </c>
    </row>
    <row r="463" spans="1:21" x14ac:dyDescent="0.35">
      <c r="A463" t="s">
        <v>103</v>
      </c>
      <c r="B463">
        <v>25</v>
      </c>
      <c r="C463">
        <v>50000</v>
      </c>
      <c r="D463" t="s">
        <v>11</v>
      </c>
      <c r="E463" t="s">
        <v>19</v>
      </c>
      <c r="F463" t="s">
        <v>20</v>
      </c>
      <c r="G463" s="3">
        <v>43549</v>
      </c>
      <c r="H463" t="str">
        <f>TEXT(tbl_HR_Data[[#This Row],[Joining Date]], "mmm")</f>
        <v>Mar</v>
      </c>
      <c r="I463" t="s">
        <v>94</v>
      </c>
      <c r="J463" t="s">
        <v>21</v>
      </c>
      <c r="K463" t="s">
        <v>77</v>
      </c>
      <c r="L463" t="s">
        <v>89</v>
      </c>
      <c r="M463">
        <f>IFERROR( _xlfn.XLOOKUP(TRIM(tbl_HR_Data[[#This Row],[Age]]),#REF!,#REF!), VALUE(TRIM(tbl_HR_Data[[#This Row],[Age]])))</f>
        <v>25</v>
      </c>
      <c r="N463" t="str">
        <f>IFERROR(_xlfn.XLOOKUP(tbl_HR_Data[[#This Row],[Gender]], Mapping[Gender _Discarded], Mapping[Gender_Correction]), PROPER(TRIM(tbl_HR_Data[[#This Row],[Gender]])))</f>
        <v>Male</v>
      </c>
      <c r="O463" t="str">
        <f>TRIM(tbl_HR_Data[[#This Row],[Position]])</f>
        <v>Director</v>
      </c>
      <c r="P463" t="str">
        <f>IFERROR(_xlfn.XLOOKUP(tbl_HR_Data[[#This Row],[Email]], Mapping[Email_Discarded], Mapping[Email_Correction]), LOWER(TRIM(tbl_HR_Data[[#This Row],[Email]])))</f>
        <v>not provided</v>
      </c>
      <c r="Q46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463" t="str" cm="1">
        <f t="array" ref="R463">_xlfn.REDUCE(Q463, {"-","/","_","\","(",")"}, _xlfn.LAMBDA(_xlpm.txt,_xlpm.itm, SUBSTITUTE(_xlpm.txt, _xlpm.itm, "")))</f>
        <v>5555555555</v>
      </c>
      <c r="S463" s="3">
        <f>IFERROR(_xlfn.XLOOKUP(tbl_HR_Data[[#This Row],[Joining Date]], Mapping[Joining_Discarded], Mapping[Joining_Correction]), VALUE(tbl_HR_Data[[#This Row],[Joining Date]]))</f>
        <v>43549</v>
      </c>
      <c r="T463" t="str">
        <f>TEXT(tbl_HR_Data[[#This Row],[Joining Date]], "mmm")</f>
        <v>Mar</v>
      </c>
      <c r="U463" t="str">
        <f>TEXT(tbl_HR_Data[[#This Row],[Joining Date]], "ddd")</f>
        <v>Mon</v>
      </c>
    </row>
    <row r="464" spans="1:21" x14ac:dyDescent="0.35">
      <c r="A464" t="s">
        <v>106</v>
      </c>
      <c r="B464">
        <v>40</v>
      </c>
      <c r="C464">
        <v>60000</v>
      </c>
      <c r="D464" t="s">
        <v>11</v>
      </c>
      <c r="E464" t="s">
        <v>26</v>
      </c>
      <c r="F464" t="s">
        <v>43</v>
      </c>
      <c r="G464" s="3">
        <v>43549</v>
      </c>
      <c r="H464" t="str">
        <f>TEXT(tbl_HR_Data[[#This Row],[Joining Date]], "mmm")</f>
        <v>Mar</v>
      </c>
      <c r="I464" t="s">
        <v>94</v>
      </c>
      <c r="J464" t="s">
        <v>41</v>
      </c>
      <c r="K464" t="s">
        <v>32</v>
      </c>
      <c r="L464" t="s">
        <v>77</v>
      </c>
      <c r="M464">
        <f>IFERROR( _xlfn.XLOOKUP(TRIM(tbl_HR_Data[[#This Row],[Age]]),#REF!,#REF!), VALUE(TRIM(tbl_HR_Data[[#This Row],[Age]])))</f>
        <v>40</v>
      </c>
      <c r="N464" t="str">
        <f>IFERROR(_xlfn.XLOOKUP(tbl_HR_Data[[#This Row],[Gender]], Mapping[Gender _Discarded], Mapping[Gender_Correction]), PROPER(TRIM(tbl_HR_Data[[#This Row],[Gender]])))</f>
        <v>Male</v>
      </c>
      <c r="O464" t="str">
        <f>TRIM(tbl_HR_Data[[#This Row],[Position]])</f>
        <v>Assistant</v>
      </c>
      <c r="P464" t="str">
        <f>IFERROR(_xlfn.XLOOKUP(tbl_HR_Data[[#This Row],[Email]], Mapping[Email_Discarded], Mapping[Email_Correction]), LOWER(TRIM(tbl_HR_Data[[#This Row],[Email]])))</f>
        <v>name@company.org</v>
      </c>
      <c r="Q46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64" t="str" cm="1">
        <f t="array" ref="R464">_xlfn.REDUCE(Q464, {"-","/","_","\","(",")"}, _xlfn.LAMBDA(_xlpm.txt,_xlpm.itm, SUBSTITUTE(_xlpm.txt, _xlpm.itm, "")))</f>
        <v>Not Provided</v>
      </c>
      <c r="S464" s="3">
        <f>IFERROR(_xlfn.XLOOKUP(tbl_HR_Data[[#This Row],[Joining Date]], Mapping[Joining_Discarded], Mapping[Joining_Correction]), VALUE(tbl_HR_Data[[#This Row],[Joining Date]]))</f>
        <v>43549</v>
      </c>
      <c r="T464" t="str">
        <f>TEXT(tbl_HR_Data[[#This Row],[Joining Date]], "mmm")</f>
        <v>Mar</v>
      </c>
      <c r="U464" t="str">
        <f>TEXT(tbl_HR_Data[[#This Row],[Joining Date]], "ddd")</f>
        <v>Mon</v>
      </c>
    </row>
    <row r="465" spans="1:21" x14ac:dyDescent="0.35">
      <c r="A465" t="s">
        <v>108</v>
      </c>
      <c r="B465">
        <v>40</v>
      </c>
      <c r="C465">
        <v>60000</v>
      </c>
      <c r="D465" t="s">
        <v>11</v>
      </c>
      <c r="E465" t="s">
        <v>26</v>
      </c>
      <c r="F465" t="s">
        <v>43</v>
      </c>
      <c r="G465" s="3">
        <v>43549</v>
      </c>
      <c r="H465" t="str">
        <f>TEXT(tbl_HR_Data[[#This Row],[Joining Date]], "mmm")</f>
        <v>Mar</v>
      </c>
      <c r="I465" t="s">
        <v>94</v>
      </c>
      <c r="J465" t="s">
        <v>27</v>
      </c>
      <c r="K465" t="s">
        <v>22</v>
      </c>
      <c r="L465" t="s">
        <v>87</v>
      </c>
      <c r="M465">
        <f>IFERROR( _xlfn.XLOOKUP(TRIM(tbl_HR_Data[[#This Row],[Age]]),#REF!,#REF!), VALUE(TRIM(tbl_HR_Data[[#This Row],[Age]])))</f>
        <v>40</v>
      </c>
      <c r="N465" t="str">
        <f>IFERROR(_xlfn.XLOOKUP(tbl_HR_Data[[#This Row],[Gender]], Mapping[Gender _Discarded], Mapping[Gender_Correction]), PROPER(TRIM(tbl_HR_Data[[#This Row],[Gender]])))</f>
        <v>Male</v>
      </c>
      <c r="O465" t="str">
        <f>TRIM(tbl_HR_Data[[#This Row],[Position]])</f>
        <v>Assistant</v>
      </c>
      <c r="P465" t="str">
        <f>IFERROR(_xlfn.XLOOKUP(tbl_HR_Data[[#This Row],[Email]], Mapping[Email_Discarded], Mapping[Email_Correction]), LOWER(TRIM(tbl_HR_Data[[#This Row],[Email]])))</f>
        <v>user@domain.com</v>
      </c>
      <c r="Q46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465" t="str" cm="1">
        <f t="array" ref="R465">_xlfn.REDUCE(Q465, {"-","/","_","\","(",")"}, _xlfn.LAMBDA(_xlpm.txt,_xlpm.itm, SUBSTITUTE(_xlpm.txt, _xlpm.itm, "")))</f>
        <v>1234567890</v>
      </c>
      <c r="S465" s="3">
        <f>IFERROR(_xlfn.XLOOKUP(tbl_HR_Data[[#This Row],[Joining Date]], Mapping[Joining_Discarded], Mapping[Joining_Correction]), VALUE(tbl_HR_Data[[#This Row],[Joining Date]]))</f>
        <v>43549</v>
      </c>
      <c r="T465" t="str">
        <f>TEXT(tbl_HR_Data[[#This Row],[Joining Date]], "mmm")</f>
        <v>Mar</v>
      </c>
      <c r="U465" t="str">
        <f>TEXT(tbl_HR_Data[[#This Row],[Joining Date]], "ddd")</f>
        <v>Mon</v>
      </c>
    </row>
    <row r="466" spans="1:21" x14ac:dyDescent="0.35">
      <c r="A466" t="s">
        <v>108</v>
      </c>
      <c r="B466">
        <v>40</v>
      </c>
      <c r="C466">
        <v>60000</v>
      </c>
      <c r="D466" t="s">
        <v>18</v>
      </c>
      <c r="E466" t="s">
        <v>26</v>
      </c>
      <c r="F466" t="s">
        <v>39</v>
      </c>
      <c r="G466" s="3">
        <v>43549</v>
      </c>
      <c r="H466" t="str">
        <f>TEXT(tbl_HR_Data[[#This Row],[Joining Date]], "mmm")</f>
        <v>Mar</v>
      </c>
      <c r="I466" t="s">
        <v>94</v>
      </c>
      <c r="J466" t="s">
        <v>14</v>
      </c>
      <c r="K466" t="s">
        <v>32</v>
      </c>
      <c r="L466" t="s">
        <v>87</v>
      </c>
      <c r="M466">
        <f>IFERROR( _xlfn.XLOOKUP(TRIM(tbl_HR_Data[[#This Row],[Age]]),#REF!,#REF!), VALUE(TRIM(tbl_HR_Data[[#This Row],[Age]])))</f>
        <v>40</v>
      </c>
      <c r="N466" t="str">
        <f>IFERROR(_xlfn.XLOOKUP(tbl_HR_Data[[#This Row],[Gender]], Mapping[Gender _Discarded], Mapping[Gender_Correction]), PROPER(TRIM(tbl_HR_Data[[#This Row],[Gender]])))</f>
        <v>Female</v>
      </c>
      <c r="O466" t="str">
        <f>TRIM(tbl_HR_Data[[#This Row],[Position]])</f>
        <v>Clerk</v>
      </c>
      <c r="P466" t="str">
        <f>IFERROR(_xlfn.XLOOKUP(tbl_HR_Data[[#This Row],[Email]], Mapping[Email_Discarded], Mapping[Email_Correction]), LOWER(TRIM(tbl_HR_Data[[#This Row],[Email]])))</f>
        <v>name@company.org</v>
      </c>
      <c r="Q46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466" t="str" cm="1">
        <f t="array" ref="R466">_xlfn.REDUCE(Q466, {"-","/","_","\","(",")"}, _xlfn.LAMBDA(_xlpm.txt,_xlpm.itm, SUBSTITUTE(_xlpm.txt, _xlpm.itm, "")))</f>
        <v>1234567890</v>
      </c>
      <c r="S466" s="3">
        <f>IFERROR(_xlfn.XLOOKUP(tbl_HR_Data[[#This Row],[Joining Date]], Mapping[Joining_Discarded], Mapping[Joining_Correction]), VALUE(tbl_HR_Data[[#This Row],[Joining Date]]))</f>
        <v>43549</v>
      </c>
      <c r="T466" t="str">
        <f>TEXT(tbl_HR_Data[[#This Row],[Joining Date]], "mmm")</f>
        <v>Mar</v>
      </c>
      <c r="U466" t="str">
        <f>TEXT(tbl_HR_Data[[#This Row],[Joining Date]], "ddd")</f>
        <v>Mon</v>
      </c>
    </row>
    <row r="467" spans="1:21" x14ac:dyDescent="0.35">
      <c r="A467" t="s">
        <v>102</v>
      </c>
      <c r="B467">
        <v>50</v>
      </c>
      <c r="C467">
        <v>65000</v>
      </c>
      <c r="D467" t="s">
        <v>18</v>
      </c>
      <c r="E467" t="s">
        <v>30</v>
      </c>
      <c r="F467" t="s">
        <v>43</v>
      </c>
      <c r="G467" s="3">
        <v>43549</v>
      </c>
      <c r="H467" t="str">
        <f>TEXT(tbl_HR_Data[[#This Row],[Joining Date]], "mmm")</f>
        <v>Mar</v>
      </c>
      <c r="I467" t="s">
        <v>94</v>
      </c>
      <c r="J467" t="s">
        <v>21</v>
      </c>
      <c r="K467" t="s">
        <v>15</v>
      </c>
      <c r="L467" t="s">
        <v>87</v>
      </c>
      <c r="M467">
        <f>IFERROR( _xlfn.XLOOKUP(TRIM(tbl_HR_Data[[#This Row],[Age]]),#REF!,#REF!), VALUE(TRIM(tbl_HR_Data[[#This Row],[Age]])))</f>
        <v>50</v>
      </c>
      <c r="N467" t="str">
        <f>IFERROR(_xlfn.XLOOKUP(tbl_HR_Data[[#This Row],[Gender]], Mapping[Gender _Discarded], Mapping[Gender_Correction]), PROPER(TRIM(tbl_HR_Data[[#This Row],[Gender]])))</f>
        <v>Female</v>
      </c>
      <c r="O467" t="str">
        <f>TRIM(tbl_HR_Data[[#This Row],[Position]])</f>
        <v>Assistant</v>
      </c>
      <c r="P467" t="str">
        <f>IFERROR(_xlfn.XLOOKUP(tbl_HR_Data[[#This Row],[Email]], Mapping[Email_Discarded], Mapping[Email_Correction]), LOWER(TRIM(tbl_HR_Data[[#This Row],[Email]])))</f>
        <v>email@example.com</v>
      </c>
      <c r="Q46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467" t="str" cm="1">
        <f t="array" ref="R467">_xlfn.REDUCE(Q467, {"-","/","_","\","(",")"}, _xlfn.LAMBDA(_xlpm.txt,_xlpm.itm, SUBSTITUTE(_xlpm.txt, _xlpm.itm, "")))</f>
        <v>1234567890</v>
      </c>
      <c r="S467" s="3">
        <f>IFERROR(_xlfn.XLOOKUP(tbl_HR_Data[[#This Row],[Joining Date]], Mapping[Joining_Discarded], Mapping[Joining_Correction]), VALUE(tbl_HR_Data[[#This Row],[Joining Date]]))</f>
        <v>43549</v>
      </c>
      <c r="T467" t="str">
        <f>TEXT(tbl_HR_Data[[#This Row],[Joining Date]], "mmm")</f>
        <v>Mar</v>
      </c>
      <c r="U467" t="str">
        <f>TEXT(tbl_HR_Data[[#This Row],[Joining Date]], "ddd")</f>
        <v>Mon</v>
      </c>
    </row>
    <row r="468" spans="1:21" x14ac:dyDescent="0.35">
      <c r="A468" t="s">
        <v>102</v>
      </c>
      <c r="B468">
        <v>30</v>
      </c>
      <c r="C468">
        <v>65000</v>
      </c>
      <c r="D468" t="s">
        <v>11</v>
      </c>
      <c r="E468" t="s">
        <v>12</v>
      </c>
      <c r="F468" t="s">
        <v>20</v>
      </c>
      <c r="G468" s="3">
        <v>43549</v>
      </c>
      <c r="H468" t="str">
        <f>TEXT(tbl_HR_Data[[#This Row],[Joining Date]], "mmm")</f>
        <v>Mar</v>
      </c>
      <c r="I468" t="s">
        <v>94</v>
      </c>
      <c r="J468" t="s">
        <v>14</v>
      </c>
      <c r="K468" t="s">
        <v>22</v>
      </c>
      <c r="L468" t="s">
        <v>77</v>
      </c>
      <c r="M468">
        <f>IFERROR( _xlfn.XLOOKUP(TRIM(tbl_HR_Data[[#This Row],[Age]]),#REF!,#REF!), VALUE(TRIM(tbl_HR_Data[[#This Row],[Age]])))</f>
        <v>30</v>
      </c>
      <c r="N468" t="str">
        <f>IFERROR(_xlfn.XLOOKUP(tbl_HR_Data[[#This Row],[Gender]], Mapping[Gender _Discarded], Mapping[Gender_Correction]), PROPER(TRIM(tbl_HR_Data[[#This Row],[Gender]])))</f>
        <v>Male</v>
      </c>
      <c r="O468" t="str">
        <f>TRIM(tbl_HR_Data[[#This Row],[Position]])</f>
        <v>Director</v>
      </c>
      <c r="P468" t="str">
        <f>IFERROR(_xlfn.XLOOKUP(tbl_HR_Data[[#This Row],[Email]], Mapping[Email_Discarded], Mapping[Email_Correction]), LOWER(TRIM(tbl_HR_Data[[#This Row],[Email]])))</f>
        <v>user@domain.com</v>
      </c>
      <c r="Q46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68" t="str" cm="1">
        <f t="array" ref="R468">_xlfn.REDUCE(Q468, {"-","/","_","\","(",")"}, _xlfn.LAMBDA(_xlpm.txt,_xlpm.itm, SUBSTITUTE(_xlpm.txt, _xlpm.itm, "")))</f>
        <v>Not Provided</v>
      </c>
      <c r="S468" s="3">
        <f>IFERROR(_xlfn.XLOOKUP(tbl_HR_Data[[#This Row],[Joining Date]], Mapping[Joining_Discarded], Mapping[Joining_Correction]), VALUE(tbl_HR_Data[[#This Row],[Joining Date]]))</f>
        <v>43549</v>
      </c>
      <c r="T468" t="str">
        <f>TEXT(tbl_HR_Data[[#This Row],[Joining Date]], "mmm")</f>
        <v>Mar</v>
      </c>
      <c r="U468" t="str">
        <f>TEXT(tbl_HR_Data[[#This Row],[Joining Date]], "ddd")</f>
        <v>Mon</v>
      </c>
    </row>
    <row r="469" spans="1:21" x14ac:dyDescent="0.35">
      <c r="A469" t="s">
        <v>101</v>
      </c>
      <c r="B469">
        <v>30</v>
      </c>
      <c r="C469">
        <v>55000</v>
      </c>
      <c r="D469" t="s">
        <v>36</v>
      </c>
      <c r="E469" t="s">
        <v>26</v>
      </c>
      <c r="F469" t="s">
        <v>43</v>
      </c>
      <c r="G469" s="3">
        <v>43549</v>
      </c>
      <c r="H469" t="str">
        <f>TEXT(tbl_HR_Data[[#This Row],[Joining Date]], "mmm")</f>
        <v>Mar</v>
      </c>
      <c r="I469" t="s">
        <v>94</v>
      </c>
      <c r="J469" t="s">
        <v>31</v>
      </c>
      <c r="K469" t="s">
        <v>32</v>
      </c>
      <c r="L469" t="s">
        <v>89</v>
      </c>
      <c r="M469">
        <f>IFERROR( _xlfn.XLOOKUP(TRIM(tbl_HR_Data[[#This Row],[Age]]),#REF!,#REF!), VALUE(TRIM(tbl_HR_Data[[#This Row],[Age]])))</f>
        <v>30</v>
      </c>
      <c r="N469" t="str">
        <f>IFERROR(_xlfn.XLOOKUP(tbl_HR_Data[[#This Row],[Gender]], Mapping[Gender _Discarded], Mapping[Gender_Correction]), PROPER(TRIM(tbl_HR_Data[[#This Row],[Gender]])))</f>
        <v>Other</v>
      </c>
      <c r="O469" t="str">
        <f>TRIM(tbl_HR_Data[[#This Row],[Position]])</f>
        <v>Assistant</v>
      </c>
      <c r="P469" t="str">
        <f>IFERROR(_xlfn.XLOOKUP(tbl_HR_Data[[#This Row],[Email]], Mapping[Email_Discarded], Mapping[Email_Correction]), LOWER(TRIM(tbl_HR_Data[[#This Row],[Email]])))</f>
        <v>name@company.org</v>
      </c>
      <c r="Q46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469" t="str" cm="1">
        <f t="array" ref="R469">_xlfn.REDUCE(Q469, {"-","/","_","\","(",")"}, _xlfn.LAMBDA(_xlpm.txt,_xlpm.itm, SUBSTITUTE(_xlpm.txt, _xlpm.itm, "")))</f>
        <v>5555555555</v>
      </c>
      <c r="S469" s="3">
        <f>IFERROR(_xlfn.XLOOKUP(tbl_HR_Data[[#This Row],[Joining Date]], Mapping[Joining_Discarded], Mapping[Joining_Correction]), VALUE(tbl_HR_Data[[#This Row],[Joining Date]]))</f>
        <v>43549</v>
      </c>
      <c r="T469" t="str">
        <f>TEXT(tbl_HR_Data[[#This Row],[Joining Date]], "mmm")</f>
        <v>Mar</v>
      </c>
      <c r="U469" t="str">
        <f>TEXT(tbl_HR_Data[[#This Row],[Joining Date]], "ddd")</f>
        <v>Mon</v>
      </c>
    </row>
    <row r="470" spans="1:21" x14ac:dyDescent="0.35">
      <c r="A470" t="s">
        <v>104</v>
      </c>
      <c r="B470">
        <v>30</v>
      </c>
      <c r="C470">
        <v>0</v>
      </c>
      <c r="D470" t="s">
        <v>18</v>
      </c>
      <c r="E470" t="s">
        <v>37</v>
      </c>
      <c r="F470" t="s">
        <v>43</v>
      </c>
      <c r="G470" s="3">
        <v>43549</v>
      </c>
      <c r="H470" t="str">
        <f>TEXT(tbl_HR_Data[[#This Row],[Joining Date]], "mmm")</f>
        <v>Mar</v>
      </c>
      <c r="I470" t="s">
        <v>94</v>
      </c>
      <c r="J470" t="s">
        <v>31</v>
      </c>
      <c r="K470" t="s">
        <v>32</v>
      </c>
      <c r="L470" t="s">
        <v>87</v>
      </c>
      <c r="M470">
        <f>IFERROR( _xlfn.XLOOKUP(TRIM(tbl_HR_Data[[#This Row],[Age]]),#REF!,#REF!), VALUE(TRIM(tbl_HR_Data[[#This Row],[Age]])))</f>
        <v>30</v>
      </c>
      <c r="N470" t="str">
        <f>IFERROR(_xlfn.XLOOKUP(tbl_HR_Data[[#This Row],[Gender]], Mapping[Gender _Discarded], Mapping[Gender_Correction]), PROPER(TRIM(tbl_HR_Data[[#This Row],[Gender]])))</f>
        <v>Female</v>
      </c>
      <c r="O470" t="str">
        <f>TRIM(tbl_HR_Data[[#This Row],[Position]])</f>
        <v>Assistant</v>
      </c>
      <c r="P470" t="str">
        <f>IFERROR(_xlfn.XLOOKUP(tbl_HR_Data[[#This Row],[Email]], Mapping[Email_Discarded], Mapping[Email_Correction]), LOWER(TRIM(tbl_HR_Data[[#This Row],[Email]])))</f>
        <v>name@company.org</v>
      </c>
      <c r="Q47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470" t="str" cm="1">
        <f t="array" ref="R470">_xlfn.REDUCE(Q470, {"-","/","_","\","(",")"}, _xlfn.LAMBDA(_xlpm.txt,_xlpm.itm, SUBSTITUTE(_xlpm.txt, _xlpm.itm, "")))</f>
        <v>1234567890</v>
      </c>
      <c r="S470" s="3">
        <f>IFERROR(_xlfn.XLOOKUP(tbl_HR_Data[[#This Row],[Joining Date]], Mapping[Joining_Discarded], Mapping[Joining_Correction]), VALUE(tbl_HR_Data[[#This Row],[Joining Date]]))</f>
        <v>43549</v>
      </c>
      <c r="T470" t="str">
        <f>TEXT(tbl_HR_Data[[#This Row],[Joining Date]], "mmm")</f>
        <v>Mar</v>
      </c>
      <c r="U470" t="str">
        <f>TEXT(tbl_HR_Data[[#This Row],[Joining Date]], "ddd")</f>
        <v>Mon</v>
      </c>
    </row>
    <row r="471" spans="1:21" x14ac:dyDescent="0.35">
      <c r="A471" t="s">
        <v>102</v>
      </c>
      <c r="B471">
        <v>0</v>
      </c>
      <c r="C471">
        <v>50000</v>
      </c>
      <c r="D471" t="s">
        <v>18</v>
      </c>
      <c r="E471" t="s">
        <v>26</v>
      </c>
      <c r="F471" t="s">
        <v>44</v>
      </c>
      <c r="G471" s="3">
        <v>43549</v>
      </c>
      <c r="H471" t="str">
        <f>TEXT(tbl_HR_Data[[#This Row],[Joining Date]], "mmm")</f>
        <v>Mar</v>
      </c>
      <c r="I471" t="s">
        <v>94</v>
      </c>
      <c r="J471" t="s">
        <v>31</v>
      </c>
      <c r="K471" t="s">
        <v>22</v>
      </c>
      <c r="L471" t="s">
        <v>77</v>
      </c>
      <c r="M471">
        <f>IFERROR( _xlfn.XLOOKUP(TRIM(tbl_HR_Data[[#This Row],[Age]]),#REF!,#REF!), VALUE(TRIM(tbl_HR_Data[[#This Row],[Age]])))</f>
        <v>0</v>
      </c>
      <c r="N471" t="str">
        <f>IFERROR(_xlfn.XLOOKUP(tbl_HR_Data[[#This Row],[Gender]], Mapping[Gender _Discarded], Mapping[Gender_Correction]), PROPER(TRIM(tbl_HR_Data[[#This Row],[Gender]])))</f>
        <v>Female</v>
      </c>
      <c r="O471" t="str">
        <f>TRIM(tbl_HR_Data[[#This Row],[Position]])</f>
        <v>Analyst</v>
      </c>
      <c r="P471" t="str">
        <f>IFERROR(_xlfn.XLOOKUP(tbl_HR_Data[[#This Row],[Email]], Mapping[Email_Discarded], Mapping[Email_Correction]), LOWER(TRIM(tbl_HR_Data[[#This Row],[Email]])))</f>
        <v>user@domain.com</v>
      </c>
      <c r="Q47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71" t="str" cm="1">
        <f t="array" ref="R471">_xlfn.REDUCE(Q471, {"-","/","_","\","(",")"}, _xlfn.LAMBDA(_xlpm.txt,_xlpm.itm, SUBSTITUTE(_xlpm.txt, _xlpm.itm, "")))</f>
        <v>Not Provided</v>
      </c>
      <c r="S471" s="3">
        <f>IFERROR(_xlfn.XLOOKUP(tbl_HR_Data[[#This Row],[Joining Date]], Mapping[Joining_Discarded], Mapping[Joining_Correction]), VALUE(tbl_HR_Data[[#This Row],[Joining Date]]))</f>
        <v>43549</v>
      </c>
      <c r="T471" t="str">
        <f>TEXT(tbl_HR_Data[[#This Row],[Joining Date]], "mmm")</f>
        <v>Mar</v>
      </c>
      <c r="U471" t="str">
        <f>TEXT(tbl_HR_Data[[#This Row],[Joining Date]], "ddd")</f>
        <v>Mon</v>
      </c>
    </row>
    <row r="472" spans="1:21" x14ac:dyDescent="0.35">
      <c r="A472" t="s">
        <v>99</v>
      </c>
      <c r="B472">
        <v>0</v>
      </c>
      <c r="C472">
        <v>70000</v>
      </c>
      <c r="D472" t="s">
        <v>11</v>
      </c>
      <c r="E472" t="s">
        <v>26</v>
      </c>
      <c r="F472" t="s">
        <v>44</v>
      </c>
      <c r="G472" s="3">
        <v>43549</v>
      </c>
      <c r="H472" t="str">
        <f>TEXT(tbl_HR_Data[[#This Row],[Joining Date]], "mmm")</f>
        <v>Mar</v>
      </c>
      <c r="I472" t="s">
        <v>94</v>
      </c>
      <c r="J472" t="s">
        <v>27</v>
      </c>
      <c r="K472" t="s">
        <v>77</v>
      </c>
      <c r="L472" t="s">
        <v>77</v>
      </c>
      <c r="M472">
        <f>IFERROR( _xlfn.XLOOKUP(TRIM(tbl_HR_Data[[#This Row],[Age]]),#REF!,#REF!), VALUE(TRIM(tbl_HR_Data[[#This Row],[Age]])))</f>
        <v>0</v>
      </c>
      <c r="N472" t="str">
        <f>IFERROR(_xlfn.XLOOKUP(tbl_HR_Data[[#This Row],[Gender]], Mapping[Gender _Discarded], Mapping[Gender_Correction]), PROPER(TRIM(tbl_HR_Data[[#This Row],[Gender]])))</f>
        <v>Male</v>
      </c>
      <c r="O472" t="str">
        <f>TRIM(tbl_HR_Data[[#This Row],[Position]])</f>
        <v>Analyst</v>
      </c>
      <c r="P472" t="str">
        <f>IFERROR(_xlfn.XLOOKUP(tbl_HR_Data[[#This Row],[Email]], Mapping[Email_Discarded], Mapping[Email_Correction]), LOWER(TRIM(tbl_HR_Data[[#This Row],[Email]])))</f>
        <v>not provided</v>
      </c>
      <c r="Q47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72" t="str" cm="1">
        <f t="array" ref="R472">_xlfn.REDUCE(Q472, {"-","/","_","\","(",")"}, _xlfn.LAMBDA(_xlpm.txt,_xlpm.itm, SUBSTITUTE(_xlpm.txt, _xlpm.itm, "")))</f>
        <v>Not Provided</v>
      </c>
      <c r="S472" s="3">
        <f>IFERROR(_xlfn.XLOOKUP(tbl_HR_Data[[#This Row],[Joining Date]], Mapping[Joining_Discarded], Mapping[Joining_Correction]), VALUE(tbl_HR_Data[[#This Row],[Joining Date]]))</f>
        <v>43549</v>
      </c>
      <c r="T472" t="str">
        <f>TEXT(tbl_HR_Data[[#This Row],[Joining Date]], "mmm")</f>
        <v>Mar</v>
      </c>
      <c r="U472" t="str">
        <f>TEXT(tbl_HR_Data[[#This Row],[Joining Date]], "ddd")</f>
        <v>Mon</v>
      </c>
    </row>
    <row r="473" spans="1:21" x14ac:dyDescent="0.35">
      <c r="A473" t="s">
        <v>99</v>
      </c>
      <c r="B473">
        <v>30</v>
      </c>
      <c r="C473">
        <v>0</v>
      </c>
      <c r="D473" t="s">
        <v>36</v>
      </c>
      <c r="E473" t="s">
        <v>12</v>
      </c>
      <c r="F473" t="s">
        <v>44</v>
      </c>
      <c r="G473" s="3">
        <v>43549</v>
      </c>
      <c r="H473" t="str">
        <f>TEXT(tbl_HR_Data[[#This Row],[Joining Date]], "mmm")</f>
        <v>Mar</v>
      </c>
      <c r="I473" t="s">
        <v>94</v>
      </c>
      <c r="J473" t="s">
        <v>21</v>
      </c>
      <c r="K473" t="s">
        <v>77</v>
      </c>
      <c r="L473" t="s">
        <v>77</v>
      </c>
      <c r="M473">
        <f>IFERROR( _xlfn.XLOOKUP(TRIM(tbl_HR_Data[[#This Row],[Age]]),#REF!,#REF!), VALUE(TRIM(tbl_HR_Data[[#This Row],[Age]])))</f>
        <v>30</v>
      </c>
      <c r="N473" t="str">
        <f>IFERROR(_xlfn.XLOOKUP(tbl_HR_Data[[#This Row],[Gender]], Mapping[Gender _Discarded], Mapping[Gender_Correction]), PROPER(TRIM(tbl_HR_Data[[#This Row],[Gender]])))</f>
        <v>Other</v>
      </c>
      <c r="O473" t="str">
        <f>TRIM(tbl_HR_Data[[#This Row],[Position]])</f>
        <v>Analyst</v>
      </c>
      <c r="P473" t="str">
        <f>IFERROR(_xlfn.XLOOKUP(tbl_HR_Data[[#This Row],[Email]], Mapping[Email_Discarded], Mapping[Email_Correction]), LOWER(TRIM(tbl_HR_Data[[#This Row],[Email]])))</f>
        <v>not provided</v>
      </c>
      <c r="Q47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73" t="str" cm="1">
        <f t="array" ref="R473">_xlfn.REDUCE(Q473, {"-","/","_","\","(",")"}, _xlfn.LAMBDA(_xlpm.txt,_xlpm.itm, SUBSTITUTE(_xlpm.txt, _xlpm.itm, "")))</f>
        <v>Not Provided</v>
      </c>
      <c r="S473" s="3">
        <f>IFERROR(_xlfn.XLOOKUP(tbl_HR_Data[[#This Row],[Joining Date]], Mapping[Joining_Discarded], Mapping[Joining_Correction]), VALUE(tbl_HR_Data[[#This Row],[Joining Date]]))</f>
        <v>43549</v>
      </c>
      <c r="T473" t="str">
        <f>TEXT(tbl_HR_Data[[#This Row],[Joining Date]], "mmm")</f>
        <v>Mar</v>
      </c>
      <c r="U473" t="str">
        <f>TEXT(tbl_HR_Data[[#This Row],[Joining Date]], "ddd")</f>
        <v>Mon</v>
      </c>
    </row>
    <row r="474" spans="1:21" x14ac:dyDescent="0.35">
      <c r="A474" t="s">
        <v>100</v>
      </c>
      <c r="B474">
        <v>40</v>
      </c>
      <c r="C474">
        <v>65000</v>
      </c>
      <c r="D474" t="s">
        <v>11</v>
      </c>
      <c r="E474" t="s">
        <v>30</v>
      </c>
      <c r="F474" t="s">
        <v>13</v>
      </c>
      <c r="G474" s="3">
        <v>43549</v>
      </c>
      <c r="H474" t="str">
        <f>TEXT(tbl_HR_Data[[#This Row],[Joining Date]], "mmm")</f>
        <v>Mar</v>
      </c>
      <c r="I474" t="s">
        <v>94</v>
      </c>
      <c r="J474" t="s">
        <v>31</v>
      </c>
      <c r="K474" t="s">
        <v>22</v>
      </c>
      <c r="L474" t="s">
        <v>77</v>
      </c>
      <c r="M474">
        <f>IFERROR( _xlfn.XLOOKUP(TRIM(tbl_HR_Data[[#This Row],[Age]]),#REF!,#REF!), VALUE(TRIM(tbl_HR_Data[[#This Row],[Age]])))</f>
        <v>40</v>
      </c>
      <c r="N474" t="str">
        <f>IFERROR(_xlfn.XLOOKUP(tbl_HR_Data[[#This Row],[Gender]], Mapping[Gender _Discarded], Mapping[Gender_Correction]), PROPER(TRIM(tbl_HR_Data[[#This Row],[Gender]])))</f>
        <v>Male</v>
      </c>
      <c r="O474" t="str">
        <f>TRIM(tbl_HR_Data[[#This Row],[Position]])</f>
        <v>Manager</v>
      </c>
      <c r="P474" t="str">
        <f>IFERROR(_xlfn.XLOOKUP(tbl_HR_Data[[#This Row],[Email]], Mapping[Email_Discarded], Mapping[Email_Correction]), LOWER(TRIM(tbl_HR_Data[[#This Row],[Email]])))</f>
        <v>user@domain.com</v>
      </c>
      <c r="Q47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74" t="str" cm="1">
        <f t="array" ref="R474">_xlfn.REDUCE(Q474, {"-","/","_","\","(",")"}, _xlfn.LAMBDA(_xlpm.txt,_xlpm.itm, SUBSTITUTE(_xlpm.txt, _xlpm.itm, "")))</f>
        <v>Not Provided</v>
      </c>
      <c r="S474" s="3">
        <f>IFERROR(_xlfn.XLOOKUP(tbl_HR_Data[[#This Row],[Joining Date]], Mapping[Joining_Discarded], Mapping[Joining_Correction]), VALUE(tbl_HR_Data[[#This Row],[Joining Date]]))</f>
        <v>43549</v>
      </c>
      <c r="T474" t="str">
        <f>TEXT(tbl_HR_Data[[#This Row],[Joining Date]], "mmm")</f>
        <v>Mar</v>
      </c>
      <c r="U474" t="str">
        <f>TEXT(tbl_HR_Data[[#This Row],[Joining Date]], "ddd")</f>
        <v>Mon</v>
      </c>
    </row>
    <row r="475" spans="1:21" x14ac:dyDescent="0.35">
      <c r="A475" t="s">
        <v>102</v>
      </c>
      <c r="B475">
        <v>25</v>
      </c>
      <c r="C475">
        <v>70000</v>
      </c>
      <c r="D475" t="s">
        <v>11</v>
      </c>
      <c r="E475" t="s">
        <v>30</v>
      </c>
      <c r="F475" t="s">
        <v>43</v>
      </c>
      <c r="G475" s="3">
        <v>43549</v>
      </c>
      <c r="H475" t="str">
        <f>TEXT(tbl_HR_Data[[#This Row],[Joining Date]], "mmm")</f>
        <v>Mar</v>
      </c>
      <c r="I475" t="s">
        <v>94</v>
      </c>
      <c r="J475" t="s">
        <v>27</v>
      </c>
      <c r="K475" t="s">
        <v>77</v>
      </c>
      <c r="L475" t="s">
        <v>88</v>
      </c>
      <c r="M475">
        <f>IFERROR( _xlfn.XLOOKUP(TRIM(tbl_HR_Data[[#This Row],[Age]]),#REF!,#REF!), VALUE(TRIM(tbl_HR_Data[[#This Row],[Age]])))</f>
        <v>25</v>
      </c>
      <c r="N475" t="str">
        <f>IFERROR(_xlfn.XLOOKUP(tbl_HR_Data[[#This Row],[Gender]], Mapping[Gender _Discarded], Mapping[Gender_Correction]), PROPER(TRIM(tbl_HR_Data[[#This Row],[Gender]])))</f>
        <v>Male</v>
      </c>
      <c r="O475" t="str">
        <f>TRIM(tbl_HR_Data[[#This Row],[Position]])</f>
        <v>Assistant</v>
      </c>
      <c r="P475" t="str">
        <f>IFERROR(_xlfn.XLOOKUP(tbl_HR_Data[[#This Row],[Email]], Mapping[Email_Discarded], Mapping[Email_Correction]), LOWER(TRIM(tbl_HR_Data[[#This Row],[Email]])))</f>
        <v>not provided</v>
      </c>
      <c r="Q47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475" t="str" cm="1">
        <f t="array" ref="R475">_xlfn.REDUCE(Q475, {"-","/","_","\","(",")"}, _xlfn.LAMBDA(_xlpm.txt,_xlpm.itm, SUBSTITUTE(_xlpm.txt, _xlpm.itm, "")))</f>
        <v>0987654321</v>
      </c>
      <c r="S475" s="3">
        <f>IFERROR(_xlfn.XLOOKUP(tbl_HR_Data[[#This Row],[Joining Date]], Mapping[Joining_Discarded], Mapping[Joining_Correction]), VALUE(tbl_HR_Data[[#This Row],[Joining Date]]))</f>
        <v>43549</v>
      </c>
      <c r="T475" t="str">
        <f>TEXT(tbl_HR_Data[[#This Row],[Joining Date]], "mmm")</f>
        <v>Mar</v>
      </c>
      <c r="U475" t="str">
        <f>TEXT(tbl_HR_Data[[#This Row],[Joining Date]], "ddd")</f>
        <v>Mon</v>
      </c>
    </row>
    <row r="476" spans="1:21" x14ac:dyDescent="0.35">
      <c r="A476" t="s">
        <v>101</v>
      </c>
      <c r="B476">
        <v>0</v>
      </c>
      <c r="C476">
        <v>65000</v>
      </c>
      <c r="D476" t="s">
        <v>18</v>
      </c>
      <c r="E476" t="s">
        <v>12</v>
      </c>
      <c r="F476" t="s">
        <v>44</v>
      </c>
      <c r="G476" s="3">
        <v>43549</v>
      </c>
      <c r="H476" t="str">
        <f>TEXT(tbl_HR_Data[[#This Row],[Joining Date]], "mmm")</f>
        <v>Mar</v>
      </c>
      <c r="I476" t="s">
        <v>94</v>
      </c>
      <c r="J476" t="s">
        <v>14</v>
      </c>
      <c r="K476" t="s">
        <v>77</v>
      </c>
      <c r="L476" t="s">
        <v>88</v>
      </c>
      <c r="M476">
        <f>IFERROR( _xlfn.XLOOKUP(TRIM(tbl_HR_Data[[#This Row],[Age]]),#REF!,#REF!), VALUE(TRIM(tbl_HR_Data[[#This Row],[Age]])))</f>
        <v>0</v>
      </c>
      <c r="N476" t="str">
        <f>IFERROR(_xlfn.XLOOKUP(tbl_HR_Data[[#This Row],[Gender]], Mapping[Gender _Discarded], Mapping[Gender_Correction]), PROPER(TRIM(tbl_HR_Data[[#This Row],[Gender]])))</f>
        <v>Female</v>
      </c>
      <c r="O476" t="str">
        <f>TRIM(tbl_HR_Data[[#This Row],[Position]])</f>
        <v>Analyst</v>
      </c>
      <c r="P476" t="str">
        <f>IFERROR(_xlfn.XLOOKUP(tbl_HR_Data[[#This Row],[Email]], Mapping[Email_Discarded], Mapping[Email_Correction]), LOWER(TRIM(tbl_HR_Data[[#This Row],[Email]])))</f>
        <v>not provided</v>
      </c>
      <c r="Q47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476" t="str" cm="1">
        <f t="array" ref="R476">_xlfn.REDUCE(Q476, {"-","/","_","\","(",")"}, _xlfn.LAMBDA(_xlpm.txt,_xlpm.itm, SUBSTITUTE(_xlpm.txt, _xlpm.itm, "")))</f>
        <v>0987654321</v>
      </c>
      <c r="S476" s="3">
        <f>IFERROR(_xlfn.XLOOKUP(tbl_HR_Data[[#This Row],[Joining Date]], Mapping[Joining_Discarded], Mapping[Joining_Correction]), VALUE(tbl_HR_Data[[#This Row],[Joining Date]]))</f>
        <v>43549</v>
      </c>
      <c r="T476" t="str">
        <f>TEXT(tbl_HR_Data[[#This Row],[Joining Date]], "mmm")</f>
        <v>Mar</v>
      </c>
      <c r="U476" t="str">
        <f>TEXT(tbl_HR_Data[[#This Row],[Joining Date]], "ddd")</f>
        <v>Mon</v>
      </c>
    </row>
    <row r="477" spans="1:21" x14ac:dyDescent="0.35">
      <c r="A477" t="s">
        <v>100</v>
      </c>
      <c r="B477">
        <v>50</v>
      </c>
      <c r="C477">
        <v>60000</v>
      </c>
      <c r="D477" t="s">
        <v>36</v>
      </c>
      <c r="E477" t="s">
        <v>37</v>
      </c>
      <c r="F477" t="s">
        <v>13</v>
      </c>
      <c r="G477" s="3">
        <v>43549</v>
      </c>
      <c r="H477" t="str">
        <f>TEXT(tbl_HR_Data[[#This Row],[Joining Date]], "mmm")</f>
        <v>Mar</v>
      </c>
      <c r="I477" t="s">
        <v>94</v>
      </c>
      <c r="J477" t="s">
        <v>21</v>
      </c>
      <c r="K477" t="s">
        <v>77</v>
      </c>
      <c r="L477" t="s">
        <v>77</v>
      </c>
      <c r="M477">
        <f>IFERROR( _xlfn.XLOOKUP(TRIM(tbl_HR_Data[[#This Row],[Age]]),#REF!,#REF!), VALUE(TRIM(tbl_HR_Data[[#This Row],[Age]])))</f>
        <v>50</v>
      </c>
      <c r="N477" t="str">
        <f>IFERROR(_xlfn.XLOOKUP(tbl_HR_Data[[#This Row],[Gender]], Mapping[Gender _Discarded], Mapping[Gender_Correction]), PROPER(TRIM(tbl_HR_Data[[#This Row],[Gender]])))</f>
        <v>Other</v>
      </c>
      <c r="O477" t="str">
        <f>TRIM(tbl_HR_Data[[#This Row],[Position]])</f>
        <v>Manager</v>
      </c>
      <c r="P477" t="str">
        <f>IFERROR(_xlfn.XLOOKUP(tbl_HR_Data[[#This Row],[Email]], Mapping[Email_Discarded], Mapping[Email_Correction]), LOWER(TRIM(tbl_HR_Data[[#This Row],[Email]])))</f>
        <v>not provided</v>
      </c>
      <c r="Q47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77" t="str" cm="1">
        <f t="array" ref="R477">_xlfn.REDUCE(Q477, {"-","/","_","\","(",")"}, _xlfn.LAMBDA(_xlpm.txt,_xlpm.itm, SUBSTITUTE(_xlpm.txt, _xlpm.itm, "")))</f>
        <v>Not Provided</v>
      </c>
      <c r="S477" s="3">
        <f>IFERROR(_xlfn.XLOOKUP(tbl_HR_Data[[#This Row],[Joining Date]], Mapping[Joining_Discarded], Mapping[Joining_Correction]), VALUE(tbl_HR_Data[[#This Row],[Joining Date]]))</f>
        <v>43549</v>
      </c>
      <c r="T477" t="str">
        <f>TEXT(tbl_HR_Data[[#This Row],[Joining Date]], "mmm")</f>
        <v>Mar</v>
      </c>
      <c r="U477" t="str">
        <f>TEXT(tbl_HR_Data[[#This Row],[Joining Date]], "ddd")</f>
        <v>Mon</v>
      </c>
    </row>
    <row r="478" spans="1:21" x14ac:dyDescent="0.35">
      <c r="A478" t="s">
        <v>106</v>
      </c>
      <c r="B478">
        <v>25</v>
      </c>
      <c r="C478">
        <v>55000</v>
      </c>
      <c r="D478" t="s">
        <v>11</v>
      </c>
      <c r="E478" t="s">
        <v>12</v>
      </c>
      <c r="F478" t="s">
        <v>44</v>
      </c>
      <c r="G478" s="3">
        <v>43549</v>
      </c>
      <c r="H478" t="str">
        <f>TEXT(tbl_HR_Data[[#This Row],[Joining Date]], "mmm")</f>
        <v>Mar</v>
      </c>
      <c r="I478" t="s">
        <v>94</v>
      </c>
      <c r="J478" t="s">
        <v>21</v>
      </c>
      <c r="K478" t="s">
        <v>77</v>
      </c>
      <c r="L478" t="s">
        <v>77</v>
      </c>
      <c r="M478">
        <f>IFERROR( _xlfn.XLOOKUP(TRIM(tbl_HR_Data[[#This Row],[Age]]),#REF!,#REF!), VALUE(TRIM(tbl_HR_Data[[#This Row],[Age]])))</f>
        <v>25</v>
      </c>
      <c r="N478" t="str">
        <f>IFERROR(_xlfn.XLOOKUP(tbl_HR_Data[[#This Row],[Gender]], Mapping[Gender _Discarded], Mapping[Gender_Correction]), PROPER(TRIM(tbl_HR_Data[[#This Row],[Gender]])))</f>
        <v>Male</v>
      </c>
      <c r="O478" t="str">
        <f>TRIM(tbl_HR_Data[[#This Row],[Position]])</f>
        <v>Analyst</v>
      </c>
      <c r="P478" t="str">
        <f>IFERROR(_xlfn.XLOOKUP(tbl_HR_Data[[#This Row],[Email]], Mapping[Email_Discarded], Mapping[Email_Correction]), LOWER(TRIM(tbl_HR_Data[[#This Row],[Email]])))</f>
        <v>not provided</v>
      </c>
      <c r="Q47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78" t="str" cm="1">
        <f t="array" ref="R478">_xlfn.REDUCE(Q478, {"-","/","_","\","(",")"}, _xlfn.LAMBDA(_xlpm.txt,_xlpm.itm, SUBSTITUTE(_xlpm.txt, _xlpm.itm, "")))</f>
        <v>Not Provided</v>
      </c>
      <c r="S478" s="3">
        <f>IFERROR(_xlfn.XLOOKUP(tbl_HR_Data[[#This Row],[Joining Date]], Mapping[Joining_Discarded], Mapping[Joining_Correction]), VALUE(tbl_HR_Data[[#This Row],[Joining Date]]))</f>
        <v>43549</v>
      </c>
      <c r="T478" t="str">
        <f>TEXT(tbl_HR_Data[[#This Row],[Joining Date]], "mmm")</f>
        <v>Mar</v>
      </c>
      <c r="U478" t="str">
        <f>TEXT(tbl_HR_Data[[#This Row],[Joining Date]], "ddd")</f>
        <v>Mon</v>
      </c>
    </row>
    <row r="479" spans="1:21" x14ac:dyDescent="0.35">
      <c r="A479" t="s">
        <v>104</v>
      </c>
      <c r="B479">
        <v>35</v>
      </c>
      <c r="C479">
        <v>70000</v>
      </c>
      <c r="D479" t="s">
        <v>18</v>
      </c>
      <c r="E479" t="s">
        <v>26</v>
      </c>
      <c r="F479" t="s">
        <v>39</v>
      </c>
      <c r="G479" s="3">
        <v>43549</v>
      </c>
      <c r="H479" t="str">
        <f>TEXT(tbl_HR_Data[[#This Row],[Joining Date]], "mmm")</f>
        <v>Mar</v>
      </c>
      <c r="I479" t="s">
        <v>94</v>
      </c>
      <c r="J479" t="s">
        <v>27</v>
      </c>
      <c r="K479" t="s">
        <v>22</v>
      </c>
      <c r="L479" t="s">
        <v>77</v>
      </c>
      <c r="M479">
        <f>IFERROR( _xlfn.XLOOKUP(TRIM(tbl_HR_Data[[#This Row],[Age]]),#REF!,#REF!), VALUE(TRIM(tbl_HR_Data[[#This Row],[Age]])))</f>
        <v>35</v>
      </c>
      <c r="N479" t="str">
        <f>IFERROR(_xlfn.XLOOKUP(tbl_HR_Data[[#This Row],[Gender]], Mapping[Gender _Discarded], Mapping[Gender_Correction]), PROPER(TRIM(tbl_HR_Data[[#This Row],[Gender]])))</f>
        <v>Female</v>
      </c>
      <c r="O479" t="str">
        <f>TRIM(tbl_HR_Data[[#This Row],[Position]])</f>
        <v>Clerk</v>
      </c>
      <c r="P479" t="str">
        <f>IFERROR(_xlfn.XLOOKUP(tbl_HR_Data[[#This Row],[Email]], Mapping[Email_Discarded], Mapping[Email_Correction]), LOWER(TRIM(tbl_HR_Data[[#This Row],[Email]])))</f>
        <v>user@domain.com</v>
      </c>
      <c r="Q47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79" t="str" cm="1">
        <f t="array" ref="R479">_xlfn.REDUCE(Q479, {"-","/","_","\","(",")"}, _xlfn.LAMBDA(_xlpm.txt,_xlpm.itm, SUBSTITUTE(_xlpm.txt, _xlpm.itm, "")))</f>
        <v>Not Provided</v>
      </c>
      <c r="S479" s="3">
        <f>IFERROR(_xlfn.XLOOKUP(tbl_HR_Data[[#This Row],[Joining Date]], Mapping[Joining_Discarded], Mapping[Joining_Correction]), VALUE(tbl_HR_Data[[#This Row],[Joining Date]]))</f>
        <v>43549</v>
      </c>
      <c r="T479" t="str">
        <f>TEXT(tbl_HR_Data[[#This Row],[Joining Date]], "mmm")</f>
        <v>Mar</v>
      </c>
      <c r="U479" t="str">
        <f>TEXT(tbl_HR_Data[[#This Row],[Joining Date]], "ddd")</f>
        <v>Mon</v>
      </c>
    </row>
    <row r="480" spans="1:21" x14ac:dyDescent="0.35">
      <c r="A480" t="s">
        <v>100</v>
      </c>
      <c r="B480">
        <v>0</v>
      </c>
      <c r="C480">
        <v>70000</v>
      </c>
      <c r="D480" t="s">
        <v>36</v>
      </c>
      <c r="E480" t="s">
        <v>12</v>
      </c>
      <c r="F480" t="s">
        <v>43</v>
      </c>
      <c r="G480" s="3">
        <v>43549</v>
      </c>
      <c r="H480" t="str">
        <f>TEXT(tbl_HR_Data[[#This Row],[Joining Date]], "mmm")</f>
        <v>Mar</v>
      </c>
      <c r="I480" t="s">
        <v>94</v>
      </c>
      <c r="J480" t="s">
        <v>21</v>
      </c>
      <c r="K480" t="s">
        <v>77</v>
      </c>
      <c r="L480" t="s">
        <v>88</v>
      </c>
      <c r="M480">
        <f>IFERROR( _xlfn.XLOOKUP(TRIM(tbl_HR_Data[[#This Row],[Age]]),#REF!,#REF!), VALUE(TRIM(tbl_HR_Data[[#This Row],[Age]])))</f>
        <v>0</v>
      </c>
      <c r="N480" t="str">
        <f>IFERROR(_xlfn.XLOOKUP(tbl_HR_Data[[#This Row],[Gender]], Mapping[Gender _Discarded], Mapping[Gender_Correction]), PROPER(TRIM(tbl_HR_Data[[#This Row],[Gender]])))</f>
        <v>Other</v>
      </c>
      <c r="O480" t="str">
        <f>TRIM(tbl_HR_Data[[#This Row],[Position]])</f>
        <v>Assistant</v>
      </c>
      <c r="P480" t="str">
        <f>IFERROR(_xlfn.XLOOKUP(tbl_HR_Data[[#This Row],[Email]], Mapping[Email_Discarded], Mapping[Email_Correction]), LOWER(TRIM(tbl_HR_Data[[#This Row],[Email]])))</f>
        <v>not provided</v>
      </c>
      <c r="Q48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480" t="str" cm="1">
        <f t="array" ref="R480">_xlfn.REDUCE(Q480, {"-","/","_","\","(",")"}, _xlfn.LAMBDA(_xlpm.txt,_xlpm.itm, SUBSTITUTE(_xlpm.txt, _xlpm.itm, "")))</f>
        <v>0987654321</v>
      </c>
      <c r="S480" s="3">
        <f>IFERROR(_xlfn.XLOOKUP(tbl_HR_Data[[#This Row],[Joining Date]], Mapping[Joining_Discarded], Mapping[Joining_Correction]), VALUE(tbl_HR_Data[[#This Row],[Joining Date]]))</f>
        <v>43549</v>
      </c>
      <c r="T480" t="str">
        <f>TEXT(tbl_HR_Data[[#This Row],[Joining Date]], "mmm")</f>
        <v>Mar</v>
      </c>
      <c r="U480" t="str">
        <f>TEXT(tbl_HR_Data[[#This Row],[Joining Date]], "ddd")</f>
        <v>Mon</v>
      </c>
    </row>
    <row r="481" spans="1:21" x14ac:dyDescent="0.35">
      <c r="A481" t="s">
        <v>103</v>
      </c>
      <c r="B481">
        <v>40</v>
      </c>
      <c r="C481">
        <v>65000</v>
      </c>
      <c r="D481" t="s">
        <v>11</v>
      </c>
      <c r="E481" t="s">
        <v>12</v>
      </c>
      <c r="F481" t="s">
        <v>39</v>
      </c>
      <c r="G481" s="3">
        <v>43549</v>
      </c>
      <c r="H481" t="str">
        <f>TEXT(tbl_HR_Data[[#This Row],[Joining Date]], "mmm")</f>
        <v>Mar</v>
      </c>
      <c r="I481" t="s">
        <v>94</v>
      </c>
      <c r="J481" t="s">
        <v>41</v>
      </c>
      <c r="K481" t="s">
        <v>15</v>
      </c>
      <c r="L481" t="s">
        <v>87</v>
      </c>
      <c r="M481">
        <f>IFERROR( _xlfn.XLOOKUP(TRIM(tbl_HR_Data[[#This Row],[Age]]),#REF!,#REF!), VALUE(TRIM(tbl_HR_Data[[#This Row],[Age]])))</f>
        <v>40</v>
      </c>
      <c r="N481" t="str">
        <f>IFERROR(_xlfn.XLOOKUP(tbl_HR_Data[[#This Row],[Gender]], Mapping[Gender _Discarded], Mapping[Gender_Correction]), PROPER(TRIM(tbl_HR_Data[[#This Row],[Gender]])))</f>
        <v>Male</v>
      </c>
      <c r="O481" t="str">
        <f>TRIM(tbl_HR_Data[[#This Row],[Position]])</f>
        <v>Clerk</v>
      </c>
      <c r="P481" t="str">
        <f>IFERROR(_xlfn.XLOOKUP(tbl_HR_Data[[#This Row],[Email]], Mapping[Email_Discarded], Mapping[Email_Correction]), LOWER(TRIM(tbl_HR_Data[[#This Row],[Email]])))</f>
        <v>email@example.com</v>
      </c>
      <c r="Q48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481" t="str" cm="1">
        <f t="array" ref="R481">_xlfn.REDUCE(Q481, {"-","/","_","\","(",")"}, _xlfn.LAMBDA(_xlpm.txt,_xlpm.itm, SUBSTITUTE(_xlpm.txt, _xlpm.itm, "")))</f>
        <v>1234567890</v>
      </c>
      <c r="S481" s="3">
        <f>IFERROR(_xlfn.XLOOKUP(tbl_HR_Data[[#This Row],[Joining Date]], Mapping[Joining_Discarded], Mapping[Joining_Correction]), VALUE(tbl_HR_Data[[#This Row],[Joining Date]]))</f>
        <v>43549</v>
      </c>
      <c r="T481" t="str">
        <f>TEXT(tbl_HR_Data[[#This Row],[Joining Date]], "mmm")</f>
        <v>Mar</v>
      </c>
      <c r="U481" t="str">
        <f>TEXT(tbl_HR_Data[[#This Row],[Joining Date]], "ddd")</f>
        <v>Mon</v>
      </c>
    </row>
    <row r="482" spans="1:21" x14ac:dyDescent="0.35">
      <c r="A482" t="s">
        <v>100</v>
      </c>
      <c r="B482">
        <v>50</v>
      </c>
      <c r="C482">
        <v>65000</v>
      </c>
      <c r="D482" t="s">
        <v>18</v>
      </c>
      <c r="E482" t="s">
        <v>30</v>
      </c>
      <c r="F482" t="s">
        <v>44</v>
      </c>
      <c r="G482" s="3">
        <v>43549</v>
      </c>
      <c r="H482" t="str">
        <f>TEXT(tbl_HR_Data[[#This Row],[Joining Date]], "mmm")</f>
        <v>Mar</v>
      </c>
      <c r="I482" t="s">
        <v>94</v>
      </c>
      <c r="J482" t="s">
        <v>21</v>
      </c>
      <c r="K482" t="s">
        <v>15</v>
      </c>
      <c r="L482" t="s">
        <v>88</v>
      </c>
      <c r="M482">
        <f>IFERROR( _xlfn.XLOOKUP(TRIM(tbl_HR_Data[[#This Row],[Age]]),#REF!,#REF!), VALUE(TRIM(tbl_HR_Data[[#This Row],[Age]])))</f>
        <v>50</v>
      </c>
      <c r="N482" t="str">
        <f>IFERROR(_xlfn.XLOOKUP(tbl_HR_Data[[#This Row],[Gender]], Mapping[Gender _Discarded], Mapping[Gender_Correction]), PROPER(TRIM(tbl_HR_Data[[#This Row],[Gender]])))</f>
        <v>Female</v>
      </c>
      <c r="O482" t="str">
        <f>TRIM(tbl_HR_Data[[#This Row],[Position]])</f>
        <v>Analyst</v>
      </c>
      <c r="P482" t="str">
        <f>IFERROR(_xlfn.XLOOKUP(tbl_HR_Data[[#This Row],[Email]], Mapping[Email_Discarded], Mapping[Email_Correction]), LOWER(TRIM(tbl_HR_Data[[#This Row],[Email]])))</f>
        <v>email@example.com</v>
      </c>
      <c r="Q48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482" t="str" cm="1">
        <f t="array" ref="R482">_xlfn.REDUCE(Q482, {"-","/","_","\","(",")"}, _xlfn.LAMBDA(_xlpm.txt,_xlpm.itm, SUBSTITUTE(_xlpm.txt, _xlpm.itm, "")))</f>
        <v>0987654321</v>
      </c>
      <c r="S482" s="3">
        <f>IFERROR(_xlfn.XLOOKUP(tbl_HR_Data[[#This Row],[Joining Date]], Mapping[Joining_Discarded], Mapping[Joining_Correction]), VALUE(tbl_HR_Data[[#This Row],[Joining Date]]))</f>
        <v>43549</v>
      </c>
      <c r="T482" t="str">
        <f>TEXT(tbl_HR_Data[[#This Row],[Joining Date]], "mmm")</f>
        <v>Mar</v>
      </c>
      <c r="U482" t="str">
        <f>TEXT(tbl_HR_Data[[#This Row],[Joining Date]], "ddd")</f>
        <v>Mon</v>
      </c>
    </row>
    <row r="483" spans="1:21" x14ac:dyDescent="0.35">
      <c r="A483" t="s">
        <v>105</v>
      </c>
      <c r="B483">
        <v>0</v>
      </c>
      <c r="C483">
        <v>70000</v>
      </c>
      <c r="D483" t="s">
        <v>36</v>
      </c>
      <c r="E483" t="s">
        <v>19</v>
      </c>
      <c r="F483" t="s">
        <v>44</v>
      </c>
      <c r="G483" s="3">
        <v>43549</v>
      </c>
      <c r="H483" t="str">
        <f>TEXT(tbl_HR_Data[[#This Row],[Joining Date]], "mmm")</f>
        <v>Mar</v>
      </c>
      <c r="I483" t="s">
        <v>94</v>
      </c>
      <c r="J483" t="s">
        <v>21</v>
      </c>
      <c r="K483" t="s">
        <v>77</v>
      </c>
      <c r="L483" t="s">
        <v>77</v>
      </c>
      <c r="M483">
        <f>IFERROR( _xlfn.XLOOKUP(TRIM(tbl_HR_Data[[#This Row],[Age]]),#REF!,#REF!), VALUE(TRIM(tbl_HR_Data[[#This Row],[Age]])))</f>
        <v>0</v>
      </c>
      <c r="N483" t="str">
        <f>IFERROR(_xlfn.XLOOKUP(tbl_HR_Data[[#This Row],[Gender]], Mapping[Gender _Discarded], Mapping[Gender_Correction]), PROPER(TRIM(tbl_HR_Data[[#This Row],[Gender]])))</f>
        <v>Other</v>
      </c>
      <c r="O483" t="str">
        <f>TRIM(tbl_HR_Data[[#This Row],[Position]])</f>
        <v>Analyst</v>
      </c>
      <c r="P483" t="str">
        <f>IFERROR(_xlfn.XLOOKUP(tbl_HR_Data[[#This Row],[Email]], Mapping[Email_Discarded], Mapping[Email_Correction]), LOWER(TRIM(tbl_HR_Data[[#This Row],[Email]])))</f>
        <v>not provided</v>
      </c>
      <c r="Q48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83" t="str" cm="1">
        <f t="array" ref="R483">_xlfn.REDUCE(Q483, {"-","/","_","\","(",")"}, _xlfn.LAMBDA(_xlpm.txt,_xlpm.itm, SUBSTITUTE(_xlpm.txt, _xlpm.itm, "")))</f>
        <v>Not Provided</v>
      </c>
      <c r="S483" s="3">
        <f>IFERROR(_xlfn.XLOOKUP(tbl_HR_Data[[#This Row],[Joining Date]], Mapping[Joining_Discarded], Mapping[Joining_Correction]), VALUE(tbl_HR_Data[[#This Row],[Joining Date]]))</f>
        <v>43549</v>
      </c>
      <c r="T483" t="str">
        <f>TEXT(tbl_HR_Data[[#This Row],[Joining Date]], "mmm")</f>
        <v>Mar</v>
      </c>
      <c r="U483" t="str">
        <f>TEXT(tbl_HR_Data[[#This Row],[Joining Date]], "ddd")</f>
        <v>Mon</v>
      </c>
    </row>
    <row r="484" spans="1:21" x14ac:dyDescent="0.35">
      <c r="A484" t="s">
        <v>105</v>
      </c>
      <c r="B484">
        <v>40</v>
      </c>
      <c r="C484">
        <v>0</v>
      </c>
      <c r="D484" t="s">
        <v>18</v>
      </c>
      <c r="E484" t="s">
        <v>19</v>
      </c>
      <c r="F484" t="s">
        <v>13</v>
      </c>
      <c r="G484" s="3">
        <v>43549</v>
      </c>
      <c r="H484" t="str">
        <f>TEXT(tbl_HR_Data[[#This Row],[Joining Date]], "mmm")</f>
        <v>Mar</v>
      </c>
      <c r="I484" t="s">
        <v>94</v>
      </c>
      <c r="J484" t="s">
        <v>27</v>
      </c>
      <c r="K484" t="s">
        <v>77</v>
      </c>
      <c r="L484" t="s">
        <v>87</v>
      </c>
      <c r="M484">
        <f>IFERROR( _xlfn.XLOOKUP(TRIM(tbl_HR_Data[[#This Row],[Age]]),#REF!,#REF!), VALUE(TRIM(tbl_HR_Data[[#This Row],[Age]])))</f>
        <v>40</v>
      </c>
      <c r="N484" t="str">
        <f>IFERROR(_xlfn.XLOOKUP(tbl_HR_Data[[#This Row],[Gender]], Mapping[Gender _Discarded], Mapping[Gender_Correction]), PROPER(TRIM(tbl_HR_Data[[#This Row],[Gender]])))</f>
        <v>Female</v>
      </c>
      <c r="O484" t="str">
        <f>TRIM(tbl_HR_Data[[#This Row],[Position]])</f>
        <v>Manager</v>
      </c>
      <c r="P484" t="str">
        <f>IFERROR(_xlfn.XLOOKUP(tbl_HR_Data[[#This Row],[Email]], Mapping[Email_Discarded], Mapping[Email_Correction]), LOWER(TRIM(tbl_HR_Data[[#This Row],[Email]])))</f>
        <v>not provided</v>
      </c>
      <c r="Q48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484" t="str" cm="1">
        <f t="array" ref="R484">_xlfn.REDUCE(Q484, {"-","/","_","\","(",")"}, _xlfn.LAMBDA(_xlpm.txt,_xlpm.itm, SUBSTITUTE(_xlpm.txt, _xlpm.itm, "")))</f>
        <v>1234567890</v>
      </c>
      <c r="S484" s="3">
        <f>IFERROR(_xlfn.XLOOKUP(tbl_HR_Data[[#This Row],[Joining Date]], Mapping[Joining_Discarded], Mapping[Joining_Correction]), VALUE(tbl_HR_Data[[#This Row],[Joining Date]]))</f>
        <v>43549</v>
      </c>
      <c r="T484" t="str">
        <f>TEXT(tbl_HR_Data[[#This Row],[Joining Date]], "mmm")</f>
        <v>Mar</v>
      </c>
      <c r="U484" t="str">
        <f>TEXT(tbl_HR_Data[[#This Row],[Joining Date]], "ddd")</f>
        <v>Mon</v>
      </c>
    </row>
    <row r="485" spans="1:21" x14ac:dyDescent="0.35">
      <c r="A485" t="s">
        <v>101</v>
      </c>
      <c r="B485">
        <v>35</v>
      </c>
      <c r="C485">
        <v>0</v>
      </c>
      <c r="D485" t="s">
        <v>36</v>
      </c>
      <c r="E485" t="s">
        <v>19</v>
      </c>
      <c r="F485" t="s">
        <v>44</v>
      </c>
      <c r="G485" s="3">
        <v>43549</v>
      </c>
      <c r="H485" t="str">
        <f>TEXT(tbl_HR_Data[[#This Row],[Joining Date]], "mmm")</f>
        <v>Mar</v>
      </c>
      <c r="I485" t="s">
        <v>94</v>
      </c>
      <c r="J485" t="s">
        <v>27</v>
      </c>
      <c r="K485" t="s">
        <v>32</v>
      </c>
      <c r="L485" t="s">
        <v>88</v>
      </c>
      <c r="M485">
        <f>IFERROR( _xlfn.XLOOKUP(TRIM(tbl_HR_Data[[#This Row],[Age]]),#REF!,#REF!), VALUE(TRIM(tbl_HR_Data[[#This Row],[Age]])))</f>
        <v>35</v>
      </c>
      <c r="N485" t="str">
        <f>IFERROR(_xlfn.XLOOKUP(tbl_HR_Data[[#This Row],[Gender]], Mapping[Gender _Discarded], Mapping[Gender_Correction]), PROPER(TRIM(tbl_HR_Data[[#This Row],[Gender]])))</f>
        <v>Other</v>
      </c>
      <c r="O485" t="str">
        <f>TRIM(tbl_HR_Data[[#This Row],[Position]])</f>
        <v>Analyst</v>
      </c>
      <c r="P485" t="str">
        <f>IFERROR(_xlfn.XLOOKUP(tbl_HR_Data[[#This Row],[Email]], Mapping[Email_Discarded], Mapping[Email_Correction]), LOWER(TRIM(tbl_HR_Data[[#This Row],[Email]])))</f>
        <v>name@company.org</v>
      </c>
      <c r="Q48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485" t="str" cm="1">
        <f t="array" ref="R485">_xlfn.REDUCE(Q485, {"-","/","_","\","(",")"}, _xlfn.LAMBDA(_xlpm.txt,_xlpm.itm, SUBSTITUTE(_xlpm.txt, _xlpm.itm, "")))</f>
        <v>0987654321</v>
      </c>
      <c r="S485" s="3">
        <f>IFERROR(_xlfn.XLOOKUP(tbl_HR_Data[[#This Row],[Joining Date]], Mapping[Joining_Discarded], Mapping[Joining_Correction]), VALUE(tbl_HR_Data[[#This Row],[Joining Date]]))</f>
        <v>43549</v>
      </c>
      <c r="T485" t="str">
        <f>TEXT(tbl_HR_Data[[#This Row],[Joining Date]], "mmm")</f>
        <v>Mar</v>
      </c>
      <c r="U485" t="str">
        <f>TEXT(tbl_HR_Data[[#This Row],[Joining Date]], "ddd")</f>
        <v>Mon</v>
      </c>
    </row>
    <row r="486" spans="1:21" x14ac:dyDescent="0.35">
      <c r="A486" t="s">
        <v>103</v>
      </c>
      <c r="B486">
        <v>30</v>
      </c>
      <c r="C486">
        <v>0</v>
      </c>
      <c r="D486" t="s">
        <v>18</v>
      </c>
      <c r="E486" t="s">
        <v>30</v>
      </c>
      <c r="F486" t="s">
        <v>43</v>
      </c>
      <c r="G486" s="3">
        <v>43549</v>
      </c>
      <c r="H486" t="str">
        <f>TEXT(tbl_HR_Data[[#This Row],[Joining Date]], "mmm")</f>
        <v>Mar</v>
      </c>
      <c r="I486" t="s">
        <v>94</v>
      </c>
      <c r="J486" t="s">
        <v>31</v>
      </c>
      <c r="K486" t="s">
        <v>22</v>
      </c>
      <c r="L486" t="s">
        <v>89</v>
      </c>
      <c r="M486">
        <f>IFERROR( _xlfn.XLOOKUP(TRIM(tbl_HR_Data[[#This Row],[Age]]),#REF!,#REF!), VALUE(TRIM(tbl_HR_Data[[#This Row],[Age]])))</f>
        <v>30</v>
      </c>
      <c r="N486" t="str">
        <f>IFERROR(_xlfn.XLOOKUP(tbl_HR_Data[[#This Row],[Gender]], Mapping[Gender _Discarded], Mapping[Gender_Correction]), PROPER(TRIM(tbl_HR_Data[[#This Row],[Gender]])))</f>
        <v>Female</v>
      </c>
      <c r="O486" t="str">
        <f>TRIM(tbl_HR_Data[[#This Row],[Position]])</f>
        <v>Assistant</v>
      </c>
      <c r="P486" t="str">
        <f>IFERROR(_xlfn.XLOOKUP(tbl_HR_Data[[#This Row],[Email]], Mapping[Email_Discarded], Mapping[Email_Correction]), LOWER(TRIM(tbl_HR_Data[[#This Row],[Email]])))</f>
        <v>user@domain.com</v>
      </c>
      <c r="Q48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486" t="str" cm="1">
        <f t="array" ref="R486">_xlfn.REDUCE(Q486, {"-","/","_","\","(",")"}, _xlfn.LAMBDA(_xlpm.txt,_xlpm.itm, SUBSTITUTE(_xlpm.txt, _xlpm.itm, "")))</f>
        <v>5555555555</v>
      </c>
      <c r="S486" s="3">
        <f>IFERROR(_xlfn.XLOOKUP(tbl_HR_Data[[#This Row],[Joining Date]], Mapping[Joining_Discarded], Mapping[Joining_Correction]), VALUE(tbl_HR_Data[[#This Row],[Joining Date]]))</f>
        <v>43549</v>
      </c>
      <c r="T486" t="str">
        <f>TEXT(tbl_HR_Data[[#This Row],[Joining Date]], "mmm")</f>
        <v>Mar</v>
      </c>
      <c r="U486" t="str">
        <f>TEXT(tbl_HR_Data[[#This Row],[Joining Date]], "ddd")</f>
        <v>Mon</v>
      </c>
    </row>
    <row r="487" spans="1:21" x14ac:dyDescent="0.35">
      <c r="A487" t="s">
        <v>105</v>
      </c>
      <c r="B487">
        <v>30</v>
      </c>
      <c r="C487">
        <v>55000</v>
      </c>
      <c r="D487" t="s">
        <v>18</v>
      </c>
      <c r="E487" t="s">
        <v>30</v>
      </c>
      <c r="F487" t="s">
        <v>20</v>
      </c>
      <c r="G487" s="3">
        <v>43549</v>
      </c>
      <c r="H487" t="str">
        <f>TEXT(tbl_HR_Data[[#This Row],[Joining Date]], "mmm")</f>
        <v>Mar</v>
      </c>
      <c r="I487" t="s">
        <v>94</v>
      </c>
      <c r="J487" t="s">
        <v>27</v>
      </c>
      <c r="K487" t="s">
        <v>15</v>
      </c>
      <c r="L487" t="s">
        <v>77</v>
      </c>
      <c r="M487">
        <f>IFERROR( _xlfn.XLOOKUP(TRIM(tbl_HR_Data[[#This Row],[Age]]),#REF!,#REF!), VALUE(TRIM(tbl_HR_Data[[#This Row],[Age]])))</f>
        <v>30</v>
      </c>
      <c r="N487" t="str">
        <f>IFERROR(_xlfn.XLOOKUP(tbl_HR_Data[[#This Row],[Gender]], Mapping[Gender _Discarded], Mapping[Gender_Correction]), PROPER(TRIM(tbl_HR_Data[[#This Row],[Gender]])))</f>
        <v>Female</v>
      </c>
      <c r="O487" t="str">
        <f>TRIM(tbl_HR_Data[[#This Row],[Position]])</f>
        <v>Director</v>
      </c>
      <c r="P487" t="str">
        <f>IFERROR(_xlfn.XLOOKUP(tbl_HR_Data[[#This Row],[Email]], Mapping[Email_Discarded], Mapping[Email_Correction]), LOWER(TRIM(tbl_HR_Data[[#This Row],[Email]])))</f>
        <v>email@example.com</v>
      </c>
      <c r="Q48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87" t="str" cm="1">
        <f t="array" ref="R487">_xlfn.REDUCE(Q487, {"-","/","_","\","(",")"}, _xlfn.LAMBDA(_xlpm.txt,_xlpm.itm, SUBSTITUTE(_xlpm.txt, _xlpm.itm, "")))</f>
        <v>Not Provided</v>
      </c>
      <c r="S487" s="3">
        <f>IFERROR(_xlfn.XLOOKUP(tbl_HR_Data[[#This Row],[Joining Date]], Mapping[Joining_Discarded], Mapping[Joining_Correction]), VALUE(tbl_HR_Data[[#This Row],[Joining Date]]))</f>
        <v>43549</v>
      </c>
      <c r="T487" t="str">
        <f>TEXT(tbl_HR_Data[[#This Row],[Joining Date]], "mmm")</f>
        <v>Mar</v>
      </c>
      <c r="U487" t="str">
        <f>TEXT(tbl_HR_Data[[#This Row],[Joining Date]], "ddd")</f>
        <v>Mon</v>
      </c>
    </row>
    <row r="488" spans="1:21" x14ac:dyDescent="0.35">
      <c r="A488" t="s">
        <v>102</v>
      </c>
      <c r="B488">
        <v>35</v>
      </c>
      <c r="C488">
        <v>70000</v>
      </c>
      <c r="D488" t="s">
        <v>36</v>
      </c>
      <c r="E488" t="s">
        <v>26</v>
      </c>
      <c r="F488" t="s">
        <v>39</v>
      </c>
      <c r="G488" s="3">
        <v>43549</v>
      </c>
      <c r="H488" t="str">
        <f>TEXT(tbl_HR_Data[[#This Row],[Joining Date]], "mmm")</f>
        <v>Mar</v>
      </c>
      <c r="I488" t="s">
        <v>94</v>
      </c>
      <c r="J488" t="s">
        <v>41</v>
      </c>
      <c r="K488" t="s">
        <v>77</v>
      </c>
      <c r="L488" t="s">
        <v>88</v>
      </c>
      <c r="M488">
        <f>IFERROR( _xlfn.XLOOKUP(TRIM(tbl_HR_Data[[#This Row],[Age]]),#REF!,#REF!), VALUE(TRIM(tbl_HR_Data[[#This Row],[Age]])))</f>
        <v>35</v>
      </c>
      <c r="N488" t="str">
        <f>IFERROR(_xlfn.XLOOKUP(tbl_HR_Data[[#This Row],[Gender]], Mapping[Gender _Discarded], Mapping[Gender_Correction]), PROPER(TRIM(tbl_HR_Data[[#This Row],[Gender]])))</f>
        <v>Other</v>
      </c>
      <c r="O488" t="str">
        <f>TRIM(tbl_HR_Data[[#This Row],[Position]])</f>
        <v>Clerk</v>
      </c>
      <c r="P488" t="str">
        <f>IFERROR(_xlfn.XLOOKUP(tbl_HR_Data[[#This Row],[Email]], Mapping[Email_Discarded], Mapping[Email_Correction]), LOWER(TRIM(tbl_HR_Data[[#This Row],[Email]])))</f>
        <v>not provided</v>
      </c>
      <c r="Q48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488" t="str" cm="1">
        <f t="array" ref="R488">_xlfn.REDUCE(Q488, {"-","/","_","\","(",")"}, _xlfn.LAMBDA(_xlpm.txt,_xlpm.itm, SUBSTITUTE(_xlpm.txt, _xlpm.itm, "")))</f>
        <v>0987654321</v>
      </c>
      <c r="S488" s="3">
        <f>IFERROR(_xlfn.XLOOKUP(tbl_HR_Data[[#This Row],[Joining Date]], Mapping[Joining_Discarded], Mapping[Joining_Correction]), VALUE(tbl_HR_Data[[#This Row],[Joining Date]]))</f>
        <v>43549</v>
      </c>
      <c r="T488" t="str">
        <f>TEXT(tbl_HR_Data[[#This Row],[Joining Date]], "mmm")</f>
        <v>Mar</v>
      </c>
      <c r="U488" t="str">
        <f>TEXT(tbl_HR_Data[[#This Row],[Joining Date]], "ddd")</f>
        <v>Mon</v>
      </c>
    </row>
    <row r="489" spans="1:21" x14ac:dyDescent="0.35">
      <c r="A489" t="s">
        <v>103</v>
      </c>
      <c r="B489">
        <v>40</v>
      </c>
      <c r="C489">
        <v>55000</v>
      </c>
      <c r="D489" t="s">
        <v>18</v>
      </c>
      <c r="E489" t="s">
        <v>12</v>
      </c>
      <c r="F489" t="s">
        <v>43</v>
      </c>
      <c r="G489" s="3">
        <v>43549</v>
      </c>
      <c r="H489" t="str">
        <f>TEXT(tbl_HR_Data[[#This Row],[Joining Date]], "mmm")</f>
        <v>Mar</v>
      </c>
      <c r="I489" t="s">
        <v>94</v>
      </c>
      <c r="J489" t="s">
        <v>27</v>
      </c>
      <c r="K489" t="s">
        <v>77</v>
      </c>
      <c r="L489" t="s">
        <v>77</v>
      </c>
      <c r="M489">
        <f>IFERROR( _xlfn.XLOOKUP(TRIM(tbl_HR_Data[[#This Row],[Age]]),#REF!,#REF!), VALUE(TRIM(tbl_HR_Data[[#This Row],[Age]])))</f>
        <v>40</v>
      </c>
      <c r="N489" t="str">
        <f>IFERROR(_xlfn.XLOOKUP(tbl_HR_Data[[#This Row],[Gender]], Mapping[Gender _Discarded], Mapping[Gender_Correction]), PROPER(TRIM(tbl_HR_Data[[#This Row],[Gender]])))</f>
        <v>Female</v>
      </c>
      <c r="O489" t="str">
        <f>TRIM(tbl_HR_Data[[#This Row],[Position]])</f>
        <v>Assistant</v>
      </c>
      <c r="P489" t="str">
        <f>IFERROR(_xlfn.XLOOKUP(tbl_HR_Data[[#This Row],[Email]], Mapping[Email_Discarded], Mapping[Email_Correction]), LOWER(TRIM(tbl_HR_Data[[#This Row],[Email]])))</f>
        <v>not provided</v>
      </c>
      <c r="Q48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89" t="str" cm="1">
        <f t="array" ref="R489">_xlfn.REDUCE(Q489, {"-","/","_","\","(",")"}, _xlfn.LAMBDA(_xlpm.txt,_xlpm.itm, SUBSTITUTE(_xlpm.txt, _xlpm.itm, "")))</f>
        <v>Not Provided</v>
      </c>
      <c r="S489" s="3">
        <f>IFERROR(_xlfn.XLOOKUP(tbl_HR_Data[[#This Row],[Joining Date]], Mapping[Joining_Discarded], Mapping[Joining_Correction]), VALUE(tbl_HR_Data[[#This Row],[Joining Date]]))</f>
        <v>43549</v>
      </c>
      <c r="T489" t="str">
        <f>TEXT(tbl_HR_Data[[#This Row],[Joining Date]], "mmm")</f>
        <v>Mar</v>
      </c>
      <c r="U489" t="str">
        <f>TEXT(tbl_HR_Data[[#This Row],[Joining Date]], "ddd")</f>
        <v>Mon</v>
      </c>
    </row>
    <row r="490" spans="1:21" x14ac:dyDescent="0.35">
      <c r="A490" t="s">
        <v>103</v>
      </c>
      <c r="B490">
        <v>25</v>
      </c>
      <c r="C490">
        <v>70000</v>
      </c>
      <c r="D490" t="s">
        <v>18</v>
      </c>
      <c r="E490" t="s">
        <v>19</v>
      </c>
      <c r="F490" t="s">
        <v>20</v>
      </c>
      <c r="G490" s="3">
        <v>43549</v>
      </c>
      <c r="H490" t="str">
        <f>TEXT(tbl_HR_Data[[#This Row],[Joining Date]], "mmm")</f>
        <v>Mar</v>
      </c>
      <c r="I490" t="s">
        <v>94</v>
      </c>
      <c r="J490" t="s">
        <v>27</v>
      </c>
      <c r="K490" t="s">
        <v>22</v>
      </c>
      <c r="L490" t="s">
        <v>89</v>
      </c>
      <c r="M490">
        <f>IFERROR( _xlfn.XLOOKUP(TRIM(tbl_HR_Data[[#This Row],[Age]]),#REF!,#REF!), VALUE(TRIM(tbl_HR_Data[[#This Row],[Age]])))</f>
        <v>25</v>
      </c>
      <c r="N490" t="str">
        <f>IFERROR(_xlfn.XLOOKUP(tbl_HR_Data[[#This Row],[Gender]], Mapping[Gender _Discarded], Mapping[Gender_Correction]), PROPER(TRIM(tbl_HR_Data[[#This Row],[Gender]])))</f>
        <v>Female</v>
      </c>
      <c r="O490" t="str">
        <f>TRIM(tbl_HR_Data[[#This Row],[Position]])</f>
        <v>Director</v>
      </c>
      <c r="P490" t="str">
        <f>IFERROR(_xlfn.XLOOKUP(tbl_HR_Data[[#This Row],[Email]], Mapping[Email_Discarded], Mapping[Email_Correction]), LOWER(TRIM(tbl_HR_Data[[#This Row],[Email]])))</f>
        <v>user@domain.com</v>
      </c>
      <c r="Q49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490" t="str" cm="1">
        <f t="array" ref="R490">_xlfn.REDUCE(Q490, {"-","/","_","\","(",")"}, _xlfn.LAMBDA(_xlpm.txt,_xlpm.itm, SUBSTITUTE(_xlpm.txt, _xlpm.itm, "")))</f>
        <v>5555555555</v>
      </c>
      <c r="S490" s="3">
        <f>IFERROR(_xlfn.XLOOKUP(tbl_HR_Data[[#This Row],[Joining Date]], Mapping[Joining_Discarded], Mapping[Joining_Correction]), VALUE(tbl_HR_Data[[#This Row],[Joining Date]]))</f>
        <v>43549</v>
      </c>
      <c r="T490" t="str">
        <f>TEXT(tbl_HR_Data[[#This Row],[Joining Date]], "mmm")</f>
        <v>Mar</v>
      </c>
      <c r="U490" t="str">
        <f>TEXT(tbl_HR_Data[[#This Row],[Joining Date]], "ddd")</f>
        <v>Mon</v>
      </c>
    </row>
    <row r="491" spans="1:21" x14ac:dyDescent="0.35">
      <c r="A491" t="s">
        <v>104</v>
      </c>
      <c r="B491">
        <v>0</v>
      </c>
      <c r="C491">
        <v>70000</v>
      </c>
      <c r="D491" t="s">
        <v>18</v>
      </c>
      <c r="E491" t="s">
        <v>12</v>
      </c>
      <c r="F491" t="s">
        <v>20</v>
      </c>
      <c r="G491" s="3">
        <v>43549</v>
      </c>
      <c r="H491" t="str">
        <f>TEXT(tbl_HR_Data[[#This Row],[Joining Date]], "mmm")</f>
        <v>Mar</v>
      </c>
      <c r="I491" t="s">
        <v>94</v>
      </c>
      <c r="J491" t="s">
        <v>27</v>
      </c>
      <c r="K491" t="s">
        <v>22</v>
      </c>
      <c r="L491" t="s">
        <v>77</v>
      </c>
      <c r="M491">
        <f>IFERROR( _xlfn.XLOOKUP(TRIM(tbl_HR_Data[[#This Row],[Age]]),#REF!,#REF!), VALUE(TRIM(tbl_HR_Data[[#This Row],[Age]])))</f>
        <v>0</v>
      </c>
      <c r="N491" t="str">
        <f>IFERROR(_xlfn.XLOOKUP(tbl_HR_Data[[#This Row],[Gender]], Mapping[Gender _Discarded], Mapping[Gender_Correction]), PROPER(TRIM(tbl_HR_Data[[#This Row],[Gender]])))</f>
        <v>Female</v>
      </c>
      <c r="O491" t="str">
        <f>TRIM(tbl_HR_Data[[#This Row],[Position]])</f>
        <v>Director</v>
      </c>
      <c r="P491" t="str">
        <f>IFERROR(_xlfn.XLOOKUP(tbl_HR_Data[[#This Row],[Email]], Mapping[Email_Discarded], Mapping[Email_Correction]), LOWER(TRIM(tbl_HR_Data[[#This Row],[Email]])))</f>
        <v>user@domain.com</v>
      </c>
      <c r="Q49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91" t="str" cm="1">
        <f t="array" ref="R491">_xlfn.REDUCE(Q491, {"-","/","_","\","(",")"}, _xlfn.LAMBDA(_xlpm.txt,_xlpm.itm, SUBSTITUTE(_xlpm.txt, _xlpm.itm, "")))</f>
        <v>Not Provided</v>
      </c>
      <c r="S491" s="3">
        <f>IFERROR(_xlfn.XLOOKUP(tbl_HR_Data[[#This Row],[Joining Date]], Mapping[Joining_Discarded], Mapping[Joining_Correction]), VALUE(tbl_HR_Data[[#This Row],[Joining Date]]))</f>
        <v>43549</v>
      </c>
      <c r="T491" t="str">
        <f>TEXT(tbl_HR_Data[[#This Row],[Joining Date]], "mmm")</f>
        <v>Mar</v>
      </c>
      <c r="U491" t="str">
        <f>TEXT(tbl_HR_Data[[#This Row],[Joining Date]], "ddd")</f>
        <v>Mon</v>
      </c>
    </row>
    <row r="492" spans="1:21" x14ac:dyDescent="0.35">
      <c r="A492" t="s">
        <v>100</v>
      </c>
      <c r="B492">
        <v>50</v>
      </c>
      <c r="C492">
        <v>65000</v>
      </c>
      <c r="D492" t="s">
        <v>11</v>
      </c>
      <c r="E492" t="s">
        <v>12</v>
      </c>
      <c r="F492" t="s">
        <v>43</v>
      </c>
      <c r="G492" s="3">
        <v>43549</v>
      </c>
      <c r="H492" t="str">
        <f>TEXT(tbl_HR_Data[[#This Row],[Joining Date]], "mmm")</f>
        <v>Mar</v>
      </c>
      <c r="I492" t="s">
        <v>94</v>
      </c>
      <c r="J492" t="s">
        <v>41</v>
      </c>
      <c r="K492" t="s">
        <v>15</v>
      </c>
      <c r="L492" t="s">
        <v>89</v>
      </c>
      <c r="M492">
        <f>IFERROR( _xlfn.XLOOKUP(TRIM(tbl_HR_Data[[#This Row],[Age]]),#REF!,#REF!), VALUE(TRIM(tbl_HR_Data[[#This Row],[Age]])))</f>
        <v>50</v>
      </c>
      <c r="N492" t="str">
        <f>IFERROR(_xlfn.XLOOKUP(tbl_HR_Data[[#This Row],[Gender]], Mapping[Gender _Discarded], Mapping[Gender_Correction]), PROPER(TRIM(tbl_HR_Data[[#This Row],[Gender]])))</f>
        <v>Male</v>
      </c>
      <c r="O492" t="str">
        <f>TRIM(tbl_HR_Data[[#This Row],[Position]])</f>
        <v>Assistant</v>
      </c>
      <c r="P492" t="str">
        <f>IFERROR(_xlfn.XLOOKUP(tbl_HR_Data[[#This Row],[Email]], Mapping[Email_Discarded], Mapping[Email_Correction]), LOWER(TRIM(tbl_HR_Data[[#This Row],[Email]])))</f>
        <v>email@example.com</v>
      </c>
      <c r="Q49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492" t="str" cm="1">
        <f t="array" ref="R492">_xlfn.REDUCE(Q492, {"-","/","_","\","(",")"}, _xlfn.LAMBDA(_xlpm.txt,_xlpm.itm, SUBSTITUTE(_xlpm.txt, _xlpm.itm, "")))</f>
        <v>5555555555</v>
      </c>
      <c r="S492" s="3">
        <f>IFERROR(_xlfn.XLOOKUP(tbl_HR_Data[[#This Row],[Joining Date]], Mapping[Joining_Discarded], Mapping[Joining_Correction]), VALUE(tbl_HR_Data[[#This Row],[Joining Date]]))</f>
        <v>43549</v>
      </c>
      <c r="T492" t="str">
        <f>TEXT(tbl_HR_Data[[#This Row],[Joining Date]], "mmm")</f>
        <v>Mar</v>
      </c>
      <c r="U492" t="str">
        <f>TEXT(tbl_HR_Data[[#This Row],[Joining Date]], "ddd")</f>
        <v>Mon</v>
      </c>
    </row>
    <row r="493" spans="1:21" x14ac:dyDescent="0.35">
      <c r="A493" t="s">
        <v>104</v>
      </c>
      <c r="B493">
        <v>25</v>
      </c>
      <c r="C493">
        <v>70000</v>
      </c>
      <c r="D493" t="s">
        <v>36</v>
      </c>
      <c r="E493" t="s">
        <v>30</v>
      </c>
      <c r="F493" t="s">
        <v>20</v>
      </c>
      <c r="G493" s="3">
        <v>43549</v>
      </c>
      <c r="H493" t="str">
        <f>TEXT(tbl_HR_Data[[#This Row],[Joining Date]], "mmm")</f>
        <v>Mar</v>
      </c>
      <c r="I493" t="s">
        <v>94</v>
      </c>
      <c r="J493" t="s">
        <v>14</v>
      </c>
      <c r="K493" t="s">
        <v>32</v>
      </c>
      <c r="L493" t="s">
        <v>77</v>
      </c>
      <c r="M493">
        <f>IFERROR( _xlfn.XLOOKUP(TRIM(tbl_HR_Data[[#This Row],[Age]]),#REF!,#REF!), VALUE(TRIM(tbl_HR_Data[[#This Row],[Age]])))</f>
        <v>25</v>
      </c>
      <c r="N493" t="str">
        <f>IFERROR(_xlfn.XLOOKUP(tbl_HR_Data[[#This Row],[Gender]], Mapping[Gender _Discarded], Mapping[Gender_Correction]), PROPER(TRIM(tbl_HR_Data[[#This Row],[Gender]])))</f>
        <v>Other</v>
      </c>
      <c r="O493" t="str">
        <f>TRIM(tbl_HR_Data[[#This Row],[Position]])</f>
        <v>Director</v>
      </c>
      <c r="P493" t="str">
        <f>IFERROR(_xlfn.XLOOKUP(tbl_HR_Data[[#This Row],[Email]], Mapping[Email_Discarded], Mapping[Email_Correction]), LOWER(TRIM(tbl_HR_Data[[#This Row],[Email]])))</f>
        <v>name@company.org</v>
      </c>
      <c r="Q49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93" t="str" cm="1">
        <f t="array" ref="R493">_xlfn.REDUCE(Q493, {"-","/","_","\","(",")"}, _xlfn.LAMBDA(_xlpm.txt,_xlpm.itm, SUBSTITUTE(_xlpm.txt, _xlpm.itm, "")))</f>
        <v>Not Provided</v>
      </c>
      <c r="S493" s="3">
        <f>IFERROR(_xlfn.XLOOKUP(tbl_HR_Data[[#This Row],[Joining Date]], Mapping[Joining_Discarded], Mapping[Joining_Correction]), VALUE(tbl_HR_Data[[#This Row],[Joining Date]]))</f>
        <v>43549</v>
      </c>
      <c r="T493" t="str">
        <f>TEXT(tbl_HR_Data[[#This Row],[Joining Date]], "mmm")</f>
        <v>Mar</v>
      </c>
      <c r="U493" t="str">
        <f>TEXT(tbl_HR_Data[[#This Row],[Joining Date]], "ddd")</f>
        <v>Mon</v>
      </c>
    </row>
    <row r="494" spans="1:21" x14ac:dyDescent="0.35">
      <c r="A494" t="s">
        <v>104</v>
      </c>
      <c r="B494">
        <v>40</v>
      </c>
      <c r="C494">
        <v>55000</v>
      </c>
      <c r="D494" t="s">
        <v>11</v>
      </c>
      <c r="E494" t="s">
        <v>26</v>
      </c>
      <c r="F494" t="s">
        <v>43</v>
      </c>
      <c r="G494" s="3">
        <v>43549</v>
      </c>
      <c r="H494" t="str">
        <f>TEXT(tbl_HR_Data[[#This Row],[Joining Date]], "mmm")</f>
        <v>Mar</v>
      </c>
      <c r="I494" t="s">
        <v>94</v>
      </c>
      <c r="J494" t="s">
        <v>31</v>
      </c>
      <c r="K494" t="s">
        <v>77</v>
      </c>
      <c r="L494" t="s">
        <v>88</v>
      </c>
      <c r="M494">
        <f>IFERROR( _xlfn.XLOOKUP(TRIM(tbl_HR_Data[[#This Row],[Age]]),#REF!,#REF!), VALUE(TRIM(tbl_HR_Data[[#This Row],[Age]])))</f>
        <v>40</v>
      </c>
      <c r="N494" t="str">
        <f>IFERROR(_xlfn.XLOOKUP(tbl_HR_Data[[#This Row],[Gender]], Mapping[Gender _Discarded], Mapping[Gender_Correction]), PROPER(TRIM(tbl_HR_Data[[#This Row],[Gender]])))</f>
        <v>Male</v>
      </c>
      <c r="O494" t="str">
        <f>TRIM(tbl_HR_Data[[#This Row],[Position]])</f>
        <v>Assistant</v>
      </c>
      <c r="P494" t="str">
        <f>IFERROR(_xlfn.XLOOKUP(tbl_HR_Data[[#This Row],[Email]], Mapping[Email_Discarded], Mapping[Email_Correction]), LOWER(TRIM(tbl_HR_Data[[#This Row],[Email]])))</f>
        <v>not provided</v>
      </c>
      <c r="Q49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494" t="str" cm="1">
        <f t="array" ref="R494">_xlfn.REDUCE(Q494, {"-","/","_","\","(",")"}, _xlfn.LAMBDA(_xlpm.txt,_xlpm.itm, SUBSTITUTE(_xlpm.txt, _xlpm.itm, "")))</f>
        <v>0987654321</v>
      </c>
      <c r="S494" s="3">
        <f>IFERROR(_xlfn.XLOOKUP(tbl_HR_Data[[#This Row],[Joining Date]], Mapping[Joining_Discarded], Mapping[Joining_Correction]), VALUE(tbl_HR_Data[[#This Row],[Joining Date]]))</f>
        <v>43549</v>
      </c>
      <c r="T494" t="str">
        <f>TEXT(tbl_HR_Data[[#This Row],[Joining Date]], "mmm")</f>
        <v>Mar</v>
      </c>
      <c r="U494" t="str">
        <f>TEXT(tbl_HR_Data[[#This Row],[Joining Date]], "ddd")</f>
        <v>Mon</v>
      </c>
    </row>
    <row r="495" spans="1:21" x14ac:dyDescent="0.35">
      <c r="A495" t="s">
        <v>101</v>
      </c>
      <c r="B495">
        <v>25</v>
      </c>
      <c r="C495">
        <v>0</v>
      </c>
      <c r="D495" t="s">
        <v>18</v>
      </c>
      <c r="E495" t="s">
        <v>19</v>
      </c>
      <c r="F495" t="s">
        <v>44</v>
      </c>
      <c r="G495" s="3">
        <v>43549</v>
      </c>
      <c r="H495" t="str">
        <f>TEXT(tbl_HR_Data[[#This Row],[Joining Date]], "mmm")</f>
        <v>Mar</v>
      </c>
      <c r="I495" t="s">
        <v>94</v>
      </c>
      <c r="J495" t="s">
        <v>21</v>
      </c>
      <c r="K495" t="s">
        <v>32</v>
      </c>
      <c r="L495" t="s">
        <v>77</v>
      </c>
      <c r="M495">
        <f>IFERROR( _xlfn.XLOOKUP(TRIM(tbl_HR_Data[[#This Row],[Age]]),#REF!,#REF!), VALUE(TRIM(tbl_HR_Data[[#This Row],[Age]])))</f>
        <v>25</v>
      </c>
      <c r="N495" t="str">
        <f>IFERROR(_xlfn.XLOOKUP(tbl_HR_Data[[#This Row],[Gender]], Mapping[Gender _Discarded], Mapping[Gender_Correction]), PROPER(TRIM(tbl_HR_Data[[#This Row],[Gender]])))</f>
        <v>Female</v>
      </c>
      <c r="O495" t="str">
        <f>TRIM(tbl_HR_Data[[#This Row],[Position]])</f>
        <v>Analyst</v>
      </c>
      <c r="P495" t="str">
        <f>IFERROR(_xlfn.XLOOKUP(tbl_HR_Data[[#This Row],[Email]], Mapping[Email_Discarded], Mapping[Email_Correction]), LOWER(TRIM(tbl_HR_Data[[#This Row],[Email]])))</f>
        <v>name@company.org</v>
      </c>
      <c r="Q49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95" t="str" cm="1">
        <f t="array" ref="R495">_xlfn.REDUCE(Q495, {"-","/","_","\","(",")"}, _xlfn.LAMBDA(_xlpm.txt,_xlpm.itm, SUBSTITUTE(_xlpm.txt, _xlpm.itm, "")))</f>
        <v>Not Provided</v>
      </c>
      <c r="S495" s="3">
        <f>IFERROR(_xlfn.XLOOKUP(tbl_HR_Data[[#This Row],[Joining Date]], Mapping[Joining_Discarded], Mapping[Joining_Correction]), VALUE(tbl_HR_Data[[#This Row],[Joining Date]]))</f>
        <v>43549</v>
      </c>
      <c r="T495" t="str">
        <f>TEXT(tbl_HR_Data[[#This Row],[Joining Date]], "mmm")</f>
        <v>Mar</v>
      </c>
      <c r="U495" t="str">
        <f>TEXT(tbl_HR_Data[[#This Row],[Joining Date]], "ddd")</f>
        <v>Mon</v>
      </c>
    </row>
    <row r="496" spans="1:21" x14ac:dyDescent="0.35">
      <c r="A496" t="s">
        <v>100</v>
      </c>
      <c r="B496">
        <v>35</v>
      </c>
      <c r="C496">
        <v>70000</v>
      </c>
      <c r="D496" t="s">
        <v>36</v>
      </c>
      <c r="E496" t="s">
        <v>37</v>
      </c>
      <c r="F496" t="s">
        <v>20</v>
      </c>
      <c r="G496" s="3">
        <v>43549</v>
      </c>
      <c r="H496" t="str">
        <f>TEXT(tbl_HR_Data[[#This Row],[Joining Date]], "mmm")</f>
        <v>Mar</v>
      </c>
      <c r="I496" t="s">
        <v>94</v>
      </c>
      <c r="J496" t="s">
        <v>31</v>
      </c>
      <c r="K496" t="s">
        <v>32</v>
      </c>
      <c r="L496" t="s">
        <v>77</v>
      </c>
      <c r="M496">
        <f>IFERROR( _xlfn.XLOOKUP(TRIM(tbl_HR_Data[[#This Row],[Age]]),#REF!,#REF!), VALUE(TRIM(tbl_HR_Data[[#This Row],[Age]])))</f>
        <v>35</v>
      </c>
      <c r="N496" t="str">
        <f>IFERROR(_xlfn.XLOOKUP(tbl_HR_Data[[#This Row],[Gender]], Mapping[Gender _Discarded], Mapping[Gender_Correction]), PROPER(TRIM(tbl_HR_Data[[#This Row],[Gender]])))</f>
        <v>Other</v>
      </c>
      <c r="O496" t="str">
        <f>TRIM(tbl_HR_Data[[#This Row],[Position]])</f>
        <v>Director</v>
      </c>
      <c r="P496" t="str">
        <f>IFERROR(_xlfn.XLOOKUP(tbl_HR_Data[[#This Row],[Email]], Mapping[Email_Discarded], Mapping[Email_Correction]), LOWER(TRIM(tbl_HR_Data[[#This Row],[Email]])))</f>
        <v>name@company.org</v>
      </c>
      <c r="Q49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96" t="str" cm="1">
        <f t="array" ref="R496">_xlfn.REDUCE(Q496, {"-","/","_","\","(",")"}, _xlfn.LAMBDA(_xlpm.txt,_xlpm.itm, SUBSTITUTE(_xlpm.txt, _xlpm.itm, "")))</f>
        <v>Not Provided</v>
      </c>
      <c r="S496" s="3">
        <f>IFERROR(_xlfn.XLOOKUP(tbl_HR_Data[[#This Row],[Joining Date]], Mapping[Joining_Discarded], Mapping[Joining_Correction]), VALUE(tbl_HR_Data[[#This Row],[Joining Date]]))</f>
        <v>43549</v>
      </c>
      <c r="T496" t="str">
        <f>TEXT(tbl_HR_Data[[#This Row],[Joining Date]], "mmm")</f>
        <v>Mar</v>
      </c>
      <c r="U496" t="str">
        <f>TEXT(tbl_HR_Data[[#This Row],[Joining Date]], "ddd")</f>
        <v>Mon</v>
      </c>
    </row>
    <row r="497" spans="1:21" x14ac:dyDescent="0.35">
      <c r="A497" t="s">
        <v>104</v>
      </c>
      <c r="B497">
        <v>35</v>
      </c>
      <c r="C497">
        <v>50000</v>
      </c>
      <c r="D497" t="s">
        <v>18</v>
      </c>
      <c r="E497" t="s">
        <v>30</v>
      </c>
      <c r="F497" t="s">
        <v>43</v>
      </c>
      <c r="G497" s="3">
        <v>43549</v>
      </c>
      <c r="H497" t="str">
        <f>TEXT(tbl_HR_Data[[#This Row],[Joining Date]], "mmm")</f>
        <v>Mar</v>
      </c>
      <c r="I497" t="s">
        <v>94</v>
      </c>
      <c r="J497" t="s">
        <v>41</v>
      </c>
      <c r="K497" t="s">
        <v>15</v>
      </c>
      <c r="L497" t="s">
        <v>77</v>
      </c>
      <c r="M497">
        <f>IFERROR( _xlfn.XLOOKUP(TRIM(tbl_HR_Data[[#This Row],[Age]]),#REF!,#REF!), VALUE(TRIM(tbl_HR_Data[[#This Row],[Age]])))</f>
        <v>35</v>
      </c>
      <c r="N497" t="str">
        <f>IFERROR(_xlfn.XLOOKUP(tbl_HR_Data[[#This Row],[Gender]], Mapping[Gender _Discarded], Mapping[Gender_Correction]), PROPER(TRIM(tbl_HR_Data[[#This Row],[Gender]])))</f>
        <v>Female</v>
      </c>
      <c r="O497" t="str">
        <f>TRIM(tbl_HR_Data[[#This Row],[Position]])</f>
        <v>Assistant</v>
      </c>
      <c r="P497" t="str">
        <f>IFERROR(_xlfn.XLOOKUP(tbl_HR_Data[[#This Row],[Email]], Mapping[Email_Discarded], Mapping[Email_Correction]), LOWER(TRIM(tbl_HR_Data[[#This Row],[Email]])))</f>
        <v>email@example.com</v>
      </c>
      <c r="Q49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497" t="str" cm="1">
        <f t="array" ref="R497">_xlfn.REDUCE(Q497, {"-","/","_","\","(",")"}, _xlfn.LAMBDA(_xlpm.txt,_xlpm.itm, SUBSTITUTE(_xlpm.txt, _xlpm.itm, "")))</f>
        <v>Not Provided</v>
      </c>
      <c r="S497" s="3">
        <f>IFERROR(_xlfn.XLOOKUP(tbl_HR_Data[[#This Row],[Joining Date]], Mapping[Joining_Discarded], Mapping[Joining_Correction]), VALUE(tbl_HR_Data[[#This Row],[Joining Date]]))</f>
        <v>43549</v>
      </c>
      <c r="T497" t="str">
        <f>TEXT(tbl_HR_Data[[#This Row],[Joining Date]], "mmm")</f>
        <v>Mar</v>
      </c>
      <c r="U497" t="str">
        <f>TEXT(tbl_HR_Data[[#This Row],[Joining Date]], "ddd")</f>
        <v>Mon</v>
      </c>
    </row>
    <row r="498" spans="1:21" x14ac:dyDescent="0.35">
      <c r="A498" t="s">
        <v>106</v>
      </c>
      <c r="B498">
        <v>40</v>
      </c>
      <c r="C498">
        <v>70000</v>
      </c>
      <c r="D498" t="s">
        <v>18</v>
      </c>
      <c r="E498" t="s">
        <v>37</v>
      </c>
      <c r="F498" t="s">
        <v>20</v>
      </c>
      <c r="G498" s="3">
        <v>43549</v>
      </c>
      <c r="H498" t="str">
        <f>TEXT(tbl_HR_Data[[#This Row],[Joining Date]], "mmm")</f>
        <v>Mar</v>
      </c>
      <c r="I498" t="s">
        <v>94</v>
      </c>
      <c r="J498" t="s">
        <v>21</v>
      </c>
      <c r="K498" t="s">
        <v>32</v>
      </c>
      <c r="L498" t="s">
        <v>87</v>
      </c>
      <c r="M498">
        <f>IFERROR( _xlfn.XLOOKUP(TRIM(tbl_HR_Data[[#This Row],[Age]]),#REF!,#REF!), VALUE(TRIM(tbl_HR_Data[[#This Row],[Age]])))</f>
        <v>40</v>
      </c>
      <c r="N498" t="str">
        <f>IFERROR(_xlfn.XLOOKUP(tbl_HR_Data[[#This Row],[Gender]], Mapping[Gender _Discarded], Mapping[Gender_Correction]), PROPER(TRIM(tbl_HR_Data[[#This Row],[Gender]])))</f>
        <v>Female</v>
      </c>
      <c r="O498" t="str">
        <f>TRIM(tbl_HR_Data[[#This Row],[Position]])</f>
        <v>Director</v>
      </c>
      <c r="P498" t="str">
        <f>IFERROR(_xlfn.XLOOKUP(tbl_HR_Data[[#This Row],[Email]], Mapping[Email_Discarded], Mapping[Email_Correction]), LOWER(TRIM(tbl_HR_Data[[#This Row],[Email]])))</f>
        <v>name@company.org</v>
      </c>
      <c r="Q49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498" t="str" cm="1">
        <f t="array" ref="R498">_xlfn.REDUCE(Q498, {"-","/","_","\","(",")"}, _xlfn.LAMBDA(_xlpm.txt,_xlpm.itm, SUBSTITUTE(_xlpm.txt, _xlpm.itm, "")))</f>
        <v>1234567890</v>
      </c>
      <c r="S498" s="3">
        <f>IFERROR(_xlfn.XLOOKUP(tbl_HR_Data[[#This Row],[Joining Date]], Mapping[Joining_Discarded], Mapping[Joining_Correction]), VALUE(tbl_HR_Data[[#This Row],[Joining Date]]))</f>
        <v>43549</v>
      </c>
      <c r="T498" t="str">
        <f>TEXT(tbl_HR_Data[[#This Row],[Joining Date]], "mmm")</f>
        <v>Mar</v>
      </c>
      <c r="U498" t="str">
        <f>TEXT(tbl_HR_Data[[#This Row],[Joining Date]], "ddd")</f>
        <v>Mon</v>
      </c>
    </row>
    <row r="499" spans="1:21" x14ac:dyDescent="0.35">
      <c r="A499" t="s">
        <v>107</v>
      </c>
      <c r="B499">
        <v>30</v>
      </c>
      <c r="C499">
        <v>55000</v>
      </c>
      <c r="D499" t="s">
        <v>36</v>
      </c>
      <c r="E499" t="s">
        <v>30</v>
      </c>
      <c r="F499" t="s">
        <v>20</v>
      </c>
      <c r="G499" s="3">
        <v>43549</v>
      </c>
      <c r="H499" t="str">
        <f>TEXT(tbl_HR_Data[[#This Row],[Joining Date]], "mmm")</f>
        <v>Mar</v>
      </c>
      <c r="I499" t="s">
        <v>94</v>
      </c>
      <c r="J499" t="s">
        <v>21</v>
      </c>
      <c r="K499" t="s">
        <v>77</v>
      </c>
      <c r="L499" t="s">
        <v>89</v>
      </c>
      <c r="M499">
        <f>IFERROR( _xlfn.XLOOKUP(TRIM(tbl_HR_Data[[#This Row],[Age]]),#REF!,#REF!), VALUE(TRIM(tbl_HR_Data[[#This Row],[Age]])))</f>
        <v>30</v>
      </c>
      <c r="N499" t="str">
        <f>IFERROR(_xlfn.XLOOKUP(tbl_HR_Data[[#This Row],[Gender]], Mapping[Gender _Discarded], Mapping[Gender_Correction]), PROPER(TRIM(tbl_HR_Data[[#This Row],[Gender]])))</f>
        <v>Other</v>
      </c>
      <c r="O499" t="str">
        <f>TRIM(tbl_HR_Data[[#This Row],[Position]])</f>
        <v>Director</v>
      </c>
      <c r="P499" t="str">
        <f>IFERROR(_xlfn.XLOOKUP(tbl_HR_Data[[#This Row],[Email]], Mapping[Email_Discarded], Mapping[Email_Correction]), LOWER(TRIM(tbl_HR_Data[[#This Row],[Email]])))</f>
        <v>not provided</v>
      </c>
      <c r="Q49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499" t="str" cm="1">
        <f t="array" ref="R499">_xlfn.REDUCE(Q499, {"-","/","_","\","(",")"}, _xlfn.LAMBDA(_xlpm.txt,_xlpm.itm, SUBSTITUTE(_xlpm.txt, _xlpm.itm, "")))</f>
        <v>5555555555</v>
      </c>
      <c r="S499" s="3">
        <f>IFERROR(_xlfn.XLOOKUP(tbl_HR_Data[[#This Row],[Joining Date]], Mapping[Joining_Discarded], Mapping[Joining_Correction]), VALUE(tbl_HR_Data[[#This Row],[Joining Date]]))</f>
        <v>43549</v>
      </c>
      <c r="T499" t="str">
        <f>TEXT(tbl_HR_Data[[#This Row],[Joining Date]], "mmm")</f>
        <v>Mar</v>
      </c>
      <c r="U499" t="str">
        <f>TEXT(tbl_HR_Data[[#This Row],[Joining Date]], "ddd")</f>
        <v>Mon</v>
      </c>
    </row>
    <row r="500" spans="1:21" x14ac:dyDescent="0.35">
      <c r="A500" t="s">
        <v>103</v>
      </c>
      <c r="B500">
        <v>50</v>
      </c>
      <c r="C500">
        <v>60000</v>
      </c>
      <c r="D500" t="s">
        <v>11</v>
      </c>
      <c r="E500" t="s">
        <v>30</v>
      </c>
      <c r="F500" t="s">
        <v>13</v>
      </c>
      <c r="G500" s="3">
        <v>43549</v>
      </c>
      <c r="H500" t="str">
        <f>TEXT(tbl_HR_Data[[#This Row],[Joining Date]], "mmm")</f>
        <v>Mar</v>
      </c>
      <c r="I500" t="s">
        <v>94</v>
      </c>
      <c r="J500" t="s">
        <v>27</v>
      </c>
      <c r="K500" t="s">
        <v>32</v>
      </c>
      <c r="L500" t="s">
        <v>87</v>
      </c>
      <c r="M500">
        <f>IFERROR( _xlfn.XLOOKUP(TRIM(tbl_HR_Data[[#This Row],[Age]]),#REF!,#REF!), VALUE(TRIM(tbl_HR_Data[[#This Row],[Age]])))</f>
        <v>50</v>
      </c>
      <c r="N500" t="str">
        <f>IFERROR(_xlfn.XLOOKUP(tbl_HR_Data[[#This Row],[Gender]], Mapping[Gender _Discarded], Mapping[Gender_Correction]), PROPER(TRIM(tbl_HR_Data[[#This Row],[Gender]])))</f>
        <v>Male</v>
      </c>
      <c r="O500" t="str">
        <f>TRIM(tbl_HR_Data[[#This Row],[Position]])</f>
        <v>Manager</v>
      </c>
      <c r="P500" t="str">
        <f>IFERROR(_xlfn.XLOOKUP(tbl_HR_Data[[#This Row],[Email]], Mapping[Email_Discarded], Mapping[Email_Correction]), LOWER(TRIM(tbl_HR_Data[[#This Row],[Email]])))</f>
        <v>name@company.org</v>
      </c>
      <c r="Q50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00" t="str" cm="1">
        <f t="array" ref="R500">_xlfn.REDUCE(Q500, {"-","/","_","\","(",")"}, _xlfn.LAMBDA(_xlpm.txt,_xlpm.itm, SUBSTITUTE(_xlpm.txt, _xlpm.itm, "")))</f>
        <v>1234567890</v>
      </c>
      <c r="S500" s="3">
        <f>IFERROR(_xlfn.XLOOKUP(tbl_HR_Data[[#This Row],[Joining Date]], Mapping[Joining_Discarded], Mapping[Joining_Correction]), VALUE(tbl_HR_Data[[#This Row],[Joining Date]]))</f>
        <v>43549</v>
      </c>
      <c r="T500" t="str">
        <f>TEXT(tbl_HR_Data[[#This Row],[Joining Date]], "mmm")</f>
        <v>Mar</v>
      </c>
      <c r="U500" t="str">
        <f>TEXT(tbl_HR_Data[[#This Row],[Joining Date]], "ddd")</f>
        <v>Mon</v>
      </c>
    </row>
    <row r="501" spans="1:21" x14ac:dyDescent="0.35">
      <c r="A501" t="s">
        <v>103</v>
      </c>
      <c r="B501">
        <v>30</v>
      </c>
      <c r="C501">
        <v>60000</v>
      </c>
      <c r="D501" t="s">
        <v>11</v>
      </c>
      <c r="E501" t="s">
        <v>37</v>
      </c>
      <c r="F501" t="s">
        <v>20</v>
      </c>
      <c r="G501" s="3">
        <v>43549</v>
      </c>
      <c r="H501" t="str">
        <f>TEXT(tbl_HR_Data[[#This Row],[Joining Date]], "mmm")</f>
        <v>Mar</v>
      </c>
      <c r="I501" t="s">
        <v>94</v>
      </c>
      <c r="J501" t="s">
        <v>41</v>
      </c>
      <c r="K501" t="s">
        <v>15</v>
      </c>
      <c r="L501" t="s">
        <v>88</v>
      </c>
      <c r="M501">
        <f>IFERROR( _xlfn.XLOOKUP(TRIM(tbl_HR_Data[[#This Row],[Age]]),#REF!,#REF!), VALUE(TRIM(tbl_HR_Data[[#This Row],[Age]])))</f>
        <v>30</v>
      </c>
      <c r="N501" t="str">
        <f>IFERROR(_xlfn.XLOOKUP(tbl_HR_Data[[#This Row],[Gender]], Mapping[Gender _Discarded], Mapping[Gender_Correction]), PROPER(TRIM(tbl_HR_Data[[#This Row],[Gender]])))</f>
        <v>Male</v>
      </c>
      <c r="O501" t="str">
        <f>TRIM(tbl_HR_Data[[#This Row],[Position]])</f>
        <v>Director</v>
      </c>
      <c r="P501" t="str">
        <f>IFERROR(_xlfn.XLOOKUP(tbl_HR_Data[[#This Row],[Email]], Mapping[Email_Discarded], Mapping[Email_Correction]), LOWER(TRIM(tbl_HR_Data[[#This Row],[Email]])))</f>
        <v>email@example.com</v>
      </c>
      <c r="Q50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501" t="str" cm="1">
        <f t="array" ref="R501">_xlfn.REDUCE(Q501, {"-","/","_","\","(",")"}, _xlfn.LAMBDA(_xlpm.txt,_xlpm.itm, SUBSTITUTE(_xlpm.txt, _xlpm.itm, "")))</f>
        <v>0987654321</v>
      </c>
      <c r="S501" s="3">
        <f>IFERROR(_xlfn.XLOOKUP(tbl_HR_Data[[#This Row],[Joining Date]], Mapping[Joining_Discarded], Mapping[Joining_Correction]), VALUE(tbl_HR_Data[[#This Row],[Joining Date]]))</f>
        <v>43549</v>
      </c>
      <c r="T501" t="str">
        <f>TEXT(tbl_HR_Data[[#This Row],[Joining Date]], "mmm")</f>
        <v>Mar</v>
      </c>
      <c r="U501" t="str">
        <f>TEXT(tbl_HR_Data[[#This Row],[Joining Date]], "ddd")</f>
        <v>Mon</v>
      </c>
    </row>
    <row r="502" spans="1:21" x14ac:dyDescent="0.35">
      <c r="A502" t="s">
        <v>108</v>
      </c>
      <c r="B502">
        <v>50</v>
      </c>
      <c r="C502">
        <v>65000</v>
      </c>
      <c r="D502" t="s">
        <v>36</v>
      </c>
      <c r="E502" t="s">
        <v>30</v>
      </c>
      <c r="F502" t="s">
        <v>44</v>
      </c>
      <c r="G502" s="3">
        <v>43549</v>
      </c>
      <c r="H502" t="str">
        <f>TEXT(tbl_HR_Data[[#This Row],[Joining Date]], "mmm")</f>
        <v>Mar</v>
      </c>
      <c r="I502" t="s">
        <v>94</v>
      </c>
      <c r="J502" t="s">
        <v>14</v>
      </c>
      <c r="K502" t="s">
        <v>22</v>
      </c>
      <c r="L502" t="s">
        <v>89</v>
      </c>
      <c r="M502">
        <f>IFERROR( _xlfn.XLOOKUP(TRIM(tbl_HR_Data[[#This Row],[Age]]),#REF!,#REF!), VALUE(TRIM(tbl_HR_Data[[#This Row],[Age]])))</f>
        <v>50</v>
      </c>
      <c r="N502" t="str">
        <f>IFERROR(_xlfn.XLOOKUP(tbl_HR_Data[[#This Row],[Gender]], Mapping[Gender _Discarded], Mapping[Gender_Correction]), PROPER(TRIM(tbl_HR_Data[[#This Row],[Gender]])))</f>
        <v>Other</v>
      </c>
      <c r="O502" t="str">
        <f>TRIM(tbl_HR_Data[[#This Row],[Position]])</f>
        <v>Analyst</v>
      </c>
      <c r="P502" t="str">
        <f>IFERROR(_xlfn.XLOOKUP(tbl_HR_Data[[#This Row],[Email]], Mapping[Email_Discarded], Mapping[Email_Correction]), LOWER(TRIM(tbl_HR_Data[[#This Row],[Email]])))</f>
        <v>user@domain.com</v>
      </c>
      <c r="Q50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502" t="str" cm="1">
        <f t="array" ref="R502">_xlfn.REDUCE(Q502, {"-","/","_","\","(",")"}, _xlfn.LAMBDA(_xlpm.txt,_xlpm.itm, SUBSTITUTE(_xlpm.txt, _xlpm.itm, "")))</f>
        <v>5555555555</v>
      </c>
      <c r="S502" s="3">
        <f>IFERROR(_xlfn.XLOOKUP(tbl_HR_Data[[#This Row],[Joining Date]], Mapping[Joining_Discarded], Mapping[Joining_Correction]), VALUE(tbl_HR_Data[[#This Row],[Joining Date]]))</f>
        <v>43549</v>
      </c>
      <c r="T502" t="str">
        <f>TEXT(tbl_HR_Data[[#This Row],[Joining Date]], "mmm")</f>
        <v>Mar</v>
      </c>
      <c r="U502" t="str">
        <f>TEXT(tbl_HR_Data[[#This Row],[Joining Date]], "ddd")</f>
        <v>Mon</v>
      </c>
    </row>
    <row r="503" spans="1:21" x14ac:dyDescent="0.35">
      <c r="A503" t="s">
        <v>106</v>
      </c>
      <c r="B503">
        <v>35</v>
      </c>
      <c r="C503">
        <v>60000</v>
      </c>
      <c r="D503" t="s">
        <v>36</v>
      </c>
      <c r="E503" t="s">
        <v>37</v>
      </c>
      <c r="F503" t="s">
        <v>44</v>
      </c>
      <c r="G503" s="3">
        <v>43549</v>
      </c>
      <c r="H503" t="str">
        <f>TEXT(tbl_HR_Data[[#This Row],[Joining Date]], "mmm")</f>
        <v>Mar</v>
      </c>
      <c r="I503" t="s">
        <v>94</v>
      </c>
      <c r="J503" t="s">
        <v>21</v>
      </c>
      <c r="K503" t="s">
        <v>22</v>
      </c>
      <c r="L503" t="s">
        <v>89</v>
      </c>
      <c r="M503">
        <f>IFERROR( _xlfn.XLOOKUP(TRIM(tbl_HR_Data[[#This Row],[Age]]),#REF!,#REF!), VALUE(TRIM(tbl_HR_Data[[#This Row],[Age]])))</f>
        <v>35</v>
      </c>
      <c r="N503" t="str">
        <f>IFERROR(_xlfn.XLOOKUP(tbl_HR_Data[[#This Row],[Gender]], Mapping[Gender _Discarded], Mapping[Gender_Correction]), PROPER(TRIM(tbl_HR_Data[[#This Row],[Gender]])))</f>
        <v>Other</v>
      </c>
      <c r="O503" t="str">
        <f>TRIM(tbl_HR_Data[[#This Row],[Position]])</f>
        <v>Analyst</v>
      </c>
      <c r="P503" t="str">
        <f>IFERROR(_xlfn.XLOOKUP(tbl_HR_Data[[#This Row],[Email]], Mapping[Email_Discarded], Mapping[Email_Correction]), LOWER(TRIM(tbl_HR_Data[[#This Row],[Email]])))</f>
        <v>user@domain.com</v>
      </c>
      <c r="Q50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503" t="str" cm="1">
        <f t="array" ref="R503">_xlfn.REDUCE(Q503, {"-","/","_","\","(",")"}, _xlfn.LAMBDA(_xlpm.txt,_xlpm.itm, SUBSTITUTE(_xlpm.txt, _xlpm.itm, "")))</f>
        <v>5555555555</v>
      </c>
      <c r="S503" s="3">
        <f>IFERROR(_xlfn.XLOOKUP(tbl_HR_Data[[#This Row],[Joining Date]], Mapping[Joining_Discarded], Mapping[Joining_Correction]), VALUE(tbl_HR_Data[[#This Row],[Joining Date]]))</f>
        <v>43549</v>
      </c>
      <c r="T503" t="str">
        <f>TEXT(tbl_HR_Data[[#This Row],[Joining Date]], "mmm")</f>
        <v>Mar</v>
      </c>
      <c r="U503" t="str">
        <f>TEXT(tbl_HR_Data[[#This Row],[Joining Date]], "ddd")</f>
        <v>Mon</v>
      </c>
    </row>
    <row r="504" spans="1:21" x14ac:dyDescent="0.35">
      <c r="A504" t="s">
        <v>100</v>
      </c>
      <c r="B504">
        <v>35</v>
      </c>
      <c r="C504">
        <v>70000</v>
      </c>
      <c r="D504" t="s">
        <v>11</v>
      </c>
      <c r="E504" t="s">
        <v>12</v>
      </c>
      <c r="F504" t="s">
        <v>43</v>
      </c>
      <c r="G504" s="3">
        <v>43549</v>
      </c>
      <c r="H504" t="str">
        <f>TEXT(tbl_HR_Data[[#This Row],[Joining Date]], "mmm")</f>
        <v>Mar</v>
      </c>
      <c r="I504" t="s">
        <v>94</v>
      </c>
      <c r="J504" t="s">
        <v>41</v>
      </c>
      <c r="K504" t="s">
        <v>77</v>
      </c>
      <c r="L504" t="s">
        <v>87</v>
      </c>
      <c r="M504">
        <f>IFERROR( _xlfn.XLOOKUP(TRIM(tbl_HR_Data[[#This Row],[Age]]),#REF!,#REF!), VALUE(TRIM(tbl_HR_Data[[#This Row],[Age]])))</f>
        <v>35</v>
      </c>
      <c r="N504" t="str">
        <f>IFERROR(_xlfn.XLOOKUP(tbl_HR_Data[[#This Row],[Gender]], Mapping[Gender _Discarded], Mapping[Gender_Correction]), PROPER(TRIM(tbl_HR_Data[[#This Row],[Gender]])))</f>
        <v>Male</v>
      </c>
      <c r="O504" t="str">
        <f>TRIM(tbl_HR_Data[[#This Row],[Position]])</f>
        <v>Assistant</v>
      </c>
      <c r="P504" t="str">
        <f>IFERROR(_xlfn.XLOOKUP(tbl_HR_Data[[#This Row],[Email]], Mapping[Email_Discarded], Mapping[Email_Correction]), LOWER(TRIM(tbl_HR_Data[[#This Row],[Email]])))</f>
        <v>not provided</v>
      </c>
      <c r="Q50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04" t="str" cm="1">
        <f t="array" ref="R504">_xlfn.REDUCE(Q504, {"-","/","_","\","(",")"}, _xlfn.LAMBDA(_xlpm.txt,_xlpm.itm, SUBSTITUTE(_xlpm.txt, _xlpm.itm, "")))</f>
        <v>1234567890</v>
      </c>
      <c r="S504" s="3">
        <f>IFERROR(_xlfn.XLOOKUP(tbl_HR_Data[[#This Row],[Joining Date]], Mapping[Joining_Discarded], Mapping[Joining_Correction]), VALUE(tbl_HR_Data[[#This Row],[Joining Date]]))</f>
        <v>43549</v>
      </c>
      <c r="T504" t="str">
        <f>TEXT(tbl_HR_Data[[#This Row],[Joining Date]], "mmm")</f>
        <v>Mar</v>
      </c>
      <c r="U504" t="str">
        <f>TEXT(tbl_HR_Data[[#This Row],[Joining Date]], "ddd")</f>
        <v>Mon</v>
      </c>
    </row>
    <row r="505" spans="1:21" x14ac:dyDescent="0.35">
      <c r="A505" t="s">
        <v>106</v>
      </c>
      <c r="B505">
        <v>50</v>
      </c>
      <c r="C505">
        <v>0</v>
      </c>
      <c r="D505" t="s">
        <v>11</v>
      </c>
      <c r="E505" t="s">
        <v>19</v>
      </c>
      <c r="F505" t="s">
        <v>44</v>
      </c>
      <c r="G505" s="3">
        <v>43549</v>
      </c>
      <c r="H505" t="str">
        <f>TEXT(tbl_HR_Data[[#This Row],[Joining Date]], "mmm")</f>
        <v>Mar</v>
      </c>
      <c r="I505" t="s">
        <v>94</v>
      </c>
      <c r="J505" t="s">
        <v>21</v>
      </c>
      <c r="K505" t="s">
        <v>77</v>
      </c>
      <c r="L505" t="s">
        <v>88</v>
      </c>
      <c r="M505">
        <f>IFERROR( _xlfn.XLOOKUP(TRIM(tbl_HR_Data[[#This Row],[Age]]),#REF!,#REF!), VALUE(TRIM(tbl_HR_Data[[#This Row],[Age]])))</f>
        <v>50</v>
      </c>
      <c r="N505" t="str">
        <f>IFERROR(_xlfn.XLOOKUP(tbl_HR_Data[[#This Row],[Gender]], Mapping[Gender _Discarded], Mapping[Gender_Correction]), PROPER(TRIM(tbl_HR_Data[[#This Row],[Gender]])))</f>
        <v>Male</v>
      </c>
      <c r="O505" t="str">
        <f>TRIM(tbl_HR_Data[[#This Row],[Position]])</f>
        <v>Analyst</v>
      </c>
      <c r="P505" t="str">
        <f>IFERROR(_xlfn.XLOOKUP(tbl_HR_Data[[#This Row],[Email]], Mapping[Email_Discarded], Mapping[Email_Correction]), LOWER(TRIM(tbl_HR_Data[[#This Row],[Email]])))</f>
        <v>not provided</v>
      </c>
      <c r="Q50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505" t="str" cm="1">
        <f t="array" ref="R505">_xlfn.REDUCE(Q505, {"-","/","_","\","(",")"}, _xlfn.LAMBDA(_xlpm.txt,_xlpm.itm, SUBSTITUTE(_xlpm.txt, _xlpm.itm, "")))</f>
        <v>0987654321</v>
      </c>
      <c r="S505" s="3">
        <f>IFERROR(_xlfn.XLOOKUP(tbl_HR_Data[[#This Row],[Joining Date]], Mapping[Joining_Discarded], Mapping[Joining_Correction]), VALUE(tbl_HR_Data[[#This Row],[Joining Date]]))</f>
        <v>43549</v>
      </c>
      <c r="T505" t="str">
        <f>TEXT(tbl_HR_Data[[#This Row],[Joining Date]], "mmm")</f>
        <v>Mar</v>
      </c>
      <c r="U505" t="str">
        <f>TEXT(tbl_HR_Data[[#This Row],[Joining Date]], "ddd")</f>
        <v>Mon</v>
      </c>
    </row>
    <row r="506" spans="1:21" x14ac:dyDescent="0.35">
      <c r="A506" t="s">
        <v>102</v>
      </c>
      <c r="B506">
        <v>25</v>
      </c>
      <c r="C506">
        <v>50000</v>
      </c>
      <c r="D506" t="s">
        <v>36</v>
      </c>
      <c r="E506" t="s">
        <v>12</v>
      </c>
      <c r="F506" t="s">
        <v>39</v>
      </c>
      <c r="G506" s="3">
        <v>43549</v>
      </c>
      <c r="H506" t="str">
        <f>TEXT(tbl_HR_Data[[#This Row],[Joining Date]], "mmm")</f>
        <v>Mar</v>
      </c>
      <c r="I506" t="s">
        <v>94</v>
      </c>
      <c r="J506" t="s">
        <v>21</v>
      </c>
      <c r="K506" t="s">
        <v>77</v>
      </c>
      <c r="L506" t="s">
        <v>77</v>
      </c>
      <c r="M506">
        <f>IFERROR( _xlfn.XLOOKUP(TRIM(tbl_HR_Data[[#This Row],[Age]]),#REF!,#REF!), VALUE(TRIM(tbl_HR_Data[[#This Row],[Age]])))</f>
        <v>25</v>
      </c>
      <c r="N506" t="str">
        <f>IFERROR(_xlfn.XLOOKUP(tbl_HR_Data[[#This Row],[Gender]], Mapping[Gender _Discarded], Mapping[Gender_Correction]), PROPER(TRIM(tbl_HR_Data[[#This Row],[Gender]])))</f>
        <v>Other</v>
      </c>
      <c r="O506" t="str">
        <f>TRIM(tbl_HR_Data[[#This Row],[Position]])</f>
        <v>Clerk</v>
      </c>
      <c r="P506" t="str">
        <f>IFERROR(_xlfn.XLOOKUP(tbl_HR_Data[[#This Row],[Email]], Mapping[Email_Discarded], Mapping[Email_Correction]), LOWER(TRIM(tbl_HR_Data[[#This Row],[Email]])))</f>
        <v>not provided</v>
      </c>
      <c r="Q50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06" t="str" cm="1">
        <f t="array" ref="R506">_xlfn.REDUCE(Q506, {"-","/","_","\","(",")"}, _xlfn.LAMBDA(_xlpm.txt,_xlpm.itm, SUBSTITUTE(_xlpm.txt, _xlpm.itm, "")))</f>
        <v>Not Provided</v>
      </c>
      <c r="S506" s="3">
        <f>IFERROR(_xlfn.XLOOKUP(tbl_HR_Data[[#This Row],[Joining Date]], Mapping[Joining_Discarded], Mapping[Joining_Correction]), VALUE(tbl_HR_Data[[#This Row],[Joining Date]]))</f>
        <v>43549</v>
      </c>
      <c r="T506" t="str">
        <f>TEXT(tbl_HR_Data[[#This Row],[Joining Date]], "mmm")</f>
        <v>Mar</v>
      </c>
      <c r="U506" t="str">
        <f>TEXT(tbl_HR_Data[[#This Row],[Joining Date]], "ddd")</f>
        <v>Mon</v>
      </c>
    </row>
    <row r="507" spans="1:21" x14ac:dyDescent="0.35">
      <c r="A507" t="s">
        <v>107</v>
      </c>
      <c r="B507">
        <v>30</v>
      </c>
      <c r="C507">
        <v>55000</v>
      </c>
      <c r="D507" t="s">
        <v>18</v>
      </c>
      <c r="E507" t="s">
        <v>12</v>
      </c>
      <c r="F507" t="s">
        <v>20</v>
      </c>
      <c r="G507" s="3">
        <v>43549</v>
      </c>
      <c r="H507" t="str">
        <f>TEXT(tbl_HR_Data[[#This Row],[Joining Date]], "mmm")</f>
        <v>Mar</v>
      </c>
      <c r="I507" t="s">
        <v>94</v>
      </c>
      <c r="J507" t="s">
        <v>41</v>
      </c>
      <c r="K507" t="s">
        <v>22</v>
      </c>
      <c r="L507" t="s">
        <v>87</v>
      </c>
      <c r="M507">
        <f>IFERROR( _xlfn.XLOOKUP(TRIM(tbl_HR_Data[[#This Row],[Age]]),#REF!,#REF!), VALUE(TRIM(tbl_HR_Data[[#This Row],[Age]])))</f>
        <v>30</v>
      </c>
      <c r="N507" t="str">
        <f>IFERROR(_xlfn.XLOOKUP(tbl_HR_Data[[#This Row],[Gender]], Mapping[Gender _Discarded], Mapping[Gender_Correction]), PROPER(TRIM(tbl_HR_Data[[#This Row],[Gender]])))</f>
        <v>Female</v>
      </c>
      <c r="O507" t="str">
        <f>TRIM(tbl_HR_Data[[#This Row],[Position]])</f>
        <v>Director</v>
      </c>
      <c r="P507" t="str">
        <f>IFERROR(_xlfn.XLOOKUP(tbl_HR_Data[[#This Row],[Email]], Mapping[Email_Discarded], Mapping[Email_Correction]), LOWER(TRIM(tbl_HR_Data[[#This Row],[Email]])))</f>
        <v>user@domain.com</v>
      </c>
      <c r="Q50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07" t="str" cm="1">
        <f t="array" ref="R507">_xlfn.REDUCE(Q507, {"-","/","_","\","(",")"}, _xlfn.LAMBDA(_xlpm.txt,_xlpm.itm, SUBSTITUTE(_xlpm.txt, _xlpm.itm, "")))</f>
        <v>1234567890</v>
      </c>
      <c r="S507" s="3">
        <f>IFERROR(_xlfn.XLOOKUP(tbl_HR_Data[[#This Row],[Joining Date]], Mapping[Joining_Discarded], Mapping[Joining_Correction]), VALUE(tbl_HR_Data[[#This Row],[Joining Date]]))</f>
        <v>43549</v>
      </c>
      <c r="T507" t="str">
        <f>TEXT(tbl_HR_Data[[#This Row],[Joining Date]], "mmm")</f>
        <v>Mar</v>
      </c>
      <c r="U507" t="str">
        <f>TEXT(tbl_HR_Data[[#This Row],[Joining Date]], "ddd")</f>
        <v>Mon</v>
      </c>
    </row>
    <row r="508" spans="1:21" x14ac:dyDescent="0.35">
      <c r="A508" t="s">
        <v>101</v>
      </c>
      <c r="B508">
        <v>35</v>
      </c>
      <c r="C508">
        <v>70000</v>
      </c>
      <c r="D508" t="s">
        <v>18</v>
      </c>
      <c r="E508" t="s">
        <v>12</v>
      </c>
      <c r="F508" t="s">
        <v>44</v>
      </c>
      <c r="G508" s="3">
        <v>43549</v>
      </c>
      <c r="H508" t="str">
        <f>TEXT(tbl_HR_Data[[#This Row],[Joining Date]], "mmm")</f>
        <v>Mar</v>
      </c>
      <c r="I508" t="s">
        <v>94</v>
      </c>
      <c r="J508" t="s">
        <v>31</v>
      </c>
      <c r="K508" t="s">
        <v>77</v>
      </c>
      <c r="L508" t="s">
        <v>88</v>
      </c>
      <c r="M508">
        <f>IFERROR( _xlfn.XLOOKUP(TRIM(tbl_HR_Data[[#This Row],[Age]]),#REF!,#REF!), VALUE(TRIM(tbl_HR_Data[[#This Row],[Age]])))</f>
        <v>35</v>
      </c>
      <c r="N508" t="str">
        <f>IFERROR(_xlfn.XLOOKUP(tbl_HR_Data[[#This Row],[Gender]], Mapping[Gender _Discarded], Mapping[Gender_Correction]), PROPER(TRIM(tbl_HR_Data[[#This Row],[Gender]])))</f>
        <v>Female</v>
      </c>
      <c r="O508" t="str">
        <f>TRIM(tbl_HR_Data[[#This Row],[Position]])</f>
        <v>Analyst</v>
      </c>
      <c r="P508" t="str">
        <f>IFERROR(_xlfn.XLOOKUP(tbl_HR_Data[[#This Row],[Email]], Mapping[Email_Discarded], Mapping[Email_Correction]), LOWER(TRIM(tbl_HR_Data[[#This Row],[Email]])))</f>
        <v>not provided</v>
      </c>
      <c r="Q50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508" t="str" cm="1">
        <f t="array" ref="R508">_xlfn.REDUCE(Q508, {"-","/","_","\","(",")"}, _xlfn.LAMBDA(_xlpm.txt,_xlpm.itm, SUBSTITUTE(_xlpm.txt, _xlpm.itm, "")))</f>
        <v>0987654321</v>
      </c>
      <c r="S508" s="3">
        <f>IFERROR(_xlfn.XLOOKUP(tbl_HR_Data[[#This Row],[Joining Date]], Mapping[Joining_Discarded], Mapping[Joining_Correction]), VALUE(tbl_HR_Data[[#This Row],[Joining Date]]))</f>
        <v>43549</v>
      </c>
      <c r="T508" t="str">
        <f>TEXT(tbl_HR_Data[[#This Row],[Joining Date]], "mmm")</f>
        <v>Mar</v>
      </c>
      <c r="U508" t="str">
        <f>TEXT(tbl_HR_Data[[#This Row],[Joining Date]], "ddd")</f>
        <v>Mon</v>
      </c>
    </row>
    <row r="509" spans="1:21" x14ac:dyDescent="0.35">
      <c r="A509" t="s">
        <v>99</v>
      </c>
      <c r="B509">
        <v>25</v>
      </c>
      <c r="C509">
        <v>65000</v>
      </c>
      <c r="D509" t="s">
        <v>36</v>
      </c>
      <c r="E509" t="s">
        <v>30</v>
      </c>
      <c r="F509" t="s">
        <v>43</v>
      </c>
      <c r="G509" s="3">
        <v>43549</v>
      </c>
      <c r="H509" t="str">
        <f>TEXT(tbl_HR_Data[[#This Row],[Joining Date]], "mmm")</f>
        <v>Mar</v>
      </c>
      <c r="I509" t="s">
        <v>94</v>
      </c>
      <c r="J509" t="s">
        <v>27</v>
      </c>
      <c r="K509" t="s">
        <v>15</v>
      </c>
      <c r="L509" t="s">
        <v>77</v>
      </c>
      <c r="M509">
        <f>IFERROR( _xlfn.XLOOKUP(TRIM(tbl_HR_Data[[#This Row],[Age]]),#REF!,#REF!), VALUE(TRIM(tbl_HR_Data[[#This Row],[Age]])))</f>
        <v>25</v>
      </c>
      <c r="N509" t="str">
        <f>IFERROR(_xlfn.XLOOKUP(tbl_HR_Data[[#This Row],[Gender]], Mapping[Gender _Discarded], Mapping[Gender_Correction]), PROPER(TRIM(tbl_HR_Data[[#This Row],[Gender]])))</f>
        <v>Other</v>
      </c>
      <c r="O509" t="str">
        <f>TRIM(tbl_HR_Data[[#This Row],[Position]])</f>
        <v>Assistant</v>
      </c>
      <c r="P509" t="str">
        <f>IFERROR(_xlfn.XLOOKUP(tbl_HR_Data[[#This Row],[Email]], Mapping[Email_Discarded], Mapping[Email_Correction]), LOWER(TRIM(tbl_HR_Data[[#This Row],[Email]])))</f>
        <v>email@example.com</v>
      </c>
      <c r="Q50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09" t="str" cm="1">
        <f t="array" ref="R509">_xlfn.REDUCE(Q509, {"-","/","_","\","(",")"}, _xlfn.LAMBDA(_xlpm.txt,_xlpm.itm, SUBSTITUTE(_xlpm.txt, _xlpm.itm, "")))</f>
        <v>Not Provided</v>
      </c>
      <c r="S509" s="3">
        <f>IFERROR(_xlfn.XLOOKUP(tbl_HR_Data[[#This Row],[Joining Date]], Mapping[Joining_Discarded], Mapping[Joining_Correction]), VALUE(tbl_HR_Data[[#This Row],[Joining Date]]))</f>
        <v>43549</v>
      </c>
      <c r="T509" t="str">
        <f>TEXT(tbl_HR_Data[[#This Row],[Joining Date]], "mmm")</f>
        <v>Mar</v>
      </c>
      <c r="U509" t="str">
        <f>TEXT(tbl_HR_Data[[#This Row],[Joining Date]], "ddd")</f>
        <v>Mon</v>
      </c>
    </row>
    <row r="510" spans="1:21" x14ac:dyDescent="0.35">
      <c r="A510" t="s">
        <v>104</v>
      </c>
      <c r="B510">
        <v>0</v>
      </c>
      <c r="C510">
        <v>0</v>
      </c>
      <c r="D510" t="s">
        <v>36</v>
      </c>
      <c r="E510" t="s">
        <v>30</v>
      </c>
      <c r="F510" t="s">
        <v>39</v>
      </c>
      <c r="G510" s="3">
        <v>43549</v>
      </c>
      <c r="H510" t="str">
        <f>TEXT(tbl_HR_Data[[#This Row],[Joining Date]], "mmm")</f>
        <v>Mar</v>
      </c>
      <c r="I510" t="s">
        <v>94</v>
      </c>
      <c r="J510" t="s">
        <v>21</v>
      </c>
      <c r="K510" t="s">
        <v>15</v>
      </c>
      <c r="L510" t="s">
        <v>87</v>
      </c>
      <c r="M510">
        <f>IFERROR( _xlfn.XLOOKUP(TRIM(tbl_HR_Data[[#This Row],[Age]]),#REF!,#REF!), VALUE(TRIM(tbl_HR_Data[[#This Row],[Age]])))</f>
        <v>0</v>
      </c>
      <c r="N510" t="str">
        <f>IFERROR(_xlfn.XLOOKUP(tbl_HR_Data[[#This Row],[Gender]], Mapping[Gender _Discarded], Mapping[Gender_Correction]), PROPER(TRIM(tbl_HR_Data[[#This Row],[Gender]])))</f>
        <v>Other</v>
      </c>
      <c r="O510" t="str">
        <f>TRIM(tbl_HR_Data[[#This Row],[Position]])</f>
        <v>Clerk</v>
      </c>
      <c r="P510" t="str">
        <f>IFERROR(_xlfn.XLOOKUP(tbl_HR_Data[[#This Row],[Email]], Mapping[Email_Discarded], Mapping[Email_Correction]), LOWER(TRIM(tbl_HR_Data[[#This Row],[Email]])))</f>
        <v>email@example.com</v>
      </c>
      <c r="Q51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10" t="str" cm="1">
        <f t="array" ref="R510">_xlfn.REDUCE(Q510, {"-","/","_","\","(",")"}, _xlfn.LAMBDA(_xlpm.txt,_xlpm.itm, SUBSTITUTE(_xlpm.txt, _xlpm.itm, "")))</f>
        <v>1234567890</v>
      </c>
      <c r="S510" s="3">
        <f>IFERROR(_xlfn.XLOOKUP(tbl_HR_Data[[#This Row],[Joining Date]], Mapping[Joining_Discarded], Mapping[Joining_Correction]), VALUE(tbl_HR_Data[[#This Row],[Joining Date]]))</f>
        <v>43549</v>
      </c>
      <c r="T510" t="str">
        <f>TEXT(tbl_HR_Data[[#This Row],[Joining Date]], "mmm")</f>
        <v>Mar</v>
      </c>
      <c r="U510" t="str">
        <f>TEXT(tbl_HR_Data[[#This Row],[Joining Date]], "ddd")</f>
        <v>Mon</v>
      </c>
    </row>
    <row r="511" spans="1:21" x14ac:dyDescent="0.35">
      <c r="A511" t="s">
        <v>101</v>
      </c>
      <c r="B511">
        <v>50</v>
      </c>
      <c r="C511">
        <v>65000</v>
      </c>
      <c r="D511" t="s">
        <v>36</v>
      </c>
      <c r="E511" t="s">
        <v>37</v>
      </c>
      <c r="F511" t="s">
        <v>39</v>
      </c>
      <c r="G511" s="3">
        <v>43549</v>
      </c>
      <c r="H511" t="str">
        <f>TEXT(tbl_HR_Data[[#This Row],[Joining Date]], "mmm")</f>
        <v>Mar</v>
      </c>
      <c r="I511" t="s">
        <v>94</v>
      </c>
      <c r="J511" t="s">
        <v>41</v>
      </c>
      <c r="K511" t="s">
        <v>32</v>
      </c>
      <c r="L511" t="s">
        <v>89</v>
      </c>
      <c r="M511">
        <f>IFERROR( _xlfn.XLOOKUP(TRIM(tbl_HR_Data[[#This Row],[Age]]),#REF!,#REF!), VALUE(TRIM(tbl_HR_Data[[#This Row],[Age]])))</f>
        <v>50</v>
      </c>
      <c r="N511" t="str">
        <f>IFERROR(_xlfn.XLOOKUP(tbl_HR_Data[[#This Row],[Gender]], Mapping[Gender _Discarded], Mapping[Gender_Correction]), PROPER(TRIM(tbl_HR_Data[[#This Row],[Gender]])))</f>
        <v>Other</v>
      </c>
      <c r="O511" t="str">
        <f>TRIM(tbl_HR_Data[[#This Row],[Position]])</f>
        <v>Clerk</v>
      </c>
      <c r="P511" t="str">
        <f>IFERROR(_xlfn.XLOOKUP(tbl_HR_Data[[#This Row],[Email]], Mapping[Email_Discarded], Mapping[Email_Correction]), LOWER(TRIM(tbl_HR_Data[[#This Row],[Email]])))</f>
        <v>name@company.org</v>
      </c>
      <c r="Q51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511" t="str" cm="1">
        <f t="array" ref="R511">_xlfn.REDUCE(Q511, {"-","/","_","\","(",")"}, _xlfn.LAMBDA(_xlpm.txt,_xlpm.itm, SUBSTITUTE(_xlpm.txt, _xlpm.itm, "")))</f>
        <v>5555555555</v>
      </c>
      <c r="S511" s="3">
        <f>IFERROR(_xlfn.XLOOKUP(tbl_HR_Data[[#This Row],[Joining Date]], Mapping[Joining_Discarded], Mapping[Joining_Correction]), VALUE(tbl_HR_Data[[#This Row],[Joining Date]]))</f>
        <v>43549</v>
      </c>
      <c r="T511" t="str">
        <f>TEXT(tbl_HR_Data[[#This Row],[Joining Date]], "mmm")</f>
        <v>Mar</v>
      </c>
      <c r="U511" t="str">
        <f>TEXT(tbl_HR_Data[[#This Row],[Joining Date]], "ddd")</f>
        <v>Mon</v>
      </c>
    </row>
    <row r="512" spans="1:21" x14ac:dyDescent="0.35">
      <c r="A512" t="s">
        <v>105</v>
      </c>
      <c r="B512">
        <v>50</v>
      </c>
      <c r="C512">
        <v>55000</v>
      </c>
      <c r="D512" t="s">
        <v>11</v>
      </c>
      <c r="E512" t="s">
        <v>12</v>
      </c>
      <c r="F512" t="s">
        <v>43</v>
      </c>
      <c r="G512" s="3">
        <v>43549</v>
      </c>
      <c r="H512" t="str">
        <f>TEXT(tbl_HR_Data[[#This Row],[Joining Date]], "mmm")</f>
        <v>Mar</v>
      </c>
      <c r="I512" t="s">
        <v>94</v>
      </c>
      <c r="J512" t="s">
        <v>31</v>
      </c>
      <c r="K512" t="s">
        <v>32</v>
      </c>
      <c r="L512" t="s">
        <v>87</v>
      </c>
      <c r="M512">
        <f>IFERROR( _xlfn.XLOOKUP(TRIM(tbl_HR_Data[[#This Row],[Age]]),#REF!,#REF!), VALUE(TRIM(tbl_HR_Data[[#This Row],[Age]])))</f>
        <v>50</v>
      </c>
      <c r="N512" t="str">
        <f>IFERROR(_xlfn.XLOOKUP(tbl_HR_Data[[#This Row],[Gender]], Mapping[Gender _Discarded], Mapping[Gender_Correction]), PROPER(TRIM(tbl_HR_Data[[#This Row],[Gender]])))</f>
        <v>Male</v>
      </c>
      <c r="O512" t="str">
        <f>TRIM(tbl_HR_Data[[#This Row],[Position]])</f>
        <v>Assistant</v>
      </c>
      <c r="P512" t="str">
        <f>IFERROR(_xlfn.XLOOKUP(tbl_HR_Data[[#This Row],[Email]], Mapping[Email_Discarded], Mapping[Email_Correction]), LOWER(TRIM(tbl_HR_Data[[#This Row],[Email]])))</f>
        <v>name@company.org</v>
      </c>
      <c r="Q51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12" t="str" cm="1">
        <f t="array" ref="R512">_xlfn.REDUCE(Q512, {"-","/","_","\","(",")"}, _xlfn.LAMBDA(_xlpm.txt,_xlpm.itm, SUBSTITUTE(_xlpm.txt, _xlpm.itm, "")))</f>
        <v>1234567890</v>
      </c>
      <c r="S512" s="3">
        <f>IFERROR(_xlfn.XLOOKUP(tbl_HR_Data[[#This Row],[Joining Date]], Mapping[Joining_Discarded], Mapping[Joining_Correction]), VALUE(tbl_HR_Data[[#This Row],[Joining Date]]))</f>
        <v>43549</v>
      </c>
      <c r="T512" t="str">
        <f>TEXT(tbl_HR_Data[[#This Row],[Joining Date]], "mmm")</f>
        <v>Mar</v>
      </c>
      <c r="U512" t="str">
        <f>TEXT(tbl_HR_Data[[#This Row],[Joining Date]], "ddd")</f>
        <v>Mon</v>
      </c>
    </row>
    <row r="513" spans="1:21" x14ac:dyDescent="0.35">
      <c r="A513" t="s">
        <v>108</v>
      </c>
      <c r="B513">
        <v>30</v>
      </c>
      <c r="C513">
        <v>65000</v>
      </c>
      <c r="D513" t="s">
        <v>18</v>
      </c>
      <c r="E513" t="s">
        <v>30</v>
      </c>
      <c r="F513" t="s">
        <v>20</v>
      </c>
      <c r="G513" s="3">
        <v>43549</v>
      </c>
      <c r="H513" t="str">
        <f>TEXT(tbl_HR_Data[[#This Row],[Joining Date]], "mmm")</f>
        <v>Mar</v>
      </c>
      <c r="I513" t="s">
        <v>94</v>
      </c>
      <c r="J513" t="s">
        <v>31</v>
      </c>
      <c r="K513" t="s">
        <v>77</v>
      </c>
      <c r="L513" t="s">
        <v>88</v>
      </c>
      <c r="M513">
        <f>IFERROR( _xlfn.XLOOKUP(TRIM(tbl_HR_Data[[#This Row],[Age]]),#REF!,#REF!), VALUE(TRIM(tbl_HR_Data[[#This Row],[Age]])))</f>
        <v>30</v>
      </c>
      <c r="N513" t="str">
        <f>IFERROR(_xlfn.XLOOKUP(tbl_HR_Data[[#This Row],[Gender]], Mapping[Gender _Discarded], Mapping[Gender_Correction]), PROPER(TRIM(tbl_HR_Data[[#This Row],[Gender]])))</f>
        <v>Female</v>
      </c>
      <c r="O513" t="str">
        <f>TRIM(tbl_HR_Data[[#This Row],[Position]])</f>
        <v>Director</v>
      </c>
      <c r="P513" t="str">
        <f>IFERROR(_xlfn.XLOOKUP(tbl_HR_Data[[#This Row],[Email]], Mapping[Email_Discarded], Mapping[Email_Correction]), LOWER(TRIM(tbl_HR_Data[[#This Row],[Email]])))</f>
        <v>not provided</v>
      </c>
      <c r="Q51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513" t="str" cm="1">
        <f t="array" ref="R513">_xlfn.REDUCE(Q513, {"-","/","_","\","(",")"}, _xlfn.LAMBDA(_xlpm.txt,_xlpm.itm, SUBSTITUTE(_xlpm.txt, _xlpm.itm, "")))</f>
        <v>0987654321</v>
      </c>
      <c r="S513" s="3">
        <f>IFERROR(_xlfn.XLOOKUP(tbl_HR_Data[[#This Row],[Joining Date]], Mapping[Joining_Discarded], Mapping[Joining_Correction]), VALUE(tbl_HR_Data[[#This Row],[Joining Date]]))</f>
        <v>43549</v>
      </c>
      <c r="T513" t="str">
        <f>TEXT(tbl_HR_Data[[#This Row],[Joining Date]], "mmm")</f>
        <v>Mar</v>
      </c>
      <c r="U513" t="str">
        <f>TEXT(tbl_HR_Data[[#This Row],[Joining Date]], "ddd")</f>
        <v>Mon</v>
      </c>
    </row>
    <row r="514" spans="1:21" x14ac:dyDescent="0.35">
      <c r="A514" t="s">
        <v>103</v>
      </c>
      <c r="B514">
        <v>0</v>
      </c>
      <c r="C514">
        <v>0</v>
      </c>
      <c r="D514" t="s">
        <v>18</v>
      </c>
      <c r="E514" t="s">
        <v>26</v>
      </c>
      <c r="F514" t="s">
        <v>13</v>
      </c>
      <c r="G514" s="3">
        <v>43549</v>
      </c>
      <c r="H514" t="str">
        <f>TEXT(tbl_HR_Data[[#This Row],[Joining Date]], "mmm")</f>
        <v>Mar</v>
      </c>
      <c r="I514" t="s">
        <v>94</v>
      </c>
      <c r="J514" t="s">
        <v>31</v>
      </c>
      <c r="K514" t="s">
        <v>22</v>
      </c>
      <c r="L514" t="s">
        <v>88</v>
      </c>
      <c r="M514">
        <f>IFERROR( _xlfn.XLOOKUP(TRIM(tbl_HR_Data[[#This Row],[Age]]),#REF!,#REF!), VALUE(TRIM(tbl_HR_Data[[#This Row],[Age]])))</f>
        <v>0</v>
      </c>
      <c r="N514" t="str">
        <f>IFERROR(_xlfn.XLOOKUP(tbl_HR_Data[[#This Row],[Gender]], Mapping[Gender _Discarded], Mapping[Gender_Correction]), PROPER(TRIM(tbl_HR_Data[[#This Row],[Gender]])))</f>
        <v>Female</v>
      </c>
      <c r="O514" t="str">
        <f>TRIM(tbl_HR_Data[[#This Row],[Position]])</f>
        <v>Manager</v>
      </c>
      <c r="P514" t="str">
        <f>IFERROR(_xlfn.XLOOKUP(tbl_HR_Data[[#This Row],[Email]], Mapping[Email_Discarded], Mapping[Email_Correction]), LOWER(TRIM(tbl_HR_Data[[#This Row],[Email]])))</f>
        <v>user@domain.com</v>
      </c>
      <c r="Q51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514" t="str" cm="1">
        <f t="array" ref="R514">_xlfn.REDUCE(Q514, {"-","/","_","\","(",")"}, _xlfn.LAMBDA(_xlpm.txt,_xlpm.itm, SUBSTITUTE(_xlpm.txt, _xlpm.itm, "")))</f>
        <v>0987654321</v>
      </c>
      <c r="S514" s="3">
        <f>IFERROR(_xlfn.XLOOKUP(tbl_HR_Data[[#This Row],[Joining Date]], Mapping[Joining_Discarded], Mapping[Joining_Correction]), VALUE(tbl_HR_Data[[#This Row],[Joining Date]]))</f>
        <v>43549</v>
      </c>
      <c r="T514" t="str">
        <f>TEXT(tbl_HR_Data[[#This Row],[Joining Date]], "mmm")</f>
        <v>Mar</v>
      </c>
      <c r="U514" t="str">
        <f>TEXT(tbl_HR_Data[[#This Row],[Joining Date]], "ddd")</f>
        <v>Mon</v>
      </c>
    </row>
    <row r="515" spans="1:21" x14ac:dyDescent="0.35">
      <c r="A515" t="s">
        <v>103</v>
      </c>
      <c r="B515">
        <v>35</v>
      </c>
      <c r="C515">
        <v>60000</v>
      </c>
      <c r="D515" t="s">
        <v>11</v>
      </c>
      <c r="E515" t="s">
        <v>37</v>
      </c>
      <c r="F515" t="s">
        <v>44</v>
      </c>
      <c r="G515" s="3">
        <v>43549</v>
      </c>
      <c r="H515" t="str">
        <f>TEXT(tbl_HR_Data[[#This Row],[Joining Date]], "mmm")</f>
        <v>Mar</v>
      </c>
      <c r="I515" t="s">
        <v>94</v>
      </c>
      <c r="J515" t="s">
        <v>31</v>
      </c>
      <c r="K515" t="s">
        <v>15</v>
      </c>
      <c r="L515" t="s">
        <v>87</v>
      </c>
      <c r="M515">
        <f>IFERROR( _xlfn.XLOOKUP(TRIM(tbl_HR_Data[[#This Row],[Age]]),#REF!,#REF!), VALUE(TRIM(tbl_HR_Data[[#This Row],[Age]])))</f>
        <v>35</v>
      </c>
      <c r="N515" t="str">
        <f>IFERROR(_xlfn.XLOOKUP(tbl_HR_Data[[#This Row],[Gender]], Mapping[Gender _Discarded], Mapping[Gender_Correction]), PROPER(TRIM(tbl_HR_Data[[#This Row],[Gender]])))</f>
        <v>Male</v>
      </c>
      <c r="O515" t="str">
        <f>TRIM(tbl_HR_Data[[#This Row],[Position]])</f>
        <v>Analyst</v>
      </c>
      <c r="P515" t="str">
        <f>IFERROR(_xlfn.XLOOKUP(tbl_HR_Data[[#This Row],[Email]], Mapping[Email_Discarded], Mapping[Email_Correction]), LOWER(TRIM(tbl_HR_Data[[#This Row],[Email]])))</f>
        <v>email@example.com</v>
      </c>
      <c r="Q51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15" t="str" cm="1">
        <f t="array" ref="R515">_xlfn.REDUCE(Q515, {"-","/","_","\","(",")"}, _xlfn.LAMBDA(_xlpm.txt,_xlpm.itm, SUBSTITUTE(_xlpm.txt, _xlpm.itm, "")))</f>
        <v>1234567890</v>
      </c>
      <c r="S515" s="3">
        <f>IFERROR(_xlfn.XLOOKUP(tbl_HR_Data[[#This Row],[Joining Date]], Mapping[Joining_Discarded], Mapping[Joining_Correction]), VALUE(tbl_HR_Data[[#This Row],[Joining Date]]))</f>
        <v>43549</v>
      </c>
      <c r="T515" t="str">
        <f>TEXT(tbl_HR_Data[[#This Row],[Joining Date]], "mmm")</f>
        <v>Mar</v>
      </c>
      <c r="U515" t="str">
        <f>TEXT(tbl_HR_Data[[#This Row],[Joining Date]], "ddd")</f>
        <v>Mon</v>
      </c>
    </row>
    <row r="516" spans="1:21" x14ac:dyDescent="0.35">
      <c r="A516" t="s">
        <v>108</v>
      </c>
      <c r="B516">
        <v>25</v>
      </c>
      <c r="C516">
        <v>60000</v>
      </c>
      <c r="D516" t="s">
        <v>11</v>
      </c>
      <c r="E516" t="s">
        <v>37</v>
      </c>
      <c r="F516" t="s">
        <v>43</v>
      </c>
      <c r="G516" s="3">
        <v>43549</v>
      </c>
      <c r="H516" t="str">
        <f>TEXT(tbl_HR_Data[[#This Row],[Joining Date]], "mmm")</f>
        <v>Mar</v>
      </c>
      <c r="I516" t="s">
        <v>94</v>
      </c>
      <c r="J516" t="s">
        <v>41</v>
      </c>
      <c r="K516" t="s">
        <v>32</v>
      </c>
      <c r="L516" t="s">
        <v>77</v>
      </c>
      <c r="M516">
        <f>IFERROR( _xlfn.XLOOKUP(TRIM(tbl_HR_Data[[#This Row],[Age]]),#REF!,#REF!), VALUE(TRIM(tbl_HR_Data[[#This Row],[Age]])))</f>
        <v>25</v>
      </c>
      <c r="N516" t="str">
        <f>IFERROR(_xlfn.XLOOKUP(tbl_HR_Data[[#This Row],[Gender]], Mapping[Gender _Discarded], Mapping[Gender_Correction]), PROPER(TRIM(tbl_HR_Data[[#This Row],[Gender]])))</f>
        <v>Male</v>
      </c>
      <c r="O516" t="str">
        <f>TRIM(tbl_HR_Data[[#This Row],[Position]])</f>
        <v>Assistant</v>
      </c>
      <c r="P516" t="str">
        <f>IFERROR(_xlfn.XLOOKUP(tbl_HR_Data[[#This Row],[Email]], Mapping[Email_Discarded], Mapping[Email_Correction]), LOWER(TRIM(tbl_HR_Data[[#This Row],[Email]])))</f>
        <v>name@company.org</v>
      </c>
      <c r="Q51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16" t="str" cm="1">
        <f t="array" ref="R516">_xlfn.REDUCE(Q516, {"-","/","_","\","(",")"}, _xlfn.LAMBDA(_xlpm.txt,_xlpm.itm, SUBSTITUTE(_xlpm.txt, _xlpm.itm, "")))</f>
        <v>Not Provided</v>
      </c>
      <c r="S516" s="3">
        <f>IFERROR(_xlfn.XLOOKUP(tbl_HR_Data[[#This Row],[Joining Date]], Mapping[Joining_Discarded], Mapping[Joining_Correction]), VALUE(tbl_HR_Data[[#This Row],[Joining Date]]))</f>
        <v>43549</v>
      </c>
      <c r="T516" t="str">
        <f>TEXT(tbl_HR_Data[[#This Row],[Joining Date]], "mmm")</f>
        <v>Mar</v>
      </c>
      <c r="U516" t="str">
        <f>TEXT(tbl_HR_Data[[#This Row],[Joining Date]], "ddd")</f>
        <v>Mon</v>
      </c>
    </row>
    <row r="517" spans="1:21" x14ac:dyDescent="0.35">
      <c r="A517" t="s">
        <v>102</v>
      </c>
      <c r="B517">
        <v>0</v>
      </c>
      <c r="C517">
        <v>60000</v>
      </c>
      <c r="D517" t="s">
        <v>11</v>
      </c>
      <c r="E517" t="s">
        <v>12</v>
      </c>
      <c r="F517" t="s">
        <v>20</v>
      </c>
      <c r="G517" s="3">
        <v>43549</v>
      </c>
      <c r="H517" t="str">
        <f>TEXT(tbl_HR_Data[[#This Row],[Joining Date]], "mmm")</f>
        <v>Mar</v>
      </c>
      <c r="I517" t="s">
        <v>94</v>
      </c>
      <c r="J517" t="s">
        <v>41</v>
      </c>
      <c r="K517" t="s">
        <v>77</v>
      </c>
      <c r="L517" t="s">
        <v>88</v>
      </c>
      <c r="M517">
        <f>IFERROR( _xlfn.XLOOKUP(TRIM(tbl_HR_Data[[#This Row],[Age]]),#REF!,#REF!), VALUE(TRIM(tbl_HR_Data[[#This Row],[Age]])))</f>
        <v>0</v>
      </c>
      <c r="N517" t="str">
        <f>IFERROR(_xlfn.XLOOKUP(tbl_HR_Data[[#This Row],[Gender]], Mapping[Gender _Discarded], Mapping[Gender_Correction]), PROPER(TRIM(tbl_HR_Data[[#This Row],[Gender]])))</f>
        <v>Male</v>
      </c>
      <c r="O517" t="str">
        <f>TRIM(tbl_HR_Data[[#This Row],[Position]])</f>
        <v>Director</v>
      </c>
      <c r="P517" t="str">
        <f>IFERROR(_xlfn.XLOOKUP(tbl_HR_Data[[#This Row],[Email]], Mapping[Email_Discarded], Mapping[Email_Correction]), LOWER(TRIM(tbl_HR_Data[[#This Row],[Email]])))</f>
        <v>not provided</v>
      </c>
      <c r="Q51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517" t="str" cm="1">
        <f t="array" ref="R517">_xlfn.REDUCE(Q517, {"-","/","_","\","(",")"}, _xlfn.LAMBDA(_xlpm.txt,_xlpm.itm, SUBSTITUTE(_xlpm.txt, _xlpm.itm, "")))</f>
        <v>0987654321</v>
      </c>
      <c r="S517" s="3">
        <f>IFERROR(_xlfn.XLOOKUP(tbl_HR_Data[[#This Row],[Joining Date]], Mapping[Joining_Discarded], Mapping[Joining_Correction]), VALUE(tbl_HR_Data[[#This Row],[Joining Date]]))</f>
        <v>43549</v>
      </c>
      <c r="T517" t="str">
        <f>TEXT(tbl_HR_Data[[#This Row],[Joining Date]], "mmm")</f>
        <v>Mar</v>
      </c>
      <c r="U517" t="str">
        <f>TEXT(tbl_HR_Data[[#This Row],[Joining Date]], "ddd")</f>
        <v>Mon</v>
      </c>
    </row>
    <row r="518" spans="1:21" x14ac:dyDescent="0.35">
      <c r="A518" t="s">
        <v>108</v>
      </c>
      <c r="B518">
        <v>0</v>
      </c>
      <c r="C518">
        <v>50000</v>
      </c>
      <c r="D518" t="s">
        <v>11</v>
      </c>
      <c r="E518" t="s">
        <v>37</v>
      </c>
      <c r="F518" t="s">
        <v>20</v>
      </c>
      <c r="G518" s="3">
        <v>43549</v>
      </c>
      <c r="H518" t="str">
        <f>TEXT(tbl_HR_Data[[#This Row],[Joining Date]], "mmm")</f>
        <v>Mar</v>
      </c>
      <c r="I518" t="s">
        <v>94</v>
      </c>
      <c r="J518" t="s">
        <v>14</v>
      </c>
      <c r="K518" t="s">
        <v>77</v>
      </c>
      <c r="L518" t="s">
        <v>77</v>
      </c>
      <c r="M518">
        <f>IFERROR( _xlfn.XLOOKUP(TRIM(tbl_HR_Data[[#This Row],[Age]]),#REF!,#REF!), VALUE(TRIM(tbl_HR_Data[[#This Row],[Age]])))</f>
        <v>0</v>
      </c>
      <c r="N518" t="str">
        <f>IFERROR(_xlfn.XLOOKUP(tbl_HR_Data[[#This Row],[Gender]], Mapping[Gender _Discarded], Mapping[Gender_Correction]), PROPER(TRIM(tbl_HR_Data[[#This Row],[Gender]])))</f>
        <v>Male</v>
      </c>
      <c r="O518" t="str">
        <f>TRIM(tbl_HR_Data[[#This Row],[Position]])</f>
        <v>Director</v>
      </c>
      <c r="P518" t="str">
        <f>IFERROR(_xlfn.XLOOKUP(tbl_HR_Data[[#This Row],[Email]], Mapping[Email_Discarded], Mapping[Email_Correction]), LOWER(TRIM(tbl_HR_Data[[#This Row],[Email]])))</f>
        <v>not provided</v>
      </c>
      <c r="Q51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18" t="str" cm="1">
        <f t="array" ref="R518">_xlfn.REDUCE(Q518, {"-","/","_","\","(",")"}, _xlfn.LAMBDA(_xlpm.txt,_xlpm.itm, SUBSTITUTE(_xlpm.txt, _xlpm.itm, "")))</f>
        <v>Not Provided</v>
      </c>
      <c r="S518" s="3">
        <f>IFERROR(_xlfn.XLOOKUP(tbl_HR_Data[[#This Row],[Joining Date]], Mapping[Joining_Discarded], Mapping[Joining_Correction]), VALUE(tbl_HR_Data[[#This Row],[Joining Date]]))</f>
        <v>43549</v>
      </c>
      <c r="T518" t="str">
        <f>TEXT(tbl_HR_Data[[#This Row],[Joining Date]], "mmm")</f>
        <v>Mar</v>
      </c>
      <c r="U518" t="str">
        <f>TEXT(tbl_HR_Data[[#This Row],[Joining Date]], "ddd")</f>
        <v>Mon</v>
      </c>
    </row>
    <row r="519" spans="1:21" x14ac:dyDescent="0.35">
      <c r="A519" t="s">
        <v>102</v>
      </c>
      <c r="B519">
        <v>40</v>
      </c>
      <c r="C519">
        <v>50000</v>
      </c>
      <c r="D519" t="s">
        <v>18</v>
      </c>
      <c r="E519" t="s">
        <v>26</v>
      </c>
      <c r="F519" t="s">
        <v>13</v>
      </c>
      <c r="G519" s="3">
        <v>43549</v>
      </c>
      <c r="H519" t="str">
        <f>TEXT(tbl_HR_Data[[#This Row],[Joining Date]], "mmm")</f>
        <v>Mar</v>
      </c>
      <c r="I519" t="s">
        <v>94</v>
      </c>
      <c r="J519" t="s">
        <v>21</v>
      </c>
      <c r="K519" t="s">
        <v>77</v>
      </c>
      <c r="L519" t="s">
        <v>87</v>
      </c>
      <c r="M519">
        <f>IFERROR( _xlfn.XLOOKUP(TRIM(tbl_HR_Data[[#This Row],[Age]]),#REF!,#REF!), VALUE(TRIM(tbl_HR_Data[[#This Row],[Age]])))</f>
        <v>40</v>
      </c>
      <c r="N519" t="str">
        <f>IFERROR(_xlfn.XLOOKUP(tbl_HR_Data[[#This Row],[Gender]], Mapping[Gender _Discarded], Mapping[Gender_Correction]), PROPER(TRIM(tbl_HR_Data[[#This Row],[Gender]])))</f>
        <v>Female</v>
      </c>
      <c r="O519" t="str">
        <f>TRIM(tbl_HR_Data[[#This Row],[Position]])</f>
        <v>Manager</v>
      </c>
      <c r="P519" t="str">
        <f>IFERROR(_xlfn.XLOOKUP(tbl_HR_Data[[#This Row],[Email]], Mapping[Email_Discarded], Mapping[Email_Correction]), LOWER(TRIM(tbl_HR_Data[[#This Row],[Email]])))</f>
        <v>not provided</v>
      </c>
      <c r="Q51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19" t="str" cm="1">
        <f t="array" ref="R519">_xlfn.REDUCE(Q519, {"-","/","_","\","(",")"}, _xlfn.LAMBDA(_xlpm.txt,_xlpm.itm, SUBSTITUTE(_xlpm.txt, _xlpm.itm, "")))</f>
        <v>1234567890</v>
      </c>
      <c r="S519" s="3">
        <f>IFERROR(_xlfn.XLOOKUP(tbl_HR_Data[[#This Row],[Joining Date]], Mapping[Joining_Discarded], Mapping[Joining_Correction]), VALUE(tbl_HR_Data[[#This Row],[Joining Date]]))</f>
        <v>43549</v>
      </c>
      <c r="T519" t="str">
        <f>TEXT(tbl_HR_Data[[#This Row],[Joining Date]], "mmm")</f>
        <v>Mar</v>
      </c>
      <c r="U519" t="str">
        <f>TEXT(tbl_HR_Data[[#This Row],[Joining Date]], "ddd")</f>
        <v>Mon</v>
      </c>
    </row>
    <row r="520" spans="1:21" x14ac:dyDescent="0.35">
      <c r="A520" t="s">
        <v>102</v>
      </c>
      <c r="B520">
        <v>35</v>
      </c>
      <c r="C520">
        <v>50000</v>
      </c>
      <c r="D520" t="s">
        <v>18</v>
      </c>
      <c r="E520" t="s">
        <v>30</v>
      </c>
      <c r="F520" t="s">
        <v>44</v>
      </c>
      <c r="G520" s="3">
        <v>43549</v>
      </c>
      <c r="H520" t="str">
        <f>TEXT(tbl_HR_Data[[#This Row],[Joining Date]], "mmm")</f>
        <v>Mar</v>
      </c>
      <c r="I520" t="s">
        <v>94</v>
      </c>
      <c r="J520" t="s">
        <v>14</v>
      </c>
      <c r="K520" t="s">
        <v>77</v>
      </c>
      <c r="L520" t="s">
        <v>88</v>
      </c>
      <c r="M520">
        <f>IFERROR( _xlfn.XLOOKUP(TRIM(tbl_HR_Data[[#This Row],[Age]]),#REF!,#REF!), VALUE(TRIM(tbl_HR_Data[[#This Row],[Age]])))</f>
        <v>35</v>
      </c>
      <c r="N520" t="str">
        <f>IFERROR(_xlfn.XLOOKUP(tbl_HR_Data[[#This Row],[Gender]], Mapping[Gender _Discarded], Mapping[Gender_Correction]), PROPER(TRIM(tbl_HR_Data[[#This Row],[Gender]])))</f>
        <v>Female</v>
      </c>
      <c r="O520" t="str">
        <f>TRIM(tbl_HR_Data[[#This Row],[Position]])</f>
        <v>Analyst</v>
      </c>
      <c r="P520" t="str">
        <f>IFERROR(_xlfn.XLOOKUP(tbl_HR_Data[[#This Row],[Email]], Mapping[Email_Discarded], Mapping[Email_Correction]), LOWER(TRIM(tbl_HR_Data[[#This Row],[Email]])))</f>
        <v>not provided</v>
      </c>
      <c r="Q52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520" t="str" cm="1">
        <f t="array" ref="R520">_xlfn.REDUCE(Q520, {"-","/","_","\","(",")"}, _xlfn.LAMBDA(_xlpm.txt,_xlpm.itm, SUBSTITUTE(_xlpm.txt, _xlpm.itm, "")))</f>
        <v>0987654321</v>
      </c>
      <c r="S520" s="3">
        <f>IFERROR(_xlfn.XLOOKUP(tbl_HR_Data[[#This Row],[Joining Date]], Mapping[Joining_Discarded], Mapping[Joining_Correction]), VALUE(tbl_HR_Data[[#This Row],[Joining Date]]))</f>
        <v>43549</v>
      </c>
      <c r="T520" t="str">
        <f>TEXT(tbl_HR_Data[[#This Row],[Joining Date]], "mmm")</f>
        <v>Mar</v>
      </c>
      <c r="U520" t="str">
        <f>TEXT(tbl_HR_Data[[#This Row],[Joining Date]], "ddd")</f>
        <v>Mon</v>
      </c>
    </row>
    <row r="521" spans="1:21" x14ac:dyDescent="0.35">
      <c r="A521" t="s">
        <v>99</v>
      </c>
      <c r="B521">
        <v>30</v>
      </c>
      <c r="C521">
        <v>50000</v>
      </c>
      <c r="D521" t="s">
        <v>36</v>
      </c>
      <c r="E521" t="s">
        <v>12</v>
      </c>
      <c r="F521" t="s">
        <v>43</v>
      </c>
      <c r="G521" s="3">
        <v>43549</v>
      </c>
      <c r="H521" t="str">
        <f>TEXT(tbl_HR_Data[[#This Row],[Joining Date]], "mmm")</f>
        <v>Mar</v>
      </c>
      <c r="I521" t="s">
        <v>94</v>
      </c>
      <c r="J521" t="s">
        <v>14</v>
      </c>
      <c r="K521" t="s">
        <v>15</v>
      </c>
      <c r="L521" t="s">
        <v>77</v>
      </c>
      <c r="M521">
        <f>IFERROR( _xlfn.XLOOKUP(TRIM(tbl_HR_Data[[#This Row],[Age]]),#REF!,#REF!), VALUE(TRIM(tbl_HR_Data[[#This Row],[Age]])))</f>
        <v>30</v>
      </c>
      <c r="N521" t="str">
        <f>IFERROR(_xlfn.XLOOKUP(tbl_HR_Data[[#This Row],[Gender]], Mapping[Gender _Discarded], Mapping[Gender_Correction]), PROPER(TRIM(tbl_HR_Data[[#This Row],[Gender]])))</f>
        <v>Other</v>
      </c>
      <c r="O521" t="str">
        <f>TRIM(tbl_HR_Data[[#This Row],[Position]])</f>
        <v>Assistant</v>
      </c>
      <c r="P521" t="str">
        <f>IFERROR(_xlfn.XLOOKUP(tbl_HR_Data[[#This Row],[Email]], Mapping[Email_Discarded], Mapping[Email_Correction]), LOWER(TRIM(tbl_HR_Data[[#This Row],[Email]])))</f>
        <v>email@example.com</v>
      </c>
      <c r="Q52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21" t="str" cm="1">
        <f t="array" ref="R521">_xlfn.REDUCE(Q521, {"-","/","_","\","(",")"}, _xlfn.LAMBDA(_xlpm.txt,_xlpm.itm, SUBSTITUTE(_xlpm.txt, _xlpm.itm, "")))</f>
        <v>Not Provided</v>
      </c>
      <c r="S521" s="3">
        <f>IFERROR(_xlfn.XLOOKUP(tbl_HR_Data[[#This Row],[Joining Date]], Mapping[Joining_Discarded], Mapping[Joining_Correction]), VALUE(tbl_HR_Data[[#This Row],[Joining Date]]))</f>
        <v>43549</v>
      </c>
      <c r="T521" t="str">
        <f>TEXT(tbl_HR_Data[[#This Row],[Joining Date]], "mmm")</f>
        <v>Mar</v>
      </c>
      <c r="U521" t="str">
        <f>TEXT(tbl_HR_Data[[#This Row],[Joining Date]], "ddd")</f>
        <v>Mon</v>
      </c>
    </row>
    <row r="522" spans="1:21" x14ac:dyDescent="0.35">
      <c r="A522" t="s">
        <v>100</v>
      </c>
      <c r="B522">
        <v>0</v>
      </c>
      <c r="C522">
        <v>55000</v>
      </c>
      <c r="D522" t="s">
        <v>36</v>
      </c>
      <c r="E522" t="s">
        <v>12</v>
      </c>
      <c r="F522" t="s">
        <v>20</v>
      </c>
      <c r="G522" s="3">
        <v>43549</v>
      </c>
      <c r="H522" t="str">
        <f>TEXT(tbl_HR_Data[[#This Row],[Joining Date]], "mmm")</f>
        <v>Mar</v>
      </c>
      <c r="I522" t="s">
        <v>94</v>
      </c>
      <c r="J522" t="s">
        <v>14</v>
      </c>
      <c r="K522" t="s">
        <v>32</v>
      </c>
      <c r="L522" t="s">
        <v>88</v>
      </c>
      <c r="M522">
        <f>IFERROR( _xlfn.XLOOKUP(TRIM(tbl_HR_Data[[#This Row],[Age]]),#REF!,#REF!), VALUE(TRIM(tbl_HR_Data[[#This Row],[Age]])))</f>
        <v>0</v>
      </c>
      <c r="N522" t="str">
        <f>IFERROR(_xlfn.XLOOKUP(tbl_HR_Data[[#This Row],[Gender]], Mapping[Gender _Discarded], Mapping[Gender_Correction]), PROPER(TRIM(tbl_HR_Data[[#This Row],[Gender]])))</f>
        <v>Other</v>
      </c>
      <c r="O522" t="str">
        <f>TRIM(tbl_HR_Data[[#This Row],[Position]])</f>
        <v>Director</v>
      </c>
      <c r="P522" t="str">
        <f>IFERROR(_xlfn.XLOOKUP(tbl_HR_Data[[#This Row],[Email]], Mapping[Email_Discarded], Mapping[Email_Correction]), LOWER(TRIM(tbl_HR_Data[[#This Row],[Email]])))</f>
        <v>name@company.org</v>
      </c>
      <c r="Q52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522" t="str" cm="1">
        <f t="array" ref="R522">_xlfn.REDUCE(Q522, {"-","/","_","\","(",")"}, _xlfn.LAMBDA(_xlpm.txt,_xlpm.itm, SUBSTITUTE(_xlpm.txt, _xlpm.itm, "")))</f>
        <v>0987654321</v>
      </c>
      <c r="S522" s="3">
        <f>IFERROR(_xlfn.XLOOKUP(tbl_HR_Data[[#This Row],[Joining Date]], Mapping[Joining_Discarded], Mapping[Joining_Correction]), VALUE(tbl_HR_Data[[#This Row],[Joining Date]]))</f>
        <v>43549</v>
      </c>
      <c r="T522" t="str">
        <f>TEXT(tbl_HR_Data[[#This Row],[Joining Date]], "mmm")</f>
        <v>Mar</v>
      </c>
      <c r="U522" t="str">
        <f>TEXT(tbl_HR_Data[[#This Row],[Joining Date]], "ddd")</f>
        <v>Mon</v>
      </c>
    </row>
    <row r="523" spans="1:21" x14ac:dyDescent="0.35">
      <c r="A523" t="s">
        <v>103</v>
      </c>
      <c r="B523">
        <v>40</v>
      </c>
      <c r="C523">
        <v>60000</v>
      </c>
      <c r="D523" t="s">
        <v>11</v>
      </c>
      <c r="E523" t="s">
        <v>30</v>
      </c>
      <c r="F523" t="s">
        <v>13</v>
      </c>
      <c r="G523" s="3">
        <v>43549</v>
      </c>
      <c r="H523" t="str">
        <f>TEXT(tbl_HR_Data[[#This Row],[Joining Date]], "mmm")</f>
        <v>Mar</v>
      </c>
      <c r="I523" t="s">
        <v>94</v>
      </c>
      <c r="J523" t="s">
        <v>41</v>
      </c>
      <c r="K523" t="s">
        <v>15</v>
      </c>
      <c r="L523" t="s">
        <v>77</v>
      </c>
      <c r="M523">
        <f>IFERROR( _xlfn.XLOOKUP(TRIM(tbl_HR_Data[[#This Row],[Age]]),#REF!,#REF!), VALUE(TRIM(tbl_HR_Data[[#This Row],[Age]])))</f>
        <v>40</v>
      </c>
      <c r="N523" t="str">
        <f>IFERROR(_xlfn.XLOOKUP(tbl_HR_Data[[#This Row],[Gender]], Mapping[Gender _Discarded], Mapping[Gender_Correction]), PROPER(TRIM(tbl_HR_Data[[#This Row],[Gender]])))</f>
        <v>Male</v>
      </c>
      <c r="O523" t="str">
        <f>TRIM(tbl_HR_Data[[#This Row],[Position]])</f>
        <v>Manager</v>
      </c>
      <c r="P523" t="str">
        <f>IFERROR(_xlfn.XLOOKUP(tbl_HR_Data[[#This Row],[Email]], Mapping[Email_Discarded], Mapping[Email_Correction]), LOWER(TRIM(tbl_HR_Data[[#This Row],[Email]])))</f>
        <v>email@example.com</v>
      </c>
      <c r="Q52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23" t="str" cm="1">
        <f t="array" ref="R523">_xlfn.REDUCE(Q523, {"-","/","_","\","(",")"}, _xlfn.LAMBDA(_xlpm.txt,_xlpm.itm, SUBSTITUTE(_xlpm.txt, _xlpm.itm, "")))</f>
        <v>Not Provided</v>
      </c>
      <c r="S523" s="3">
        <f>IFERROR(_xlfn.XLOOKUP(tbl_HR_Data[[#This Row],[Joining Date]], Mapping[Joining_Discarded], Mapping[Joining_Correction]), VALUE(tbl_HR_Data[[#This Row],[Joining Date]]))</f>
        <v>43549</v>
      </c>
      <c r="T523" t="str">
        <f>TEXT(tbl_HR_Data[[#This Row],[Joining Date]], "mmm")</f>
        <v>Mar</v>
      </c>
      <c r="U523" t="str">
        <f>TEXT(tbl_HR_Data[[#This Row],[Joining Date]], "ddd")</f>
        <v>Mon</v>
      </c>
    </row>
    <row r="524" spans="1:21" x14ac:dyDescent="0.35">
      <c r="A524" t="s">
        <v>103</v>
      </c>
      <c r="B524">
        <v>50</v>
      </c>
      <c r="C524">
        <v>0</v>
      </c>
      <c r="D524" t="s">
        <v>18</v>
      </c>
      <c r="E524" t="s">
        <v>37</v>
      </c>
      <c r="F524" t="s">
        <v>20</v>
      </c>
      <c r="G524" s="3">
        <v>43549</v>
      </c>
      <c r="H524" t="str">
        <f>TEXT(tbl_HR_Data[[#This Row],[Joining Date]], "mmm")</f>
        <v>Mar</v>
      </c>
      <c r="I524" t="s">
        <v>94</v>
      </c>
      <c r="J524" t="s">
        <v>21</v>
      </c>
      <c r="K524" t="s">
        <v>15</v>
      </c>
      <c r="L524" t="s">
        <v>89</v>
      </c>
      <c r="M524">
        <f>IFERROR( _xlfn.XLOOKUP(TRIM(tbl_HR_Data[[#This Row],[Age]]),#REF!,#REF!), VALUE(TRIM(tbl_HR_Data[[#This Row],[Age]])))</f>
        <v>50</v>
      </c>
      <c r="N524" t="str">
        <f>IFERROR(_xlfn.XLOOKUP(tbl_HR_Data[[#This Row],[Gender]], Mapping[Gender _Discarded], Mapping[Gender_Correction]), PROPER(TRIM(tbl_HR_Data[[#This Row],[Gender]])))</f>
        <v>Female</v>
      </c>
      <c r="O524" t="str">
        <f>TRIM(tbl_HR_Data[[#This Row],[Position]])</f>
        <v>Director</v>
      </c>
      <c r="P524" t="str">
        <f>IFERROR(_xlfn.XLOOKUP(tbl_HR_Data[[#This Row],[Email]], Mapping[Email_Discarded], Mapping[Email_Correction]), LOWER(TRIM(tbl_HR_Data[[#This Row],[Email]])))</f>
        <v>email@example.com</v>
      </c>
      <c r="Q52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524" t="str" cm="1">
        <f t="array" ref="R524">_xlfn.REDUCE(Q524, {"-","/","_","\","(",")"}, _xlfn.LAMBDA(_xlpm.txt,_xlpm.itm, SUBSTITUTE(_xlpm.txt, _xlpm.itm, "")))</f>
        <v>5555555555</v>
      </c>
      <c r="S524" s="3">
        <f>IFERROR(_xlfn.XLOOKUP(tbl_HR_Data[[#This Row],[Joining Date]], Mapping[Joining_Discarded], Mapping[Joining_Correction]), VALUE(tbl_HR_Data[[#This Row],[Joining Date]]))</f>
        <v>43549</v>
      </c>
      <c r="T524" t="str">
        <f>TEXT(tbl_HR_Data[[#This Row],[Joining Date]], "mmm")</f>
        <v>Mar</v>
      </c>
      <c r="U524" t="str">
        <f>TEXT(tbl_HR_Data[[#This Row],[Joining Date]], "ddd")</f>
        <v>Mon</v>
      </c>
    </row>
    <row r="525" spans="1:21" x14ac:dyDescent="0.35">
      <c r="A525" t="s">
        <v>106</v>
      </c>
      <c r="B525">
        <v>30</v>
      </c>
      <c r="C525">
        <v>60000</v>
      </c>
      <c r="D525" t="s">
        <v>36</v>
      </c>
      <c r="E525" t="s">
        <v>12</v>
      </c>
      <c r="F525" t="s">
        <v>39</v>
      </c>
      <c r="G525" s="3">
        <v>43549</v>
      </c>
      <c r="H525" t="str">
        <f>TEXT(tbl_HR_Data[[#This Row],[Joining Date]], "mmm")</f>
        <v>Mar</v>
      </c>
      <c r="I525" t="s">
        <v>94</v>
      </c>
      <c r="J525" t="s">
        <v>27</v>
      </c>
      <c r="K525" t="s">
        <v>15</v>
      </c>
      <c r="L525" t="s">
        <v>87</v>
      </c>
      <c r="M525">
        <f>IFERROR( _xlfn.XLOOKUP(TRIM(tbl_HR_Data[[#This Row],[Age]]),#REF!,#REF!), VALUE(TRIM(tbl_HR_Data[[#This Row],[Age]])))</f>
        <v>30</v>
      </c>
      <c r="N525" t="str">
        <f>IFERROR(_xlfn.XLOOKUP(tbl_HR_Data[[#This Row],[Gender]], Mapping[Gender _Discarded], Mapping[Gender_Correction]), PROPER(TRIM(tbl_HR_Data[[#This Row],[Gender]])))</f>
        <v>Other</v>
      </c>
      <c r="O525" t="str">
        <f>TRIM(tbl_HR_Data[[#This Row],[Position]])</f>
        <v>Clerk</v>
      </c>
      <c r="P525" t="str">
        <f>IFERROR(_xlfn.XLOOKUP(tbl_HR_Data[[#This Row],[Email]], Mapping[Email_Discarded], Mapping[Email_Correction]), LOWER(TRIM(tbl_HR_Data[[#This Row],[Email]])))</f>
        <v>email@example.com</v>
      </c>
      <c r="Q52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25" t="str" cm="1">
        <f t="array" ref="R525">_xlfn.REDUCE(Q525, {"-","/","_","\","(",")"}, _xlfn.LAMBDA(_xlpm.txt,_xlpm.itm, SUBSTITUTE(_xlpm.txt, _xlpm.itm, "")))</f>
        <v>1234567890</v>
      </c>
      <c r="S525" s="3">
        <f>IFERROR(_xlfn.XLOOKUP(tbl_HR_Data[[#This Row],[Joining Date]], Mapping[Joining_Discarded], Mapping[Joining_Correction]), VALUE(tbl_HR_Data[[#This Row],[Joining Date]]))</f>
        <v>43549</v>
      </c>
      <c r="T525" t="str">
        <f>TEXT(tbl_HR_Data[[#This Row],[Joining Date]], "mmm")</f>
        <v>Mar</v>
      </c>
      <c r="U525" t="str">
        <f>TEXT(tbl_HR_Data[[#This Row],[Joining Date]], "ddd")</f>
        <v>Mon</v>
      </c>
    </row>
    <row r="526" spans="1:21" x14ac:dyDescent="0.35">
      <c r="A526" t="s">
        <v>100</v>
      </c>
      <c r="B526">
        <v>50</v>
      </c>
      <c r="C526">
        <v>65000</v>
      </c>
      <c r="D526" t="s">
        <v>11</v>
      </c>
      <c r="E526" t="s">
        <v>12</v>
      </c>
      <c r="F526" t="s">
        <v>44</v>
      </c>
      <c r="G526" s="3">
        <v>43549</v>
      </c>
      <c r="H526" t="str">
        <f>TEXT(tbl_HR_Data[[#This Row],[Joining Date]], "mmm")</f>
        <v>Mar</v>
      </c>
      <c r="I526" t="s">
        <v>94</v>
      </c>
      <c r="J526" t="s">
        <v>27</v>
      </c>
      <c r="K526" t="s">
        <v>15</v>
      </c>
      <c r="L526" t="s">
        <v>77</v>
      </c>
      <c r="M526">
        <f>IFERROR( _xlfn.XLOOKUP(TRIM(tbl_HR_Data[[#This Row],[Age]]),#REF!,#REF!), VALUE(TRIM(tbl_HR_Data[[#This Row],[Age]])))</f>
        <v>50</v>
      </c>
      <c r="N526" t="str">
        <f>IFERROR(_xlfn.XLOOKUP(tbl_HR_Data[[#This Row],[Gender]], Mapping[Gender _Discarded], Mapping[Gender_Correction]), PROPER(TRIM(tbl_HR_Data[[#This Row],[Gender]])))</f>
        <v>Male</v>
      </c>
      <c r="O526" t="str">
        <f>TRIM(tbl_HR_Data[[#This Row],[Position]])</f>
        <v>Analyst</v>
      </c>
      <c r="P526" t="str">
        <f>IFERROR(_xlfn.XLOOKUP(tbl_HR_Data[[#This Row],[Email]], Mapping[Email_Discarded], Mapping[Email_Correction]), LOWER(TRIM(tbl_HR_Data[[#This Row],[Email]])))</f>
        <v>email@example.com</v>
      </c>
      <c r="Q52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26" t="str" cm="1">
        <f t="array" ref="R526">_xlfn.REDUCE(Q526, {"-","/","_","\","(",")"}, _xlfn.LAMBDA(_xlpm.txt,_xlpm.itm, SUBSTITUTE(_xlpm.txt, _xlpm.itm, "")))</f>
        <v>Not Provided</v>
      </c>
      <c r="S526" s="3">
        <f>IFERROR(_xlfn.XLOOKUP(tbl_HR_Data[[#This Row],[Joining Date]], Mapping[Joining_Discarded], Mapping[Joining_Correction]), VALUE(tbl_HR_Data[[#This Row],[Joining Date]]))</f>
        <v>43549</v>
      </c>
      <c r="T526" t="str">
        <f>TEXT(tbl_HR_Data[[#This Row],[Joining Date]], "mmm")</f>
        <v>Mar</v>
      </c>
      <c r="U526" t="str">
        <f>TEXT(tbl_HR_Data[[#This Row],[Joining Date]], "ddd")</f>
        <v>Mon</v>
      </c>
    </row>
    <row r="527" spans="1:21" x14ac:dyDescent="0.35">
      <c r="A527" t="s">
        <v>103</v>
      </c>
      <c r="B527">
        <v>50</v>
      </c>
      <c r="C527">
        <v>0</v>
      </c>
      <c r="D527" t="s">
        <v>18</v>
      </c>
      <c r="E527" t="s">
        <v>30</v>
      </c>
      <c r="F527" t="s">
        <v>20</v>
      </c>
      <c r="G527" s="3">
        <v>43549</v>
      </c>
      <c r="H527" t="str">
        <f>TEXT(tbl_HR_Data[[#This Row],[Joining Date]], "mmm")</f>
        <v>Mar</v>
      </c>
      <c r="I527" t="s">
        <v>94</v>
      </c>
      <c r="J527" t="s">
        <v>41</v>
      </c>
      <c r="K527" t="s">
        <v>22</v>
      </c>
      <c r="L527" t="s">
        <v>77</v>
      </c>
      <c r="M527">
        <f>IFERROR( _xlfn.XLOOKUP(TRIM(tbl_HR_Data[[#This Row],[Age]]),#REF!,#REF!), VALUE(TRIM(tbl_HR_Data[[#This Row],[Age]])))</f>
        <v>50</v>
      </c>
      <c r="N527" t="str">
        <f>IFERROR(_xlfn.XLOOKUP(tbl_HR_Data[[#This Row],[Gender]], Mapping[Gender _Discarded], Mapping[Gender_Correction]), PROPER(TRIM(tbl_HR_Data[[#This Row],[Gender]])))</f>
        <v>Female</v>
      </c>
      <c r="O527" t="str">
        <f>TRIM(tbl_HR_Data[[#This Row],[Position]])</f>
        <v>Director</v>
      </c>
      <c r="P527" t="str">
        <f>IFERROR(_xlfn.XLOOKUP(tbl_HR_Data[[#This Row],[Email]], Mapping[Email_Discarded], Mapping[Email_Correction]), LOWER(TRIM(tbl_HR_Data[[#This Row],[Email]])))</f>
        <v>user@domain.com</v>
      </c>
      <c r="Q52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27" t="str" cm="1">
        <f t="array" ref="R527">_xlfn.REDUCE(Q527, {"-","/","_","\","(",")"}, _xlfn.LAMBDA(_xlpm.txt,_xlpm.itm, SUBSTITUTE(_xlpm.txt, _xlpm.itm, "")))</f>
        <v>Not Provided</v>
      </c>
      <c r="S527" s="3">
        <f>IFERROR(_xlfn.XLOOKUP(tbl_HR_Data[[#This Row],[Joining Date]], Mapping[Joining_Discarded], Mapping[Joining_Correction]), VALUE(tbl_HR_Data[[#This Row],[Joining Date]]))</f>
        <v>43549</v>
      </c>
      <c r="T527" t="str">
        <f>TEXT(tbl_HR_Data[[#This Row],[Joining Date]], "mmm")</f>
        <v>Mar</v>
      </c>
      <c r="U527" t="str">
        <f>TEXT(tbl_HR_Data[[#This Row],[Joining Date]], "ddd")</f>
        <v>Mon</v>
      </c>
    </row>
    <row r="528" spans="1:21" x14ac:dyDescent="0.35">
      <c r="A528" t="s">
        <v>101</v>
      </c>
      <c r="B528">
        <v>35</v>
      </c>
      <c r="C528">
        <v>60000</v>
      </c>
      <c r="D528" t="s">
        <v>36</v>
      </c>
      <c r="E528" t="s">
        <v>37</v>
      </c>
      <c r="F528" t="s">
        <v>39</v>
      </c>
      <c r="G528" s="3">
        <v>43549</v>
      </c>
      <c r="H528" t="str">
        <f>TEXT(tbl_HR_Data[[#This Row],[Joining Date]], "mmm")</f>
        <v>Mar</v>
      </c>
      <c r="I528" t="s">
        <v>94</v>
      </c>
      <c r="J528" t="s">
        <v>31</v>
      </c>
      <c r="K528" t="s">
        <v>77</v>
      </c>
      <c r="L528" t="s">
        <v>77</v>
      </c>
      <c r="M528">
        <f>IFERROR( _xlfn.XLOOKUP(TRIM(tbl_HR_Data[[#This Row],[Age]]),#REF!,#REF!), VALUE(TRIM(tbl_HR_Data[[#This Row],[Age]])))</f>
        <v>35</v>
      </c>
      <c r="N528" t="str">
        <f>IFERROR(_xlfn.XLOOKUP(tbl_HR_Data[[#This Row],[Gender]], Mapping[Gender _Discarded], Mapping[Gender_Correction]), PROPER(TRIM(tbl_HR_Data[[#This Row],[Gender]])))</f>
        <v>Other</v>
      </c>
      <c r="O528" t="str">
        <f>TRIM(tbl_HR_Data[[#This Row],[Position]])</f>
        <v>Clerk</v>
      </c>
      <c r="P528" t="str">
        <f>IFERROR(_xlfn.XLOOKUP(tbl_HR_Data[[#This Row],[Email]], Mapping[Email_Discarded], Mapping[Email_Correction]), LOWER(TRIM(tbl_HR_Data[[#This Row],[Email]])))</f>
        <v>not provided</v>
      </c>
      <c r="Q52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28" t="str" cm="1">
        <f t="array" ref="R528">_xlfn.REDUCE(Q528, {"-","/","_","\","(",")"}, _xlfn.LAMBDA(_xlpm.txt,_xlpm.itm, SUBSTITUTE(_xlpm.txt, _xlpm.itm, "")))</f>
        <v>Not Provided</v>
      </c>
      <c r="S528" s="3">
        <f>IFERROR(_xlfn.XLOOKUP(tbl_HR_Data[[#This Row],[Joining Date]], Mapping[Joining_Discarded], Mapping[Joining_Correction]), VALUE(tbl_HR_Data[[#This Row],[Joining Date]]))</f>
        <v>43549</v>
      </c>
      <c r="T528" t="str">
        <f>TEXT(tbl_HR_Data[[#This Row],[Joining Date]], "mmm")</f>
        <v>Mar</v>
      </c>
      <c r="U528" t="str">
        <f>TEXT(tbl_HR_Data[[#This Row],[Joining Date]], "ddd")</f>
        <v>Mon</v>
      </c>
    </row>
    <row r="529" spans="1:21" x14ac:dyDescent="0.35">
      <c r="A529" t="s">
        <v>107</v>
      </c>
      <c r="B529">
        <v>0</v>
      </c>
      <c r="C529">
        <v>65000</v>
      </c>
      <c r="D529" t="s">
        <v>18</v>
      </c>
      <c r="E529" t="s">
        <v>30</v>
      </c>
      <c r="F529" t="s">
        <v>39</v>
      </c>
      <c r="G529" s="3">
        <v>43549</v>
      </c>
      <c r="H529" t="str">
        <f>TEXT(tbl_HR_Data[[#This Row],[Joining Date]], "mmm")</f>
        <v>Mar</v>
      </c>
      <c r="I529" t="s">
        <v>94</v>
      </c>
      <c r="J529" t="s">
        <v>41</v>
      </c>
      <c r="K529" t="s">
        <v>77</v>
      </c>
      <c r="L529" t="s">
        <v>87</v>
      </c>
      <c r="M529">
        <f>IFERROR( _xlfn.XLOOKUP(TRIM(tbl_HR_Data[[#This Row],[Age]]),#REF!,#REF!), VALUE(TRIM(tbl_HR_Data[[#This Row],[Age]])))</f>
        <v>0</v>
      </c>
      <c r="N529" t="str">
        <f>IFERROR(_xlfn.XLOOKUP(tbl_HR_Data[[#This Row],[Gender]], Mapping[Gender _Discarded], Mapping[Gender_Correction]), PROPER(TRIM(tbl_HR_Data[[#This Row],[Gender]])))</f>
        <v>Female</v>
      </c>
      <c r="O529" t="str">
        <f>TRIM(tbl_HR_Data[[#This Row],[Position]])</f>
        <v>Clerk</v>
      </c>
      <c r="P529" t="str">
        <f>IFERROR(_xlfn.XLOOKUP(tbl_HR_Data[[#This Row],[Email]], Mapping[Email_Discarded], Mapping[Email_Correction]), LOWER(TRIM(tbl_HR_Data[[#This Row],[Email]])))</f>
        <v>not provided</v>
      </c>
      <c r="Q52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29" t="str" cm="1">
        <f t="array" ref="R529">_xlfn.REDUCE(Q529, {"-","/","_","\","(",")"}, _xlfn.LAMBDA(_xlpm.txt,_xlpm.itm, SUBSTITUTE(_xlpm.txt, _xlpm.itm, "")))</f>
        <v>1234567890</v>
      </c>
      <c r="S529" s="3">
        <f>IFERROR(_xlfn.XLOOKUP(tbl_HR_Data[[#This Row],[Joining Date]], Mapping[Joining_Discarded], Mapping[Joining_Correction]), VALUE(tbl_HR_Data[[#This Row],[Joining Date]]))</f>
        <v>43549</v>
      </c>
      <c r="T529" t="str">
        <f>TEXT(tbl_HR_Data[[#This Row],[Joining Date]], "mmm")</f>
        <v>Mar</v>
      </c>
      <c r="U529" t="str">
        <f>TEXT(tbl_HR_Data[[#This Row],[Joining Date]], "ddd")</f>
        <v>Mon</v>
      </c>
    </row>
    <row r="530" spans="1:21" x14ac:dyDescent="0.35">
      <c r="A530" t="s">
        <v>99</v>
      </c>
      <c r="B530">
        <v>25</v>
      </c>
      <c r="C530">
        <v>50000</v>
      </c>
      <c r="D530" t="s">
        <v>11</v>
      </c>
      <c r="E530" t="s">
        <v>19</v>
      </c>
      <c r="F530" t="s">
        <v>43</v>
      </c>
      <c r="G530" s="3">
        <v>43549</v>
      </c>
      <c r="H530" t="str">
        <f>TEXT(tbl_HR_Data[[#This Row],[Joining Date]], "mmm")</f>
        <v>Mar</v>
      </c>
      <c r="I530" t="s">
        <v>94</v>
      </c>
      <c r="J530" t="s">
        <v>31</v>
      </c>
      <c r="K530" t="s">
        <v>77</v>
      </c>
      <c r="L530" t="s">
        <v>88</v>
      </c>
      <c r="M530">
        <f>IFERROR( _xlfn.XLOOKUP(TRIM(tbl_HR_Data[[#This Row],[Age]]),#REF!,#REF!), VALUE(TRIM(tbl_HR_Data[[#This Row],[Age]])))</f>
        <v>25</v>
      </c>
      <c r="N530" t="str">
        <f>IFERROR(_xlfn.XLOOKUP(tbl_HR_Data[[#This Row],[Gender]], Mapping[Gender _Discarded], Mapping[Gender_Correction]), PROPER(TRIM(tbl_HR_Data[[#This Row],[Gender]])))</f>
        <v>Male</v>
      </c>
      <c r="O530" t="str">
        <f>TRIM(tbl_HR_Data[[#This Row],[Position]])</f>
        <v>Assistant</v>
      </c>
      <c r="P530" t="str">
        <f>IFERROR(_xlfn.XLOOKUP(tbl_HR_Data[[#This Row],[Email]], Mapping[Email_Discarded], Mapping[Email_Correction]), LOWER(TRIM(tbl_HR_Data[[#This Row],[Email]])))</f>
        <v>not provided</v>
      </c>
      <c r="Q53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530" t="str" cm="1">
        <f t="array" ref="R530">_xlfn.REDUCE(Q530, {"-","/","_","\","(",")"}, _xlfn.LAMBDA(_xlpm.txt,_xlpm.itm, SUBSTITUTE(_xlpm.txt, _xlpm.itm, "")))</f>
        <v>0987654321</v>
      </c>
      <c r="S530" s="3">
        <f>IFERROR(_xlfn.XLOOKUP(tbl_HR_Data[[#This Row],[Joining Date]], Mapping[Joining_Discarded], Mapping[Joining_Correction]), VALUE(tbl_HR_Data[[#This Row],[Joining Date]]))</f>
        <v>43549</v>
      </c>
      <c r="T530" t="str">
        <f>TEXT(tbl_HR_Data[[#This Row],[Joining Date]], "mmm")</f>
        <v>Mar</v>
      </c>
      <c r="U530" t="str">
        <f>TEXT(tbl_HR_Data[[#This Row],[Joining Date]], "ddd")</f>
        <v>Mon</v>
      </c>
    </row>
    <row r="531" spans="1:21" x14ac:dyDescent="0.35">
      <c r="A531" t="s">
        <v>106</v>
      </c>
      <c r="B531">
        <v>50</v>
      </c>
      <c r="C531">
        <v>60000</v>
      </c>
      <c r="D531" t="s">
        <v>36</v>
      </c>
      <c r="E531" t="s">
        <v>37</v>
      </c>
      <c r="F531" t="s">
        <v>39</v>
      </c>
      <c r="G531" s="3">
        <v>43549</v>
      </c>
      <c r="H531" t="str">
        <f>TEXT(tbl_HR_Data[[#This Row],[Joining Date]], "mmm")</f>
        <v>Mar</v>
      </c>
      <c r="I531" t="s">
        <v>94</v>
      </c>
      <c r="J531" t="s">
        <v>27</v>
      </c>
      <c r="K531" t="s">
        <v>22</v>
      </c>
      <c r="L531" t="s">
        <v>89</v>
      </c>
      <c r="M531">
        <f>IFERROR( _xlfn.XLOOKUP(TRIM(tbl_HR_Data[[#This Row],[Age]]),#REF!,#REF!), VALUE(TRIM(tbl_HR_Data[[#This Row],[Age]])))</f>
        <v>50</v>
      </c>
      <c r="N531" t="str">
        <f>IFERROR(_xlfn.XLOOKUP(tbl_HR_Data[[#This Row],[Gender]], Mapping[Gender _Discarded], Mapping[Gender_Correction]), PROPER(TRIM(tbl_HR_Data[[#This Row],[Gender]])))</f>
        <v>Other</v>
      </c>
      <c r="O531" t="str">
        <f>TRIM(tbl_HR_Data[[#This Row],[Position]])</f>
        <v>Clerk</v>
      </c>
      <c r="P531" t="str">
        <f>IFERROR(_xlfn.XLOOKUP(tbl_HR_Data[[#This Row],[Email]], Mapping[Email_Discarded], Mapping[Email_Correction]), LOWER(TRIM(tbl_HR_Data[[#This Row],[Email]])))</f>
        <v>user@domain.com</v>
      </c>
      <c r="Q53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531" t="str" cm="1">
        <f t="array" ref="R531">_xlfn.REDUCE(Q531, {"-","/","_","\","(",")"}, _xlfn.LAMBDA(_xlpm.txt,_xlpm.itm, SUBSTITUTE(_xlpm.txt, _xlpm.itm, "")))</f>
        <v>5555555555</v>
      </c>
      <c r="S531" s="3">
        <f>IFERROR(_xlfn.XLOOKUP(tbl_HR_Data[[#This Row],[Joining Date]], Mapping[Joining_Discarded], Mapping[Joining_Correction]), VALUE(tbl_HR_Data[[#This Row],[Joining Date]]))</f>
        <v>43549</v>
      </c>
      <c r="T531" t="str">
        <f>TEXT(tbl_HR_Data[[#This Row],[Joining Date]], "mmm")</f>
        <v>Mar</v>
      </c>
      <c r="U531" t="str">
        <f>TEXT(tbl_HR_Data[[#This Row],[Joining Date]], "ddd")</f>
        <v>Mon</v>
      </c>
    </row>
    <row r="532" spans="1:21" x14ac:dyDescent="0.35">
      <c r="A532" t="s">
        <v>101</v>
      </c>
      <c r="B532">
        <v>50</v>
      </c>
      <c r="C532">
        <v>0</v>
      </c>
      <c r="D532" t="s">
        <v>11</v>
      </c>
      <c r="E532" t="s">
        <v>30</v>
      </c>
      <c r="F532" t="s">
        <v>39</v>
      </c>
      <c r="G532" s="3">
        <v>43549</v>
      </c>
      <c r="H532" t="str">
        <f>TEXT(tbl_HR_Data[[#This Row],[Joining Date]], "mmm")</f>
        <v>Mar</v>
      </c>
      <c r="I532" t="s">
        <v>94</v>
      </c>
      <c r="J532" t="s">
        <v>27</v>
      </c>
      <c r="K532" t="s">
        <v>15</v>
      </c>
      <c r="L532" t="s">
        <v>88</v>
      </c>
      <c r="M532">
        <f>IFERROR( _xlfn.XLOOKUP(TRIM(tbl_HR_Data[[#This Row],[Age]]),#REF!,#REF!), VALUE(TRIM(tbl_HR_Data[[#This Row],[Age]])))</f>
        <v>50</v>
      </c>
      <c r="N532" t="str">
        <f>IFERROR(_xlfn.XLOOKUP(tbl_HR_Data[[#This Row],[Gender]], Mapping[Gender _Discarded], Mapping[Gender_Correction]), PROPER(TRIM(tbl_HR_Data[[#This Row],[Gender]])))</f>
        <v>Male</v>
      </c>
      <c r="O532" t="str">
        <f>TRIM(tbl_HR_Data[[#This Row],[Position]])</f>
        <v>Clerk</v>
      </c>
      <c r="P532" t="str">
        <f>IFERROR(_xlfn.XLOOKUP(tbl_HR_Data[[#This Row],[Email]], Mapping[Email_Discarded], Mapping[Email_Correction]), LOWER(TRIM(tbl_HR_Data[[#This Row],[Email]])))</f>
        <v>email@example.com</v>
      </c>
      <c r="Q53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532" t="str" cm="1">
        <f t="array" ref="R532">_xlfn.REDUCE(Q532, {"-","/","_","\","(",")"}, _xlfn.LAMBDA(_xlpm.txt,_xlpm.itm, SUBSTITUTE(_xlpm.txt, _xlpm.itm, "")))</f>
        <v>0987654321</v>
      </c>
      <c r="S532" s="3">
        <f>IFERROR(_xlfn.XLOOKUP(tbl_HR_Data[[#This Row],[Joining Date]], Mapping[Joining_Discarded], Mapping[Joining_Correction]), VALUE(tbl_HR_Data[[#This Row],[Joining Date]]))</f>
        <v>43549</v>
      </c>
      <c r="T532" t="str">
        <f>TEXT(tbl_HR_Data[[#This Row],[Joining Date]], "mmm")</f>
        <v>Mar</v>
      </c>
      <c r="U532" t="str">
        <f>TEXT(tbl_HR_Data[[#This Row],[Joining Date]], "ddd")</f>
        <v>Mon</v>
      </c>
    </row>
    <row r="533" spans="1:21" x14ac:dyDescent="0.35">
      <c r="A533" t="s">
        <v>101</v>
      </c>
      <c r="B533">
        <v>0</v>
      </c>
      <c r="C533">
        <v>65000</v>
      </c>
      <c r="D533" t="s">
        <v>11</v>
      </c>
      <c r="E533" t="s">
        <v>19</v>
      </c>
      <c r="F533" t="s">
        <v>39</v>
      </c>
      <c r="G533" s="3">
        <v>43549</v>
      </c>
      <c r="H533" t="str">
        <f>TEXT(tbl_HR_Data[[#This Row],[Joining Date]], "mmm")</f>
        <v>Mar</v>
      </c>
      <c r="I533" t="s">
        <v>94</v>
      </c>
      <c r="J533" t="s">
        <v>41</v>
      </c>
      <c r="K533" t="s">
        <v>77</v>
      </c>
      <c r="L533" t="s">
        <v>87</v>
      </c>
      <c r="M533">
        <f>IFERROR( _xlfn.XLOOKUP(TRIM(tbl_HR_Data[[#This Row],[Age]]),#REF!,#REF!), VALUE(TRIM(tbl_HR_Data[[#This Row],[Age]])))</f>
        <v>0</v>
      </c>
      <c r="N533" t="str">
        <f>IFERROR(_xlfn.XLOOKUP(tbl_HR_Data[[#This Row],[Gender]], Mapping[Gender _Discarded], Mapping[Gender_Correction]), PROPER(TRIM(tbl_HR_Data[[#This Row],[Gender]])))</f>
        <v>Male</v>
      </c>
      <c r="O533" t="str">
        <f>TRIM(tbl_HR_Data[[#This Row],[Position]])</f>
        <v>Clerk</v>
      </c>
      <c r="P533" t="str">
        <f>IFERROR(_xlfn.XLOOKUP(tbl_HR_Data[[#This Row],[Email]], Mapping[Email_Discarded], Mapping[Email_Correction]), LOWER(TRIM(tbl_HR_Data[[#This Row],[Email]])))</f>
        <v>not provided</v>
      </c>
      <c r="Q53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33" t="str" cm="1">
        <f t="array" ref="R533">_xlfn.REDUCE(Q533, {"-","/","_","\","(",")"}, _xlfn.LAMBDA(_xlpm.txt,_xlpm.itm, SUBSTITUTE(_xlpm.txt, _xlpm.itm, "")))</f>
        <v>1234567890</v>
      </c>
      <c r="S533" s="3">
        <f>IFERROR(_xlfn.XLOOKUP(tbl_HR_Data[[#This Row],[Joining Date]], Mapping[Joining_Discarded], Mapping[Joining_Correction]), VALUE(tbl_HR_Data[[#This Row],[Joining Date]]))</f>
        <v>43549</v>
      </c>
      <c r="T533" t="str">
        <f>TEXT(tbl_HR_Data[[#This Row],[Joining Date]], "mmm")</f>
        <v>Mar</v>
      </c>
      <c r="U533" t="str">
        <f>TEXT(tbl_HR_Data[[#This Row],[Joining Date]], "ddd")</f>
        <v>Mon</v>
      </c>
    </row>
    <row r="534" spans="1:21" x14ac:dyDescent="0.35">
      <c r="A534" t="s">
        <v>101</v>
      </c>
      <c r="B534">
        <v>30</v>
      </c>
      <c r="C534">
        <v>55000</v>
      </c>
      <c r="D534" t="s">
        <v>11</v>
      </c>
      <c r="E534" t="s">
        <v>30</v>
      </c>
      <c r="F534" t="s">
        <v>20</v>
      </c>
      <c r="G534" s="3">
        <v>43549</v>
      </c>
      <c r="H534" t="str">
        <f>TEXT(tbl_HR_Data[[#This Row],[Joining Date]], "mmm")</f>
        <v>Mar</v>
      </c>
      <c r="I534" t="s">
        <v>94</v>
      </c>
      <c r="J534" t="s">
        <v>21</v>
      </c>
      <c r="K534" t="s">
        <v>77</v>
      </c>
      <c r="L534" t="s">
        <v>89</v>
      </c>
      <c r="M534">
        <f>IFERROR( _xlfn.XLOOKUP(TRIM(tbl_HR_Data[[#This Row],[Age]]),#REF!,#REF!), VALUE(TRIM(tbl_HR_Data[[#This Row],[Age]])))</f>
        <v>30</v>
      </c>
      <c r="N534" t="str">
        <f>IFERROR(_xlfn.XLOOKUP(tbl_HR_Data[[#This Row],[Gender]], Mapping[Gender _Discarded], Mapping[Gender_Correction]), PROPER(TRIM(tbl_HR_Data[[#This Row],[Gender]])))</f>
        <v>Male</v>
      </c>
      <c r="O534" t="str">
        <f>TRIM(tbl_HR_Data[[#This Row],[Position]])</f>
        <v>Director</v>
      </c>
      <c r="P534" t="str">
        <f>IFERROR(_xlfn.XLOOKUP(tbl_HR_Data[[#This Row],[Email]], Mapping[Email_Discarded], Mapping[Email_Correction]), LOWER(TRIM(tbl_HR_Data[[#This Row],[Email]])))</f>
        <v>not provided</v>
      </c>
      <c r="Q53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534" t="str" cm="1">
        <f t="array" ref="R534">_xlfn.REDUCE(Q534, {"-","/","_","\","(",")"}, _xlfn.LAMBDA(_xlpm.txt,_xlpm.itm, SUBSTITUTE(_xlpm.txt, _xlpm.itm, "")))</f>
        <v>5555555555</v>
      </c>
      <c r="S534" s="3">
        <f>IFERROR(_xlfn.XLOOKUP(tbl_HR_Data[[#This Row],[Joining Date]], Mapping[Joining_Discarded], Mapping[Joining_Correction]), VALUE(tbl_HR_Data[[#This Row],[Joining Date]]))</f>
        <v>43549</v>
      </c>
      <c r="T534" t="str">
        <f>TEXT(tbl_HR_Data[[#This Row],[Joining Date]], "mmm")</f>
        <v>Mar</v>
      </c>
      <c r="U534" t="str">
        <f>TEXT(tbl_HR_Data[[#This Row],[Joining Date]], "ddd")</f>
        <v>Mon</v>
      </c>
    </row>
    <row r="535" spans="1:21" x14ac:dyDescent="0.35">
      <c r="A535" t="s">
        <v>105</v>
      </c>
      <c r="B535">
        <v>0</v>
      </c>
      <c r="C535">
        <v>70000</v>
      </c>
      <c r="D535" t="s">
        <v>18</v>
      </c>
      <c r="E535" t="s">
        <v>30</v>
      </c>
      <c r="F535" t="s">
        <v>13</v>
      </c>
      <c r="G535" s="3">
        <v>43549</v>
      </c>
      <c r="H535" t="str">
        <f>TEXT(tbl_HR_Data[[#This Row],[Joining Date]], "mmm")</f>
        <v>Mar</v>
      </c>
      <c r="I535" t="s">
        <v>94</v>
      </c>
      <c r="J535" t="s">
        <v>41</v>
      </c>
      <c r="K535" t="s">
        <v>77</v>
      </c>
      <c r="L535" t="s">
        <v>77</v>
      </c>
      <c r="M535">
        <f>IFERROR( _xlfn.XLOOKUP(TRIM(tbl_HR_Data[[#This Row],[Age]]),#REF!,#REF!), VALUE(TRIM(tbl_HR_Data[[#This Row],[Age]])))</f>
        <v>0</v>
      </c>
      <c r="N535" t="str">
        <f>IFERROR(_xlfn.XLOOKUP(tbl_HR_Data[[#This Row],[Gender]], Mapping[Gender _Discarded], Mapping[Gender_Correction]), PROPER(TRIM(tbl_HR_Data[[#This Row],[Gender]])))</f>
        <v>Female</v>
      </c>
      <c r="O535" t="str">
        <f>TRIM(tbl_HR_Data[[#This Row],[Position]])</f>
        <v>Manager</v>
      </c>
      <c r="P535" t="str">
        <f>IFERROR(_xlfn.XLOOKUP(tbl_HR_Data[[#This Row],[Email]], Mapping[Email_Discarded], Mapping[Email_Correction]), LOWER(TRIM(tbl_HR_Data[[#This Row],[Email]])))</f>
        <v>not provided</v>
      </c>
      <c r="Q53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35" t="str" cm="1">
        <f t="array" ref="R535">_xlfn.REDUCE(Q535, {"-","/","_","\","(",")"}, _xlfn.LAMBDA(_xlpm.txt,_xlpm.itm, SUBSTITUTE(_xlpm.txt, _xlpm.itm, "")))</f>
        <v>Not Provided</v>
      </c>
      <c r="S535" s="3">
        <f>IFERROR(_xlfn.XLOOKUP(tbl_HR_Data[[#This Row],[Joining Date]], Mapping[Joining_Discarded], Mapping[Joining_Correction]), VALUE(tbl_HR_Data[[#This Row],[Joining Date]]))</f>
        <v>43549</v>
      </c>
      <c r="T535" t="str">
        <f>TEXT(tbl_HR_Data[[#This Row],[Joining Date]], "mmm")</f>
        <v>Mar</v>
      </c>
      <c r="U535" t="str">
        <f>TEXT(tbl_HR_Data[[#This Row],[Joining Date]], "ddd")</f>
        <v>Mon</v>
      </c>
    </row>
    <row r="536" spans="1:21" x14ac:dyDescent="0.35">
      <c r="A536" t="s">
        <v>108</v>
      </c>
      <c r="B536">
        <v>30</v>
      </c>
      <c r="C536">
        <v>60000</v>
      </c>
      <c r="D536" t="s">
        <v>18</v>
      </c>
      <c r="E536" t="s">
        <v>19</v>
      </c>
      <c r="F536" t="s">
        <v>43</v>
      </c>
      <c r="G536" s="3">
        <v>43549</v>
      </c>
      <c r="H536" t="str">
        <f>TEXT(tbl_HR_Data[[#This Row],[Joining Date]], "mmm")</f>
        <v>Mar</v>
      </c>
      <c r="I536" t="s">
        <v>94</v>
      </c>
      <c r="J536" t="s">
        <v>14</v>
      </c>
      <c r="K536" t="s">
        <v>15</v>
      </c>
      <c r="L536" t="s">
        <v>87</v>
      </c>
      <c r="M536">
        <f>IFERROR( _xlfn.XLOOKUP(TRIM(tbl_HR_Data[[#This Row],[Age]]),#REF!,#REF!), VALUE(TRIM(tbl_HR_Data[[#This Row],[Age]])))</f>
        <v>30</v>
      </c>
      <c r="N536" t="str">
        <f>IFERROR(_xlfn.XLOOKUP(tbl_HR_Data[[#This Row],[Gender]], Mapping[Gender _Discarded], Mapping[Gender_Correction]), PROPER(TRIM(tbl_HR_Data[[#This Row],[Gender]])))</f>
        <v>Female</v>
      </c>
      <c r="O536" t="str">
        <f>TRIM(tbl_HR_Data[[#This Row],[Position]])</f>
        <v>Assistant</v>
      </c>
      <c r="P536" t="str">
        <f>IFERROR(_xlfn.XLOOKUP(tbl_HR_Data[[#This Row],[Email]], Mapping[Email_Discarded], Mapping[Email_Correction]), LOWER(TRIM(tbl_HR_Data[[#This Row],[Email]])))</f>
        <v>email@example.com</v>
      </c>
      <c r="Q53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36" t="str" cm="1">
        <f t="array" ref="R536">_xlfn.REDUCE(Q536, {"-","/","_","\","(",")"}, _xlfn.LAMBDA(_xlpm.txt,_xlpm.itm, SUBSTITUTE(_xlpm.txt, _xlpm.itm, "")))</f>
        <v>1234567890</v>
      </c>
      <c r="S536" s="3">
        <f>IFERROR(_xlfn.XLOOKUP(tbl_HR_Data[[#This Row],[Joining Date]], Mapping[Joining_Discarded], Mapping[Joining_Correction]), VALUE(tbl_HR_Data[[#This Row],[Joining Date]]))</f>
        <v>43549</v>
      </c>
      <c r="T536" t="str">
        <f>TEXT(tbl_HR_Data[[#This Row],[Joining Date]], "mmm")</f>
        <v>Mar</v>
      </c>
      <c r="U536" t="str">
        <f>TEXT(tbl_HR_Data[[#This Row],[Joining Date]], "ddd")</f>
        <v>Mon</v>
      </c>
    </row>
    <row r="537" spans="1:21" x14ac:dyDescent="0.35">
      <c r="A537" t="s">
        <v>103</v>
      </c>
      <c r="B537">
        <v>25</v>
      </c>
      <c r="C537">
        <v>70000</v>
      </c>
      <c r="D537" t="s">
        <v>11</v>
      </c>
      <c r="E537" t="s">
        <v>30</v>
      </c>
      <c r="F537" t="s">
        <v>20</v>
      </c>
      <c r="G537" s="3">
        <v>43549</v>
      </c>
      <c r="H537" t="str">
        <f>TEXT(tbl_HR_Data[[#This Row],[Joining Date]], "mmm")</f>
        <v>Mar</v>
      </c>
      <c r="I537" t="s">
        <v>94</v>
      </c>
      <c r="J537" t="s">
        <v>41</v>
      </c>
      <c r="K537" t="s">
        <v>32</v>
      </c>
      <c r="L537" t="s">
        <v>89</v>
      </c>
      <c r="M537">
        <f>IFERROR( _xlfn.XLOOKUP(TRIM(tbl_HR_Data[[#This Row],[Age]]),#REF!,#REF!), VALUE(TRIM(tbl_HR_Data[[#This Row],[Age]])))</f>
        <v>25</v>
      </c>
      <c r="N537" t="str">
        <f>IFERROR(_xlfn.XLOOKUP(tbl_HR_Data[[#This Row],[Gender]], Mapping[Gender _Discarded], Mapping[Gender_Correction]), PROPER(TRIM(tbl_HR_Data[[#This Row],[Gender]])))</f>
        <v>Male</v>
      </c>
      <c r="O537" t="str">
        <f>TRIM(tbl_HR_Data[[#This Row],[Position]])</f>
        <v>Director</v>
      </c>
      <c r="P537" t="str">
        <f>IFERROR(_xlfn.XLOOKUP(tbl_HR_Data[[#This Row],[Email]], Mapping[Email_Discarded], Mapping[Email_Correction]), LOWER(TRIM(tbl_HR_Data[[#This Row],[Email]])))</f>
        <v>name@company.org</v>
      </c>
      <c r="Q53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537" t="str" cm="1">
        <f t="array" ref="R537">_xlfn.REDUCE(Q537, {"-","/","_","\","(",")"}, _xlfn.LAMBDA(_xlpm.txt,_xlpm.itm, SUBSTITUTE(_xlpm.txt, _xlpm.itm, "")))</f>
        <v>5555555555</v>
      </c>
      <c r="S537" s="3">
        <f>IFERROR(_xlfn.XLOOKUP(tbl_HR_Data[[#This Row],[Joining Date]], Mapping[Joining_Discarded], Mapping[Joining_Correction]), VALUE(tbl_HR_Data[[#This Row],[Joining Date]]))</f>
        <v>43549</v>
      </c>
      <c r="T537" t="str">
        <f>TEXT(tbl_HR_Data[[#This Row],[Joining Date]], "mmm")</f>
        <v>Mar</v>
      </c>
      <c r="U537" t="str">
        <f>TEXT(tbl_HR_Data[[#This Row],[Joining Date]], "ddd")</f>
        <v>Mon</v>
      </c>
    </row>
    <row r="538" spans="1:21" x14ac:dyDescent="0.35">
      <c r="A538" t="s">
        <v>103</v>
      </c>
      <c r="B538">
        <v>40</v>
      </c>
      <c r="C538">
        <v>65000</v>
      </c>
      <c r="D538" t="s">
        <v>11</v>
      </c>
      <c r="E538" t="s">
        <v>26</v>
      </c>
      <c r="F538" t="s">
        <v>44</v>
      </c>
      <c r="G538" s="3">
        <v>43549</v>
      </c>
      <c r="H538" t="str">
        <f>TEXT(tbl_HR_Data[[#This Row],[Joining Date]], "mmm")</f>
        <v>Mar</v>
      </c>
      <c r="I538" t="s">
        <v>94</v>
      </c>
      <c r="J538" t="s">
        <v>14</v>
      </c>
      <c r="K538" t="s">
        <v>77</v>
      </c>
      <c r="L538" t="s">
        <v>88</v>
      </c>
      <c r="M538">
        <f>IFERROR( _xlfn.XLOOKUP(TRIM(tbl_HR_Data[[#This Row],[Age]]),#REF!,#REF!), VALUE(TRIM(tbl_HR_Data[[#This Row],[Age]])))</f>
        <v>40</v>
      </c>
      <c r="N538" t="str">
        <f>IFERROR(_xlfn.XLOOKUP(tbl_HR_Data[[#This Row],[Gender]], Mapping[Gender _Discarded], Mapping[Gender_Correction]), PROPER(TRIM(tbl_HR_Data[[#This Row],[Gender]])))</f>
        <v>Male</v>
      </c>
      <c r="O538" t="str">
        <f>TRIM(tbl_HR_Data[[#This Row],[Position]])</f>
        <v>Analyst</v>
      </c>
      <c r="P538" t="str">
        <f>IFERROR(_xlfn.XLOOKUP(tbl_HR_Data[[#This Row],[Email]], Mapping[Email_Discarded], Mapping[Email_Correction]), LOWER(TRIM(tbl_HR_Data[[#This Row],[Email]])))</f>
        <v>not provided</v>
      </c>
      <c r="Q53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538" t="str" cm="1">
        <f t="array" ref="R538">_xlfn.REDUCE(Q538, {"-","/","_","\","(",")"}, _xlfn.LAMBDA(_xlpm.txt,_xlpm.itm, SUBSTITUTE(_xlpm.txt, _xlpm.itm, "")))</f>
        <v>0987654321</v>
      </c>
      <c r="S538" s="3">
        <f>IFERROR(_xlfn.XLOOKUP(tbl_HR_Data[[#This Row],[Joining Date]], Mapping[Joining_Discarded], Mapping[Joining_Correction]), VALUE(tbl_HR_Data[[#This Row],[Joining Date]]))</f>
        <v>43549</v>
      </c>
      <c r="T538" t="str">
        <f>TEXT(tbl_HR_Data[[#This Row],[Joining Date]], "mmm")</f>
        <v>Mar</v>
      </c>
      <c r="U538" t="str">
        <f>TEXT(tbl_HR_Data[[#This Row],[Joining Date]], "ddd")</f>
        <v>Mon</v>
      </c>
    </row>
    <row r="539" spans="1:21" x14ac:dyDescent="0.35">
      <c r="A539" t="s">
        <v>103</v>
      </c>
      <c r="B539">
        <v>50</v>
      </c>
      <c r="C539">
        <v>65000</v>
      </c>
      <c r="D539" t="s">
        <v>11</v>
      </c>
      <c r="E539" t="s">
        <v>19</v>
      </c>
      <c r="F539" t="s">
        <v>43</v>
      </c>
      <c r="G539" s="3">
        <v>43549</v>
      </c>
      <c r="H539" t="str">
        <f>TEXT(tbl_HR_Data[[#This Row],[Joining Date]], "mmm")</f>
        <v>Mar</v>
      </c>
      <c r="I539" t="s">
        <v>94</v>
      </c>
      <c r="J539" t="s">
        <v>21</v>
      </c>
      <c r="K539" t="s">
        <v>77</v>
      </c>
      <c r="L539" t="s">
        <v>77</v>
      </c>
      <c r="M539">
        <f>IFERROR( _xlfn.XLOOKUP(TRIM(tbl_HR_Data[[#This Row],[Age]]),#REF!,#REF!), VALUE(TRIM(tbl_HR_Data[[#This Row],[Age]])))</f>
        <v>50</v>
      </c>
      <c r="N539" t="str">
        <f>IFERROR(_xlfn.XLOOKUP(tbl_HR_Data[[#This Row],[Gender]], Mapping[Gender _Discarded], Mapping[Gender_Correction]), PROPER(TRIM(tbl_HR_Data[[#This Row],[Gender]])))</f>
        <v>Male</v>
      </c>
      <c r="O539" t="str">
        <f>TRIM(tbl_HR_Data[[#This Row],[Position]])</f>
        <v>Assistant</v>
      </c>
      <c r="P539" t="str">
        <f>IFERROR(_xlfn.XLOOKUP(tbl_HR_Data[[#This Row],[Email]], Mapping[Email_Discarded], Mapping[Email_Correction]), LOWER(TRIM(tbl_HR_Data[[#This Row],[Email]])))</f>
        <v>not provided</v>
      </c>
      <c r="Q53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39" t="str" cm="1">
        <f t="array" ref="R539">_xlfn.REDUCE(Q539, {"-","/","_","\","(",")"}, _xlfn.LAMBDA(_xlpm.txt,_xlpm.itm, SUBSTITUTE(_xlpm.txt, _xlpm.itm, "")))</f>
        <v>Not Provided</v>
      </c>
      <c r="S539" s="3">
        <f>IFERROR(_xlfn.XLOOKUP(tbl_HR_Data[[#This Row],[Joining Date]], Mapping[Joining_Discarded], Mapping[Joining_Correction]), VALUE(tbl_HR_Data[[#This Row],[Joining Date]]))</f>
        <v>43549</v>
      </c>
      <c r="T539" t="str">
        <f>TEXT(tbl_HR_Data[[#This Row],[Joining Date]], "mmm")</f>
        <v>Mar</v>
      </c>
      <c r="U539" t="str">
        <f>TEXT(tbl_HR_Data[[#This Row],[Joining Date]], "ddd")</f>
        <v>Mon</v>
      </c>
    </row>
    <row r="540" spans="1:21" x14ac:dyDescent="0.35">
      <c r="A540" t="s">
        <v>103</v>
      </c>
      <c r="B540">
        <v>30</v>
      </c>
      <c r="C540">
        <v>50000</v>
      </c>
      <c r="D540" t="s">
        <v>18</v>
      </c>
      <c r="E540" t="s">
        <v>26</v>
      </c>
      <c r="F540" t="s">
        <v>43</v>
      </c>
      <c r="G540" s="3">
        <v>43549</v>
      </c>
      <c r="H540" t="str">
        <f>TEXT(tbl_HR_Data[[#This Row],[Joining Date]], "mmm")</f>
        <v>Mar</v>
      </c>
      <c r="I540" t="s">
        <v>94</v>
      </c>
      <c r="J540" t="s">
        <v>41</v>
      </c>
      <c r="K540" t="s">
        <v>15</v>
      </c>
      <c r="L540" t="s">
        <v>87</v>
      </c>
      <c r="M540">
        <f>IFERROR( _xlfn.XLOOKUP(TRIM(tbl_HR_Data[[#This Row],[Age]]),#REF!,#REF!), VALUE(TRIM(tbl_HR_Data[[#This Row],[Age]])))</f>
        <v>30</v>
      </c>
      <c r="N540" t="str">
        <f>IFERROR(_xlfn.XLOOKUP(tbl_HR_Data[[#This Row],[Gender]], Mapping[Gender _Discarded], Mapping[Gender_Correction]), PROPER(TRIM(tbl_HR_Data[[#This Row],[Gender]])))</f>
        <v>Female</v>
      </c>
      <c r="O540" t="str">
        <f>TRIM(tbl_HR_Data[[#This Row],[Position]])</f>
        <v>Assistant</v>
      </c>
      <c r="P540" t="str">
        <f>IFERROR(_xlfn.XLOOKUP(tbl_HR_Data[[#This Row],[Email]], Mapping[Email_Discarded], Mapping[Email_Correction]), LOWER(TRIM(tbl_HR_Data[[#This Row],[Email]])))</f>
        <v>email@example.com</v>
      </c>
      <c r="Q54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40" t="str" cm="1">
        <f t="array" ref="R540">_xlfn.REDUCE(Q540, {"-","/","_","\","(",")"}, _xlfn.LAMBDA(_xlpm.txt,_xlpm.itm, SUBSTITUTE(_xlpm.txt, _xlpm.itm, "")))</f>
        <v>1234567890</v>
      </c>
      <c r="S540" s="3">
        <f>IFERROR(_xlfn.XLOOKUP(tbl_HR_Data[[#This Row],[Joining Date]], Mapping[Joining_Discarded], Mapping[Joining_Correction]), VALUE(tbl_HR_Data[[#This Row],[Joining Date]]))</f>
        <v>43549</v>
      </c>
      <c r="T540" t="str">
        <f>TEXT(tbl_HR_Data[[#This Row],[Joining Date]], "mmm")</f>
        <v>Mar</v>
      </c>
      <c r="U540" t="str">
        <f>TEXT(tbl_HR_Data[[#This Row],[Joining Date]], "ddd")</f>
        <v>Mon</v>
      </c>
    </row>
    <row r="541" spans="1:21" x14ac:dyDescent="0.35">
      <c r="A541" t="s">
        <v>102</v>
      </c>
      <c r="B541">
        <v>50</v>
      </c>
      <c r="C541">
        <v>50000</v>
      </c>
      <c r="D541" t="s">
        <v>18</v>
      </c>
      <c r="E541" t="s">
        <v>26</v>
      </c>
      <c r="F541" t="s">
        <v>13</v>
      </c>
      <c r="G541" s="3">
        <v>43549</v>
      </c>
      <c r="H541" t="str">
        <f>TEXT(tbl_HR_Data[[#This Row],[Joining Date]], "mmm")</f>
        <v>Mar</v>
      </c>
      <c r="I541" t="s">
        <v>94</v>
      </c>
      <c r="J541" t="s">
        <v>31</v>
      </c>
      <c r="K541" t="s">
        <v>22</v>
      </c>
      <c r="L541" t="s">
        <v>89</v>
      </c>
      <c r="M541">
        <f>IFERROR( _xlfn.XLOOKUP(TRIM(tbl_HR_Data[[#This Row],[Age]]),#REF!,#REF!), VALUE(TRIM(tbl_HR_Data[[#This Row],[Age]])))</f>
        <v>50</v>
      </c>
      <c r="N541" t="str">
        <f>IFERROR(_xlfn.XLOOKUP(tbl_HR_Data[[#This Row],[Gender]], Mapping[Gender _Discarded], Mapping[Gender_Correction]), PROPER(TRIM(tbl_HR_Data[[#This Row],[Gender]])))</f>
        <v>Female</v>
      </c>
      <c r="O541" t="str">
        <f>TRIM(tbl_HR_Data[[#This Row],[Position]])</f>
        <v>Manager</v>
      </c>
      <c r="P541" t="str">
        <f>IFERROR(_xlfn.XLOOKUP(tbl_HR_Data[[#This Row],[Email]], Mapping[Email_Discarded], Mapping[Email_Correction]), LOWER(TRIM(tbl_HR_Data[[#This Row],[Email]])))</f>
        <v>user@domain.com</v>
      </c>
      <c r="Q54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541" t="str" cm="1">
        <f t="array" ref="R541">_xlfn.REDUCE(Q541, {"-","/","_","\","(",")"}, _xlfn.LAMBDA(_xlpm.txt,_xlpm.itm, SUBSTITUTE(_xlpm.txt, _xlpm.itm, "")))</f>
        <v>5555555555</v>
      </c>
      <c r="S541" s="3">
        <f>IFERROR(_xlfn.XLOOKUP(tbl_HR_Data[[#This Row],[Joining Date]], Mapping[Joining_Discarded], Mapping[Joining_Correction]), VALUE(tbl_HR_Data[[#This Row],[Joining Date]]))</f>
        <v>43549</v>
      </c>
      <c r="T541" t="str">
        <f>TEXT(tbl_HR_Data[[#This Row],[Joining Date]], "mmm")</f>
        <v>Mar</v>
      </c>
      <c r="U541" t="str">
        <f>TEXT(tbl_HR_Data[[#This Row],[Joining Date]], "ddd")</f>
        <v>Mon</v>
      </c>
    </row>
    <row r="542" spans="1:21" x14ac:dyDescent="0.35">
      <c r="A542" t="s">
        <v>101</v>
      </c>
      <c r="B542">
        <v>25</v>
      </c>
      <c r="C542">
        <v>55000</v>
      </c>
      <c r="D542" t="s">
        <v>36</v>
      </c>
      <c r="E542" t="s">
        <v>26</v>
      </c>
      <c r="F542" t="s">
        <v>44</v>
      </c>
      <c r="G542" s="3">
        <v>43549</v>
      </c>
      <c r="H542" t="str">
        <f>TEXT(tbl_HR_Data[[#This Row],[Joining Date]], "mmm")</f>
        <v>Mar</v>
      </c>
      <c r="I542" t="s">
        <v>94</v>
      </c>
      <c r="J542" t="s">
        <v>41</v>
      </c>
      <c r="K542" t="s">
        <v>15</v>
      </c>
      <c r="L542" t="s">
        <v>77</v>
      </c>
      <c r="M542">
        <f>IFERROR( _xlfn.XLOOKUP(TRIM(tbl_HR_Data[[#This Row],[Age]]),#REF!,#REF!), VALUE(TRIM(tbl_HR_Data[[#This Row],[Age]])))</f>
        <v>25</v>
      </c>
      <c r="N542" t="str">
        <f>IFERROR(_xlfn.XLOOKUP(tbl_HR_Data[[#This Row],[Gender]], Mapping[Gender _Discarded], Mapping[Gender_Correction]), PROPER(TRIM(tbl_HR_Data[[#This Row],[Gender]])))</f>
        <v>Other</v>
      </c>
      <c r="O542" t="str">
        <f>TRIM(tbl_HR_Data[[#This Row],[Position]])</f>
        <v>Analyst</v>
      </c>
      <c r="P542" t="str">
        <f>IFERROR(_xlfn.XLOOKUP(tbl_HR_Data[[#This Row],[Email]], Mapping[Email_Discarded], Mapping[Email_Correction]), LOWER(TRIM(tbl_HR_Data[[#This Row],[Email]])))</f>
        <v>email@example.com</v>
      </c>
      <c r="Q54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42" t="str" cm="1">
        <f t="array" ref="R542">_xlfn.REDUCE(Q542, {"-","/","_","\","(",")"}, _xlfn.LAMBDA(_xlpm.txt,_xlpm.itm, SUBSTITUTE(_xlpm.txt, _xlpm.itm, "")))</f>
        <v>Not Provided</v>
      </c>
      <c r="S542" s="3">
        <f>IFERROR(_xlfn.XLOOKUP(tbl_HR_Data[[#This Row],[Joining Date]], Mapping[Joining_Discarded], Mapping[Joining_Correction]), VALUE(tbl_HR_Data[[#This Row],[Joining Date]]))</f>
        <v>43549</v>
      </c>
      <c r="T542" t="str">
        <f>TEXT(tbl_HR_Data[[#This Row],[Joining Date]], "mmm")</f>
        <v>Mar</v>
      </c>
      <c r="U542" t="str">
        <f>TEXT(tbl_HR_Data[[#This Row],[Joining Date]], "ddd")</f>
        <v>Mon</v>
      </c>
    </row>
    <row r="543" spans="1:21" x14ac:dyDescent="0.35">
      <c r="A543" t="s">
        <v>99</v>
      </c>
      <c r="B543">
        <v>50</v>
      </c>
      <c r="C543">
        <v>0</v>
      </c>
      <c r="D543" t="s">
        <v>11</v>
      </c>
      <c r="E543" t="s">
        <v>12</v>
      </c>
      <c r="F543" t="s">
        <v>39</v>
      </c>
      <c r="G543" s="3">
        <v>43549</v>
      </c>
      <c r="H543" t="str">
        <f>TEXT(tbl_HR_Data[[#This Row],[Joining Date]], "mmm")</f>
        <v>Mar</v>
      </c>
      <c r="I543" t="s">
        <v>94</v>
      </c>
      <c r="J543" t="s">
        <v>14</v>
      </c>
      <c r="K543" t="s">
        <v>15</v>
      </c>
      <c r="L543" t="s">
        <v>89</v>
      </c>
      <c r="M543">
        <f>IFERROR( _xlfn.XLOOKUP(TRIM(tbl_HR_Data[[#This Row],[Age]]),#REF!,#REF!), VALUE(TRIM(tbl_HR_Data[[#This Row],[Age]])))</f>
        <v>50</v>
      </c>
      <c r="N543" t="str">
        <f>IFERROR(_xlfn.XLOOKUP(tbl_HR_Data[[#This Row],[Gender]], Mapping[Gender _Discarded], Mapping[Gender_Correction]), PROPER(TRIM(tbl_HR_Data[[#This Row],[Gender]])))</f>
        <v>Male</v>
      </c>
      <c r="O543" t="str">
        <f>TRIM(tbl_HR_Data[[#This Row],[Position]])</f>
        <v>Clerk</v>
      </c>
      <c r="P543" t="str">
        <f>IFERROR(_xlfn.XLOOKUP(tbl_HR_Data[[#This Row],[Email]], Mapping[Email_Discarded], Mapping[Email_Correction]), LOWER(TRIM(tbl_HR_Data[[#This Row],[Email]])))</f>
        <v>email@example.com</v>
      </c>
      <c r="Q54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543" t="str" cm="1">
        <f t="array" ref="R543">_xlfn.REDUCE(Q543, {"-","/","_","\","(",")"}, _xlfn.LAMBDA(_xlpm.txt,_xlpm.itm, SUBSTITUTE(_xlpm.txt, _xlpm.itm, "")))</f>
        <v>5555555555</v>
      </c>
      <c r="S543" s="3">
        <f>IFERROR(_xlfn.XLOOKUP(tbl_HR_Data[[#This Row],[Joining Date]], Mapping[Joining_Discarded], Mapping[Joining_Correction]), VALUE(tbl_HR_Data[[#This Row],[Joining Date]]))</f>
        <v>43549</v>
      </c>
      <c r="T543" t="str">
        <f>TEXT(tbl_HR_Data[[#This Row],[Joining Date]], "mmm")</f>
        <v>Mar</v>
      </c>
      <c r="U543" t="str">
        <f>TEXT(tbl_HR_Data[[#This Row],[Joining Date]], "ddd")</f>
        <v>Mon</v>
      </c>
    </row>
    <row r="544" spans="1:21" x14ac:dyDescent="0.35">
      <c r="A544" t="s">
        <v>105</v>
      </c>
      <c r="B544">
        <v>30</v>
      </c>
      <c r="C544">
        <v>70000</v>
      </c>
      <c r="D544" t="s">
        <v>18</v>
      </c>
      <c r="E544" t="s">
        <v>19</v>
      </c>
      <c r="F544" t="s">
        <v>13</v>
      </c>
      <c r="G544" s="3">
        <v>43549</v>
      </c>
      <c r="H544" t="str">
        <f>TEXT(tbl_HR_Data[[#This Row],[Joining Date]], "mmm")</f>
        <v>Mar</v>
      </c>
      <c r="I544" t="s">
        <v>94</v>
      </c>
      <c r="J544" t="s">
        <v>41</v>
      </c>
      <c r="K544" t="s">
        <v>22</v>
      </c>
      <c r="L544" t="s">
        <v>77</v>
      </c>
      <c r="M544">
        <f>IFERROR( _xlfn.XLOOKUP(TRIM(tbl_HR_Data[[#This Row],[Age]]),#REF!,#REF!), VALUE(TRIM(tbl_HR_Data[[#This Row],[Age]])))</f>
        <v>30</v>
      </c>
      <c r="N544" t="str">
        <f>IFERROR(_xlfn.XLOOKUP(tbl_HR_Data[[#This Row],[Gender]], Mapping[Gender _Discarded], Mapping[Gender_Correction]), PROPER(TRIM(tbl_HR_Data[[#This Row],[Gender]])))</f>
        <v>Female</v>
      </c>
      <c r="O544" t="str">
        <f>TRIM(tbl_HR_Data[[#This Row],[Position]])</f>
        <v>Manager</v>
      </c>
      <c r="P544" t="str">
        <f>IFERROR(_xlfn.XLOOKUP(tbl_HR_Data[[#This Row],[Email]], Mapping[Email_Discarded], Mapping[Email_Correction]), LOWER(TRIM(tbl_HR_Data[[#This Row],[Email]])))</f>
        <v>user@domain.com</v>
      </c>
      <c r="Q54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44" t="str" cm="1">
        <f t="array" ref="R544">_xlfn.REDUCE(Q544, {"-","/","_","\","(",")"}, _xlfn.LAMBDA(_xlpm.txt,_xlpm.itm, SUBSTITUTE(_xlpm.txt, _xlpm.itm, "")))</f>
        <v>Not Provided</v>
      </c>
      <c r="S544" s="3">
        <f>IFERROR(_xlfn.XLOOKUP(tbl_HR_Data[[#This Row],[Joining Date]], Mapping[Joining_Discarded], Mapping[Joining_Correction]), VALUE(tbl_HR_Data[[#This Row],[Joining Date]]))</f>
        <v>43549</v>
      </c>
      <c r="T544" t="str">
        <f>TEXT(tbl_HR_Data[[#This Row],[Joining Date]], "mmm")</f>
        <v>Mar</v>
      </c>
      <c r="U544" t="str">
        <f>TEXT(tbl_HR_Data[[#This Row],[Joining Date]], "ddd")</f>
        <v>Mon</v>
      </c>
    </row>
    <row r="545" spans="1:21" x14ac:dyDescent="0.35">
      <c r="A545" t="s">
        <v>104</v>
      </c>
      <c r="B545">
        <v>50</v>
      </c>
      <c r="C545">
        <v>60000</v>
      </c>
      <c r="D545" t="s">
        <v>11</v>
      </c>
      <c r="E545" t="s">
        <v>26</v>
      </c>
      <c r="F545" t="s">
        <v>20</v>
      </c>
      <c r="G545" s="3">
        <v>43549</v>
      </c>
      <c r="H545" t="str">
        <f>TEXT(tbl_HR_Data[[#This Row],[Joining Date]], "mmm")</f>
        <v>Mar</v>
      </c>
      <c r="I545" t="s">
        <v>94</v>
      </c>
      <c r="J545" t="s">
        <v>14</v>
      </c>
      <c r="K545" t="s">
        <v>22</v>
      </c>
      <c r="L545" t="s">
        <v>87</v>
      </c>
      <c r="M545">
        <f>IFERROR( _xlfn.XLOOKUP(TRIM(tbl_HR_Data[[#This Row],[Age]]),#REF!,#REF!), VALUE(TRIM(tbl_HR_Data[[#This Row],[Age]])))</f>
        <v>50</v>
      </c>
      <c r="N545" t="str">
        <f>IFERROR(_xlfn.XLOOKUP(tbl_HR_Data[[#This Row],[Gender]], Mapping[Gender _Discarded], Mapping[Gender_Correction]), PROPER(TRIM(tbl_HR_Data[[#This Row],[Gender]])))</f>
        <v>Male</v>
      </c>
      <c r="O545" t="str">
        <f>TRIM(tbl_HR_Data[[#This Row],[Position]])</f>
        <v>Director</v>
      </c>
      <c r="P545" t="str">
        <f>IFERROR(_xlfn.XLOOKUP(tbl_HR_Data[[#This Row],[Email]], Mapping[Email_Discarded], Mapping[Email_Correction]), LOWER(TRIM(tbl_HR_Data[[#This Row],[Email]])))</f>
        <v>user@domain.com</v>
      </c>
      <c r="Q54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45" t="str" cm="1">
        <f t="array" ref="R545">_xlfn.REDUCE(Q545, {"-","/","_","\","(",")"}, _xlfn.LAMBDA(_xlpm.txt,_xlpm.itm, SUBSTITUTE(_xlpm.txt, _xlpm.itm, "")))</f>
        <v>1234567890</v>
      </c>
      <c r="S545" s="3">
        <f>IFERROR(_xlfn.XLOOKUP(tbl_HR_Data[[#This Row],[Joining Date]], Mapping[Joining_Discarded], Mapping[Joining_Correction]), VALUE(tbl_HR_Data[[#This Row],[Joining Date]]))</f>
        <v>43549</v>
      </c>
      <c r="T545" t="str">
        <f>TEXT(tbl_HR_Data[[#This Row],[Joining Date]], "mmm")</f>
        <v>Mar</v>
      </c>
      <c r="U545" t="str">
        <f>TEXT(tbl_HR_Data[[#This Row],[Joining Date]], "ddd")</f>
        <v>Mon</v>
      </c>
    </row>
    <row r="546" spans="1:21" x14ac:dyDescent="0.35">
      <c r="A546" t="s">
        <v>99</v>
      </c>
      <c r="B546">
        <v>40</v>
      </c>
      <c r="C546">
        <v>70000</v>
      </c>
      <c r="D546" t="s">
        <v>11</v>
      </c>
      <c r="E546" t="s">
        <v>26</v>
      </c>
      <c r="F546" t="s">
        <v>39</v>
      </c>
      <c r="G546" s="3">
        <v>43549</v>
      </c>
      <c r="H546" t="str">
        <f>TEXT(tbl_HR_Data[[#This Row],[Joining Date]], "mmm")</f>
        <v>Mar</v>
      </c>
      <c r="I546" t="s">
        <v>94</v>
      </c>
      <c r="J546" t="s">
        <v>21</v>
      </c>
      <c r="K546" t="s">
        <v>22</v>
      </c>
      <c r="L546" t="s">
        <v>77</v>
      </c>
      <c r="M546">
        <f>IFERROR( _xlfn.XLOOKUP(TRIM(tbl_HR_Data[[#This Row],[Age]]),#REF!,#REF!), VALUE(TRIM(tbl_HR_Data[[#This Row],[Age]])))</f>
        <v>40</v>
      </c>
      <c r="N546" t="str">
        <f>IFERROR(_xlfn.XLOOKUP(tbl_HR_Data[[#This Row],[Gender]], Mapping[Gender _Discarded], Mapping[Gender_Correction]), PROPER(TRIM(tbl_HR_Data[[#This Row],[Gender]])))</f>
        <v>Male</v>
      </c>
      <c r="O546" t="str">
        <f>TRIM(tbl_HR_Data[[#This Row],[Position]])</f>
        <v>Clerk</v>
      </c>
      <c r="P546" t="str">
        <f>IFERROR(_xlfn.XLOOKUP(tbl_HR_Data[[#This Row],[Email]], Mapping[Email_Discarded], Mapping[Email_Correction]), LOWER(TRIM(tbl_HR_Data[[#This Row],[Email]])))</f>
        <v>user@domain.com</v>
      </c>
      <c r="Q54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46" t="str" cm="1">
        <f t="array" ref="R546">_xlfn.REDUCE(Q546, {"-","/","_","\","(",")"}, _xlfn.LAMBDA(_xlpm.txt,_xlpm.itm, SUBSTITUTE(_xlpm.txt, _xlpm.itm, "")))</f>
        <v>Not Provided</v>
      </c>
      <c r="S546" s="3">
        <f>IFERROR(_xlfn.XLOOKUP(tbl_HR_Data[[#This Row],[Joining Date]], Mapping[Joining_Discarded], Mapping[Joining_Correction]), VALUE(tbl_HR_Data[[#This Row],[Joining Date]]))</f>
        <v>43549</v>
      </c>
      <c r="T546" t="str">
        <f>TEXT(tbl_HR_Data[[#This Row],[Joining Date]], "mmm")</f>
        <v>Mar</v>
      </c>
      <c r="U546" t="str">
        <f>TEXT(tbl_HR_Data[[#This Row],[Joining Date]], "ddd")</f>
        <v>Mon</v>
      </c>
    </row>
    <row r="547" spans="1:21" x14ac:dyDescent="0.35">
      <c r="A547" t="s">
        <v>106</v>
      </c>
      <c r="B547">
        <v>40</v>
      </c>
      <c r="C547">
        <v>65000</v>
      </c>
      <c r="D547" t="s">
        <v>11</v>
      </c>
      <c r="E547" t="s">
        <v>26</v>
      </c>
      <c r="F547" t="s">
        <v>44</v>
      </c>
      <c r="G547" s="3">
        <v>43549</v>
      </c>
      <c r="H547" t="str">
        <f>TEXT(tbl_HR_Data[[#This Row],[Joining Date]], "mmm")</f>
        <v>Mar</v>
      </c>
      <c r="I547" t="s">
        <v>94</v>
      </c>
      <c r="J547" t="s">
        <v>14</v>
      </c>
      <c r="K547" t="s">
        <v>32</v>
      </c>
      <c r="L547" t="s">
        <v>77</v>
      </c>
      <c r="M547">
        <f>IFERROR( _xlfn.XLOOKUP(TRIM(tbl_HR_Data[[#This Row],[Age]]),#REF!,#REF!), VALUE(TRIM(tbl_HR_Data[[#This Row],[Age]])))</f>
        <v>40</v>
      </c>
      <c r="N547" t="str">
        <f>IFERROR(_xlfn.XLOOKUP(tbl_HR_Data[[#This Row],[Gender]], Mapping[Gender _Discarded], Mapping[Gender_Correction]), PROPER(TRIM(tbl_HR_Data[[#This Row],[Gender]])))</f>
        <v>Male</v>
      </c>
      <c r="O547" t="str">
        <f>TRIM(tbl_HR_Data[[#This Row],[Position]])</f>
        <v>Analyst</v>
      </c>
      <c r="P547" t="str">
        <f>IFERROR(_xlfn.XLOOKUP(tbl_HR_Data[[#This Row],[Email]], Mapping[Email_Discarded], Mapping[Email_Correction]), LOWER(TRIM(tbl_HR_Data[[#This Row],[Email]])))</f>
        <v>name@company.org</v>
      </c>
      <c r="Q54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47" t="str" cm="1">
        <f t="array" ref="R547">_xlfn.REDUCE(Q547, {"-","/","_","\","(",")"}, _xlfn.LAMBDA(_xlpm.txt,_xlpm.itm, SUBSTITUTE(_xlpm.txt, _xlpm.itm, "")))</f>
        <v>Not Provided</v>
      </c>
      <c r="S547" s="3">
        <f>IFERROR(_xlfn.XLOOKUP(tbl_HR_Data[[#This Row],[Joining Date]], Mapping[Joining_Discarded], Mapping[Joining_Correction]), VALUE(tbl_HR_Data[[#This Row],[Joining Date]]))</f>
        <v>43549</v>
      </c>
      <c r="T547" t="str">
        <f>TEXT(tbl_HR_Data[[#This Row],[Joining Date]], "mmm")</f>
        <v>Mar</v>
      </c>
      <c r="U547" t="str">
        <f>TEXT(tbl_HR_Data[[#This Row],[Joining Date]], "ddd")</f>
        <v>Mon</v>
      </c>
    </row>
    <row r="548" spans="1:21" x14ac:dyDescent="0.35">
      <c r="A548" t="s">
        <v>104</v>
      </c>
      <c r="B548">
        <v>25</v>
      </c>
      <c r="C548">
        <v>0</v>
      </c>
      <c r="D548" t="s">
        <v>18</v>
      </c>
      <c r="E548" t="s">
        <v>19</v>
      </c>
      <c r="F548" t="s">
        <v>44</v>
      </c>
      <c r="G548" s="3">
        <v>43549</v>
      </c>
      <c r="H548" t="str">
        <f>TEXT(tbl_HR_Data[[#This Row],[Joining Date]], "mmm")</f>
        <v>Mar</v>
      </c>
      <c r="I548" t="s">
        <v>94</v>
      </c>
      <c r="J548" t="s">
        <v>31</v>
      </c>
      <c r="K548" t="s">
        <v>22</v>
      </c>
      <c r="L548" t="s">
        <v>88</v>
      </c>
      <c r="M548">
        <f>IFERROR( _xlfn.XLOOKUP(TRIM(tbl_HR_Data[[#This Row],[Age]]),#REF!,#REF!), VALUE(TRIM(tbl_HR_Data[[#This Row],[Age]])))</f>
        <v>25</v>
      </c>
      <c r="N548" t="str">
        <f>IFERROR(_xlfn.XLOOKUP(tbl_HR_Data[[#This Row],[Gender]], Mapping[Gender _Discarded], Mapping[Gender_Correction]), PROPER(TRIM(tbl_HR_Data[[#This Row],[Gender]])))</f>
        <v>Female</v>
      </c>
      <c r="O548" t="str">
        <f>TRIM(tbl_HR_Data[[#This Row],[Position]])</f>
        <v>Analyst</v>
      </c>
      <c r="P548" t="str">
        <f>IFERROR(_xlfn.XLOOKUP(tbl_HR_Data[[#This Row],[Email]], Mapping[Email_Discarded], Mapping[Email_Correction]), LOWER(TRIM(tbl_HR_Data[[#This Row],[Email]])))</f>
        <v>user@domain.com</v>
      </c>
      <c r="Q54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548" t="str" cm="1">
        <f t="array" ref="R548">_xlfn.REDUCE(Q548, {"-","/","_","\","(",")"}, _xlfn.LAMBDA(_xlpm.txt,_xlpm.itm, SUBSTITUTE(_xlpm.txt, _xlpm.itm, "")))</f>
        <v>0987654321</v>
      </c>
      <c r="S548" s="3">
        <f>IFERROR(_xlfn.XLOOKUP(tbl_HR_Data[[#This Row],[Joining Date]], Mapping[Joining_Discarded], Mapping[Joining_Correction]), VALUE(tbl_HR_Data[[#This Row],[Joining Date]]))</f>
        <v>43549</v>
      </c>
      <c r="T548" t="str">
        <f>TEXT(tbl_HR_Data[[#This Row],[Joining Date]], "mmm")</f>
        <v>Mar</v>
      </c>
      <c r="U548" t="str">
        <f>TEXT(tbl_HR_Data[[#This Row],[Joining Date]], "ddd")</f>
        <v>Mon</v>
      </c>
    </row>
    <row r="549" spans="1:21" x14ac:dyDescent="0.35">
      <c r="A549" t="s">
        <v>106</v>
      </c>
      <c r="B549">
        <v>40</v>
      </c>
      <c r="C549">
        <v>60000</v>
      </c>
      <c r="D549" t="s">
        <v>11</v>
      </c>
      <c r="E549" t="s">
        <v>37</v>
      </c>
      <c r="F549" t="s">
        <v>44</v>
      </c>
      <c r="G549" s="3">
        <v>43549</v>
      </c>
      <c r="H549" t="str">
        <f>TEXT(tbl_HR_Data[[#This Row],[Joining Date]], "mmm")</f>
        <v>Mar</v>
      </c>
      <c r="I549" t="s">
        <v>94</v>
      </c>
      <c r="J549" t="s">
        <v>21</v>
      </c>
      <c r="K549" t="s">
        <v>32</v>
      </c>
      <c r="L549" t="s">
        <v>87</v>
      </c>
      <c r="M549">
        <f>IFERROR( _xlfn.XLOOKUP(TRIM(tbl_HR_Data[[#This Row],[Age]]),#REF!,#REF!), VALUE(TRIM(tbl_HR_Data[[#This Row],[Age]])))</f>
        <v>40</v>
      </c>
      <c r="N549" t="str">
        <f>IFERROR(_xlfn.XLOOKUP(tbl_HR_Data[[#This Row],[Gender]], Mapping[Gender _Discarded], Mapping[Gender_Correction]), PROPER(TRIM(tbl_HR_Data[[#This Row],[Gender]])))</f>
        <v>Male</v>
      </c>
      <c r="O549" t="str">
        <f>TRIM(tbl_HR_Data[[#This Row],[Position]])</f>
        <v>Analyst</v>
      </c>
      <c r="P549" t="str">
        <f>IFERROR(_xlfn.XLOOKUP(tbl_HR_Data[[#This Row],[Email]], Mapping[Email_Discarded], Mapping[Email_Correction]), LOWER(TRIM(tbl_HR_Data[[#This Row],[Email]])))</f>
        <v>name@company.org</v>
      </c>
      <c r="Q54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49" t="str" cm="1">
        <f t="array" ref="R549">_xlfn.REDUCE(Q549, {"-","/","_","\","(",")"}, _xlfn.LAMBDA(_xlpm.txt,_xlpm.itm, SUBSTITUTE(_xlpm.txt, _xlpm.itm, "")))</f>
        <v>1234567890</v>
      </c>
      <c r="S549" s="3">
        <f>IFERROR(_xlfn.XLOOKUP(tbl_HR_Data[[#This Row],[Joining Date]], Mapping[Joining_Discarded], Mapping[Joining_Correction]), VALUE(tbl_HR_Data[[#This Row],[Joining Date]]))</f>
        <v>43549</v>
      </c>
      <c r="T549" t="str">
        <f>TEXT(tbl_HR_Data[[#This Row],[Joining Date]], "mmm")</f>
        <v>Mar</v>
      </c>
      <c r="U549" t="str">
        <f>TEXT(tbl_HR_Data[[#This Row],[Joining Date]], "ddd")</f>
        <v>Mon</v>
      </c>
    </row>
    <row r="550" spans="1:21" x14ac:dyDescent="0.35">
      <c r="A550" t="s">
        <v>105</v>
      </c>
      <c r="B550">
        <v>0</v>
      </c>
      <c r="C550">
        <v>70000</v>
      </c>
      <c r="D550" t="s">
        <v>11</v>
      </c>
      <c r="E550" t="s">
        <v>26</v>
      </c>
      <c r="F550" t="s">
        <v>13</v>
      </c>
      <c r="G550" s="3">
        <v>43549</v>
      </c>
      <c r="H550" t="str">
        <f>TEXT(tbl_HR_Data[[#This Row],[Joining Date]], "mmm")</f>
        <v>Mar</v>
      </c>
      <c r="I550" t="s">
        <v>94</v>
      </c>
      <c r="J550" t="s">
        <v>41</v>
      </c>
      <c r="K550" t="s">
        <v>77</v>
      </c>
      <c r="L550" t="s">
        <v>89</v>
      </c>
      <c r="M550">
        <f>IFERROR( _xlfn.XLOOKUP(TRIM(tbl_HR_Data[[#This Row],[Age]]),#REF!,#REF!), VALUE(TRIM(tbl_HR_Data[[#This Row],[Age]])))</f>
        <v>0</v>
      </c>
      <c r="N550" t="str">
        <f>IFERROR(_xlfn.XLOOKUP(tbl_HR_Data[[#This Row],[Gender]], Mapping[Gender _Discarded], Mapping[Gender_Correction]), PROPER(TRIM(tbl_HR_Data[[#This Row],[Gender]])))</f>
        <v>Male</v>
      </c>
      <c r="O550" t="str">
        <f>TRIM(tbl_HR_Data[[#This Row],[Position]])</f>
        <v>Manager</v>
      </c>
      <c r="P550" t="str">
        <f>IFERROR(_xlfn.XLOOKUP(tbl_HR_Data[[#This Row],[Email]], Mapping[Email_Discarded], Mapping[Email_Correction]), LOWER(TRIM(tbl_HR_Data[[#This Row],[Email]])))</f>
        <v>not provided</v>
      </c>
      <c r="Q55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550" t="str" cm="1">
        <f t="array" ref="R550">_xlfn.REDUCE(Q550, {"-","/","_","\","(",")"}, _xlfn.LAMBDA(_xlpm.txt,_xlpm.itm, SUBSTITUTE(_xlpm.txt, _xlpm.itm, "")))</f>
        <v>5555555555</v>
      </c>
      <c r="S550" s="3">
        <f>IFERROR(_xlfn.XLOOKUP(tbl_HR_Data[[#This Row],[Joining Date]], Mapping[Joining_Discarded], Mapping[Joining_Correction]), VALUE(tbl_HR_Data[[#This Row],[Joining Date]]))</f>
        <v>43549</v>
      </c>
      <c r="T550" t="str">
        <f>TEXT(tbl_HR_Data[[#This Row],[Joining Date]], "mmm")</f>
        <v>Mar</v>
      </c>
      <c r="U550" t="str">
        <f>TEXT(tbl_HR_Data[[#This Row],[Joining Date]], "ddd")</f>
        <v>Mon</v>
      </c>
    </row>
    <row r="551" spans="1:21" x14ac:dyDescent="0.35">
      <c r="A551" t="s">
        <v>107</v>
      </c>
      <c r="B551">
        <v>40</v>
      </c>
      <c r="C551">
        <v>55000</v>
      </c>
      <c r="D551" t="s">
        <v>11</v>
      </c>
      <c r="E551" t="s">
        <v>37</v>
      </c>
      <c r="F551" t="s">
        <v>39</v>
      </c>
      <c r="G551" s="3">
        <v>43549</v>
      </c>
      <c r="H551" t="str">
        <f>TEXT(tbl_HR_Data[[#This Row],[Joining Date]], "mmm")</f>
        <v>Mar</v>
      </c>
      <c r="I551" t="s">
        <v>94</v>
      </c>
      <c r="J551" t="s">
        <v>27</v>
      </c>
      <c r="K551" t="s">
        <v>77</v>
      </c>
      <c r="L551" t="s">
        <v>77</v>
      </c>
      <c r="M551">
        <f>IFERROR( _xlfn.XLOOKUP(TRIM(tbl_HR_Data[[#This Row],[Age]]),#REF!,#REF!), VALUE(TRIM(tbl_HR_Data[[#This Row],[Age]])))</f>
        <v>40</v>
      </c>
      <c r="N551" t="str">
        <f>IFERROR(_xlfn.XLOOKUP(tbl_HR_Data[[#This Row],[Gender]], Mapping[Gender _Discarded], Mapping[Gender_Correction]), PROPER(TRIM(tbl_HR_Data[[#This Row],[Gender]])))</f>
        <v>Male</v>
      </c>
      <c r="O551" t="str">
        <f>TRIM(tbl_HR_Data[[#This Row],[Position]])</f>
        <v>Clerk</v>
      </c>
      <c r="P551" t="str">
        <f>IFERROR(_xlfn.XLOOKUP(tbl_HR_Data[[#This Row],[Email]], Mapping[Email_Discarded], Mapping[Email_Correction]), LOWER(TRIM(tbl_HR_Data[[#This Row],[Email]])))</f>
        <v>not provided</v>
      </c>
      <c r="Q55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51" t="str" cm="1">
        <f t="array" ref="R551">_xlfn.REDUCE(Q551, {"-","/","_","\","(",")"}, _xlfn.LAMBDA(_xlpm.txt,_xlpm.itm, SUBSTITUTE(_xlpm.txt, _xlpm.itm, "")))</f>
        <v>Not Provided</v>
      </c>
      <c r="S551" s="3">
        <f>IFERROR(_xlfn.XLOOKUP(tbl_HR_Data[[#This Row],[Joining Date]], Mapping[Joining_Discarded], Mapping[Joining_Correction]), VALUE(tbl_HR_Data[[#This Row],[Joining Date]]))</f>
        <v>43549</v>
      </c>
      <c r="T551" t="str">
        <f>TEXT(tbl_HR_Data[[#This Row],[Joining Date]], "mmm")</f>
        <v>Mar</v>
      </c>
      <c r="U551" t="str">
        <f>TEXT(tbl_HR_Data[[#This Row],[Joining Date]], "ddd")</f>
        <v>Mon</v>
      </c>
    </row>
    <row r="552" spans="1:21" x14ac:dyDescent="0.35">
      <c r="A552" t="s">
        <v>100</v>
      </c>
      <c r="B552">
        <v>0</v>
      </c>
      <c r="C552">
        <v>70000</v>
      </c>
      <c r="D552" t="s">
        <v>36</v>
      </c>
      <c r="E552" t="s">
        <v>19</v>
      </c>
      <c r="F552" t="s">
        <v>39</v>
      </c>
      <c r="G552" s="3">
        <v>43549</v>
      </c>
      <c r="H552" t="str">
        <f>TEXT(tbl_HR_Data[[#This Row],[Joining Date]], "mmm")</f>
        <v>Mar</v>
      </c>
      <c r="I552" t="s">
        <v>94</v>
      </c>
      <c r="J552" t="s">
        <v>14</v>
      </c>
      <c r="K552" t="s">
        <v>15</v>
      </c>
      <c r="L552" t="s">
        <v>77</v>
      </c>
      <c r="M552">
        <f>IFERROR( _xlfn.XLOOKUP(TRIM(tbl_HR_Data[[#This Row],[Age]]),#REF!,#REF!), VALUE(TRIM(tbl_HR_Data[[#This Row],[Age]])))</f>
        <v>0</v>
      </c>
      <c r="N552" t="str">
        <f>IFERROR(_xlfn.XLOOKUP(tbl_HR_Data[[#This Row],[Gender]], Mapping[Gender _Discarded], Mapping[Gender_Correction]), PROPER(TRIM(tbl_HR_Data[[#This Row],[Gender]])))</f>
        <v>Other</v>
      </c>
      <c r="O552" t="str">
        <f>TRIM(tbl_HR_Data[[#This Row],[Position]])</f>
        <v>Clerk</v>
      </c>
      <c r="P552" t="str">
        <f>IFERROR(_xlfn.XLOOKUP(tbl_HR_Data[[#This Row],[Email]], Mapping[Email_Discarded], Mapping[Email_Correction]), LOWER(TRIM(tbl_HR_Data[[#This Row],[Email]])))</f>
        <v>email@example.com</v>
      </c>
      <c r="Q55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52" t="str" cm="1">
        <f t="array" ref="R552">_xlfn.REDUCE(Q552, {"-","/","_","\","(",")"}, _xlfn.LAMBDA(_xlpm.txt,_xlpm.itm, SUBSTITUTE(_xlpm.txt, _xlpm.itm, "")))</f>
        <v>Not Provided</v>
      </c>
      <c r="S552" s="3">
        <f>IFERROR(_xlfn.XLOOKUP(tbl_HR_Data[[#This Row],[Joining Date]], Mapping[Joining_Discarded], Mapping[Joining_Correction]), VALUE(tbl_HR_Data[[#This Row],[Joining Date]]))</f>
        <v>43549</v>
      </c>
      <c r="T552" t="str">
        <f>TEXT(tbl_HR_Data[[#This Row],[Joining Date]], "mmm")</f>
        <v>Mar</v>
      </c>
      <c r="U552" t="str">
        <f>TEXT(tbl_HR_Data[[#This Row],[Joining Date]], "ddd")</f>
        <v>Mon</v>
      </c>
    </row>
    <row r="553" spans="1:21" x14ac:dyDescent="0.35">
      <c r="A553" t="s">
        <v>106</v>
      </c>
      <c r="B553">
        <v>35</v>
      </c>
      <c r="C553">
        <v>55000</v>
      </c>
      <c r="D553" t="s">
        <v>36</v>
      </c>
      <c r="E553" t="s">
        <v>12</v>
      </c>
      <c r="F553" t="s">
        <v>39</v>
      </c>
      <c r="G553" s="3">
        <v>43549</v>
      </c>
      <c r="H553" t="str">
        <f>TEXT(tbl_HR_Data[[#This Row],[Joining Date]], "mmm")</f>
        <v>Mar</v>
      </c>
      <c r="I553" t="s">
        <v>94</v>
      </c>
      <c r="J553" t="s">
        <v>31</v>
      </c>
      <c r="K553" t="s">
        <v>22</v>
      </c>
      <c r="L553" t="s">
        <v>87</v>
      </c>
      <c r="M553">
        <f>IFERROR( _xlfn.XLOOKUP(TRIM(tbl_HR_Data[[#This Row],[Age]]),#REF!,#REF!), VALUE(TRIM(tbl_HR_Data[[#This Row],[Age]])))</f>
        <v>35</v>
      </c>
      <c r="N553" t="str">
        <f>IFERROR(_xlfn.XLOOKUP(tbl_HR_Data[[#This Row],[Gender]], Mapping[Gender _Discarded], Mapping[Gender_Correction]), PROPER(TRIM(tbl_HR_Data[[#This Row],[Gender]])))</f>
        <v>Other</v>
      </c>
      <c r="O553" t="str">
        <f>TRIM(tbl_HR_Data[[#This Row],[Position]])</f>
        <v>Clerk</v>
      </c>
      <c r="P553" t="str">
        <f>IFERROR(_xlfn.XLOOKUP(tbl_HR_Data[[#This Row],[Email]], Mapping[Email_Discarded], Mapping[Email_Correction]), LOWER(TRIM(tbl_HR_Data[[#This Row],[Email]])))</f>
        <v>user@domain.com</v>
      </c>
      <c r="Q55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53" t="str" cm="1">
        <f t="array" ref="R553">_xlfn.REDUCE(Q553, {"-","/","_","\","(",")"}, _xlfn.LAMBDA(_xlpm.txt,_xlpm.itm, SUBSTITUTE(_xlpm.txt, _xlpm.itm, "")))</f>
        <v>1234567890</v>
      </c>
      <c r="S553" s="3">
        <f>IFERROR(_xlfn.XLOOKUP(tbl_HR_Data[[#This Row],[Joining Date]], Mapping[Joining_Discarded], Mapping[Joining_Correction]), VALUE(tbl_HR_Data[[#This Row],[Joining Date]]))</f>
        <v>43549</v>
      </c>
      <c r="T553" t="str">
        <f>TEXT(tbl_HR_Data[[#This Row],[Joining Date]], "mmm")</f>
        <v>Mar</v>
      </c>
      <c r="U553" t="str">
        <f>TEXT(tbl_HR_Data[[#This Row],[Joining Date]], "ddd")</f>
        <v>Mon</v>
      </c>
    </row>
    <row r="554" spans="1:21" x14ac:dyDescent="0.35">
      <c r="A554" t="s">
        <v>103</v>
      </c>
      <c r="B554">
        <v>0</v>
      </c>
      <c r="C554">
        <v>60000</v>
      </c>
      <c r="D554" t="s">
        <v>11</v>
      </c>
      <c r="E554" t="s">
        <v>26</v>
      </c>
      <c r="F554" t="s">
        <v>43</v>
      </c>
      <c r="G554" s="3">
        <v>43549</v>
      </c>
      <c r="H554" t="str">
        <f>TEXT(tbl_HR_Data[[#This Row],[Joining Date]], "mmm")</f>
        <v>Mar</v>
      </c>
      <c r="I554" t="s">
        <v>94</v>
      </c>
      <c r="J554" t="s">
        <v>41</v>
      </c>
      <c r="K554" t="s">
        <v>77</v>
      </c>
      <c r="L554" t="s">
        <v>77</v>
      </c>
      <c r="M554">
        <f>IFERROR( _xlfn.XLOOKUP(TRIM(tbl_HR_Data[[#This Row],[Age]]),#REF!,#REF!), VALUE(TRIM(tbl_HR_Data[[#This Row],[Age]])))</f>
        <v>0</v>
      </c>
      <c r="N554" t="str">
        <f>IFERROR(_xlfn.XLOOKUP(tbl_HR_Data[[#This Row],[Gender]], Mapping[Gender _Discarded], Mapping[Gender_Correction]), PROPER(TRIM(tbl_HR_Data[[#This Row],[Gender]])))</f>
        <v>Male</v>
      </c>
      <c r="O554" t="str">
        <f>TRIM(tbl_HR_Data[[#This Row],[Position]])</f>
        <v>Assistant</v>
      </c>
      <c r="P554" t="str">
        <f>IFERROR(_xlfn.XLOOKUP(tbl_HR_Data[[#This Row],[Email]], Mapping[Email_Discarded], Mapping[Email_Correction]), LOWER(TRIM(tbl_HR_Data[[#This Row],[Email]])))</f>
        <v>not provided</v>
      </c>
      <c r="Q55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54" t="str" cm="1">
        <f t="array" ref="R554">_xlfn.REDUCE(Q554, {"-","/","_","\","(",")"}, _xlfn.LAMBDA(_xlpm.txt,_xlpm.itm, SUBSTITUTE(_xlpm.txt, _xlpm.itm, "")))</f>
        <v>Not Provided</v>
      </c>
      <c r="S554" s="3">
        <f>IFERROR(_xlfn.XLOOKUP(tbl_HR_Data[[#This Row],[Joining Date]], Mapping[Joining_Discarded], Mapping[Joining_Correction]), VALUE(tbl_HR_Data[[#This Row],[Joining Date]]))</f>
        <v>43549</v>
      </c>
      <c r="T554" t="str">
        <f>TEXT(tbl_HR_Data[[#This Row],[Joining Date]], "mmm")</f>
        <v>Mar</v>
      </c>
      <c r="U554" t="str">
        <f>TEXT(tbl_HR_Data[[#This Row],[Joining Date]], "ddd")</f>
        <v>Mon</v>
      </c>
    </row>
    <row r="555" spans="1:21" x14ac:dyDescent="0.35">
      <c r="A555" t="s">
        <v>100</v>
      </c>
      <c r="B555">
        <v>50</v>
      </c>
      <c r="C555">
        <v>70000</v>
      </c>
      <c r="D555" t="s">
        <v>36</v>
      </c>
      <c r="E555" t="s">
        <v>37</v>
      </c>
      <c r="F555" t="s">
        <v>43</v>
      </c>
      <c r="G555" s="3">
        <v>43549</v>
      </c>
      <c r="H555" t="str">
        <f>TEXT(tbl_HR_Data[[#This Row],[Joining Date]], "mmm")</f>
        <v>Mar</v>
      </c>
      <c r="I555" t="s">
        <v>94</v>
      </c>
      <c r="J555" t="s">
        <v>14</v>
      </c>
      <c r="K555" t="s">
        <v>15</v>
      </c>
      <c r="L555" t="s">
        <v>87</v>
      </c>
      <c r="M555">
        <f>IFERROR( _xlfn.XLOOKUP(TRIM(tbl_HR_Data[[#This Row],[Age]]),#REF!,#REF!), VALUE(TRIM(tbl_HR_Data[[#This Row],[Age]])))</f>
        <v>50</v>
      </c>
      <c r="N555" t="str">
        <f>IFERROR(_xlfn.XLOOKUP(tbl_HR_Data[[#This Row],[Gender]], Mapping[Gender _Discarded], Mapping[Gender_Correction]), PROPER(TRIM(tbl_HR_Data[[#This Row],[Gender]])))</f>
        <v>Other</v>
      </c>
      <c r="O555" t="str">
        <f>TRIM(tbl_HR_Data[[#This Row],[Position]])</f>
        <v>Assistant</v>
      </c>
      <c r="P555" t="str">
        <f>IFERROR(_xlfn.XLOOKUP(tbl_HR_Data[[#This Row],[Email]], Mapping[Email_Discarded], Mapping[Email_Correction]), LOWER(TRIM(tbl_HR_Data[[#This Row],[Email]])))</f>
        <v>email@example.com</v>
      </c>
      <c r="Q55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55" t="str" cm="1">
        <f t="array" ref="R555">_xlfn.REDUCE(Q555, {"-","/","_","\","(",")"}, _xlfn.LAMBDA(_xlpm.txt,_xlpm.itm, SUBSTITUTE(_xlpm.txt, _xlpm.itm, "")))</f>
        <v>1234567890</v>
      </c>
      <c r="S555" s="3">
        <f>IFERROR(_xlfn.XLOOKUP(tbl_HR_Data[[#This Row],[Joining Date]], Mapping[Joining_Discarded], Mapping[Joining_Correction]), VALUE(tbl_HR_Data[[#This Row],[Joining Date]]))</f>
        <v>43549</v>
      </c>
      <c r="T555" t="str">
        <f>TEXT(tbl_HR_Data[[#This Row],[Joining Date]], "mmm")</f>
        <v>Mar</v>
      </c>
      <c r="U555" t="str">
        <f>TEXT(tbl_HR_Data[[#This Row],[Joining Date]], "ddd")</f>
        <v>Mon</v>
      </c>
    </row>
    <row r="556" spans="1:21" x14ac:dyDescent="0.35">
      <c r="A556" t="s">
        <v>108</v>
      </c>
      <c r="B556">
        <v>50</v>
      </c>
      <c r="C556">
        <v>55000</v>
      </c>
      <c r="D556" t="s">
        <v>18</v>
      </c>
      <c r="E556" t="s">
        <v>26</v>
      </c>
      <c r="F556" t="s">
        <v>20</v>
      </c>
      <c r="G556" s="3">
        <v>43549</v>
      </c>
      <c r="H556" t="str">
        <f>TEXT(tbl_HR_Data[[#This Row],[Joining Date]], "mmm")</f>
        <v>Mar</v>
      </c>
      <c r="I556" t="s">
        <v>94</v>
      </c>
      <c r="J556" t="s">
        <v>21</v>
      </c>
      <c r="K556" t="s">
        <v>15</v>
      </c>
      <c r="L556" t="s">
        <v>77</v>
      </c>
      <c r="M556">
        <f>IFERROR( _xlfn.XLOOKUP(TRIM(tbl_HR_Data[[#This Row],[Age]]),#REF!,#REF!), VALUE(TRIM(tbl_HR_Data[[#This Row],[Age]])))</f>
        <v>50</v>
      </c>
      <c r="N556" t="str">
        <f>IFERROR(_xlfn.XLOOKUP(tbl_HR_Data[[#This Row],[Gender]], Mapping[Gender _Discarded], Mapping[Gender_Correction]), PROPER(TRIM(tbl_HR_Data[[#This Row],[Gender]])))</f>
        <v>Female</v>
      </c>
      <c r="O556" t="str">
        <f>TRIM(tbl_HR_Data[[#This Row],[Position]])</f>
        <v>Director</v>
      </c>
      <c r="P556" t="str">
        <f>IFERROR(_xlfn.XLOOKUP(tbl_HR_Data[[#This Row],[Email]], Mapping[Email_Discarded], Mapping[Email_Correction]), LOWER(TRIM(tbl_HR_Data[[#This Row],[Email]])))</f>
        <v>email@example.com</v>
      </c>
      <c r="Q55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56" t="str" cm="1">
        <f t="array" ref="R556">_xlfn.REDUCE(Q556, {"-","/","_","\","(",")"}, _xlfn.LAMBDA(_xlpm.txt,_xlpm.itm, SUBSTITUTE(_xlpm.txt, _xlpm.itm, "")))</f>
        <v>Not Provided</v>
      </c>
      <c r="S556" s="3">
        <f>IFERROR(_xlfn.XLOOKUP(tbl_HR_Data[[#This Row],[Joining Date]], Mapping[Joining_Discarded], Mapping[Joining_Correction]), VALUE(tbl_HR_Data[[#This Row],[Joining Date]]))</f>
        <v>43549</v>
      </c>
      <c r="T556" t="str">
        <f>TEXT(tbl_HR_Data[[#This Row],[Joining Date]], "mmm")</f>
        <v>Mar</v>
      </c>
      <c r="U556" t="str">
        <f>TEXT(tbl_HR_Data[[#This Row],[Joining Date]], "ddd")</f>
        <v>Mon</v>
      </c>
    </row>
    <row r="557" spans="1:21" x14ac:dyDescent="0.35">
      <c r="A557" t="s">
        <v>108</v>
      </c>
      <c r="B557">
        <v>0</v>
      </c>
      <c r="C557">
        <v>65000</v>
      </c>
      <c r="D557" t="s">
        <v>18</v>
      </c>
      <c r="E557" t="s">
        <v>26</v>
      </c>
      <c r="F557" t="s">
        <v>13</v>
      </c>
      <c r="G557" s="3">
        <v>43549</v>
      </c>
      <c r="H557" t="str">
        <f>TEXT(tbl_HR_Data[[#This Row],[Joining Date]], "mmm")</f>
        <v>Mar</v>
      </c>
      <c r="I557" t="s">
        <v>94</v>
      </c>
      <c r="J557" t="s">
        <v>41</v>
      </c>
      <c r="K557" t="s">
        <v>15</v>
      </c>
      <c r="L557" t="s">
        <v>87</v>
      </c>
      <c r="M557">
        <f>IFERROR( _xlfn.XLOOKUP(TRIM(tbl_HR_Data[[#This Row],[Age]]),#REF!,#REF!), VALUE(TRIM(tbl_HR_Data[[#This Row],[Age]])))</f>
        <v>0</v>
      </c>
      <c r="N557" t="str">
        <f>IFERROR(_xlfn.XLOOKUP(tbl_HR_Data[[#This Row],[Gender]], Mapping[Gender _Discarded], Mapping[Gender_Correction]), PROPER(TRIM(tbl_HR_Data[[#This Row],[Gender]])))</f>
        <v>Female</v>
      </c>
      <c r="O557" t="str">
        <f>TRIM(tbl_HR_Data[[#This Row],[Position]])</f>
        <v>Manager</v>
      </c>
      <c r="P557" t="str">
        <f>IFERROR(_xlfn.XLOOKUP(tbl_HR_Data[[#This Row],[Email]], Mapping[Email_Discarded], Mapping[Email_Correction]), LOWER(TRIM(tbl_HR_Data[[#This Row],[Email]])))</f>
        <v>email@example.com</v>
      </c>
      <c r="Q55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57" t="str" cm="1">
        <f t="array" ref="R557">_xlfn.REDUCE(Q557, {"-","/","_","\","(",")"}, _xlfn.LAMBDA(_xlpm.txt,_xlpm.itm, SUBSTITUTE(_xlpm.txt, _xlpm.itm, "")))</f>
        <v>1234567890</v>
      </c>
      <c r="S557" s="3">
        <f>IFERROR(_xlfn.XLOOKUP(tbl_HR_Data[[#This Row],[Joining Date]], Mapping[Joining_Discarded], Mapping[Joining_Correction]), VALUE(tbl_HR_Data[[#This Row],[Joining Date]]))</f>
        <v>43549</v>
      </c>
      <c r="T557" t="str">
        <f>TEXT(tbl_HR_Data[[#This Row],[Joining Date]], "mmm")</f>
        <v>Mar</v>
      </c>
      <c r="U557" t="str">
        <f>TEXT(tbl_HR_Data[[#This Row],[Joining Date]], "ddd")</f>
        <v>Mon</v>
      </c>
    </row>
    <row r="558" spans="1:21" x14ac:dyDescent="0.35">
      <c r="A558" t="s">
        <v>102</v>
      </c>
      <c r="B558">
        <v>40</v>
      </c>
      <c r="C558">
        <v>60000</v>
      </c>
      <c r="D558" t="s">
        <v>11</v>
      </c>
      <c r="E558" t="s">
        <v>12</v>
      </c>
      <c r="F558" t="s">
        <v>44</v>
      </c>
      <c r="G558" s="3">
        <v>43549</v>
      </c>
      <c r="H558" t="str">
        <f>TEXT(tbl_HR_Data[[#This Row],[Joining Date]], "mmm")</f>
        <v>Mar</v>
      </c>
      <c r="I558" t="s">
        <v>94</v>
      </c>
      <c r="J558" t="s">
        <v>27</v>
      </c>
      <c r="K558" t="s">
        <v>15</v>
      </c>
      <c r="L558" t="s">
        <v>77</v>
      </c>
      <c r="M558">
        <f>IFERROR( _xlfn.XLOOKUP(TRIM(tbl_HR_Data[[#This Row],[Age]]),#REF!,#REF!), VALUE(TRIM(tbl_HR_Data[[#This Row],[Age]])))</f>
        <v>40</v>
      </c>
      <c r="N558" t="str">
        <f>IFERROR(_xlfn.XLOOKUP(tbl_HR_Data[[#This Row],[Gender]], Mapping[Gender _Discarded], Mapping[Gender_Correction]), PROPER(TRIM(tbl_HR_Data[[#This Row],[Gender]])))</f>
        <v>Male</v>
      </c>
      <c r="O558" t="str">
        <f>TRIM(tbl_HR_Data[[#This Row],[Position]])</f>
        <v>Analyst</v>
      </c>
      <c r="P558" t="str">
        <f>IFERROR(_xlfn.XLOOKUP(tbl_HR_Data[[#This Row],[Email]], Mapping[Email_Discarded], Mapping[Email_Correction]), LOWER(TRIM(tbl_HR_Data[[#This Row],[Email]])))</f>
        <v>email@example.com</v>
      </c>
      <c r="Q55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58" t="str" cm="1">
        <f t="array" ref="R558">_xlfn.REDUCE(Q558, {"-","/","_","\","(",")"}, _xlfn.LAMBDA(_xlpm.txt,_xlpm.itm, SUBSTITUTE(_xlpm.txt, _xlpm.itm, "")))</f>
        <v>Not Provided</v>
      </c>
      <c r="S558" s="3">
        <f>IFERROR(_xlfn.XLOOKUP(tbl_HR_Data[[#This Row],[Joining Date]], Mapping[Joining_Discarded], Mapping[Joining_Correction]), VALUE(tbl_HR_Data[[#This Row],[Joining Date]]))</f>
        <v>43549</v>
      </c>
      <c r="T558" t="str">
        <f>TEXT(tbl_HR_Data[[#This Row],[Joining Date]], "mmm")</f>
        <v>Mar</v>
      </c>
      <c r="U558" t="str">
        <f>TEXT(tbl_HR_Data[[#This Row],[Joining Date]], "ddd")</f>
        <v>Mon</v>
      </c>
    </row>
    <row r="559" spans="1:21" x14ac:dyDescent="0.35">
      <c r="A559" t="s">
        <v>108</v>
      </c>
      <c r="B559">
        <v>0</v>
      </c>
      <c r="C559">
        <v>0</v>
      </c>
      <c r="D559" t="s">
        <v>36</v>
      </c>
      <c r="E559" t="s">
        <v>37</v>
      </c>
      <c r="F559" t="s">
        <v>44</v>
      </c>
      <c r="G559" s="3">
        <v>43549</v>
      </c>
      <c r="H559" t="str">
        <f>TEXT(tbl_HR_Data[[#This Row],[Joining Date]], "mmm")</f>
        <v>Mar</v>
      </c>
      <c r="I559" t="s">
        <v>94</v>
      </c>
      <c r="J559" t="s">
        <v>14</v>
      </c>
      <c r="K559" t="s">
        <v>77</v>
      </c>
      <c r="L559" t="s">
        <v>77</v>
      </c>
      <c r="M559">
        <f>IFERROR( _xlfn.XLOOKUP(TRIM(tbl_HR_Data[[#This Row],[Age]]),#REF!,#REF!), VALUE(TRIM(tbl_HR_Data[[#This Row],[Age]])))</f>
        <v>0</v>
      </c>
      <c r="N559" t="str">
        <f>IFERROR(_xlfn.XLOOKUP(tbl_HR_Data[[#This Row],[Gender]], Mapping[Gender _Discarded], Mapping[Gender_Correction]), PROPER(TRIM(tbl_HR_Data[[#This Row],[Gender]])))</f>
        <v>Other</v>
      </c>
      <c r="O559" t="str">
        <f>TRIM(tbl_HR_Data[[#This Row],[Position]])</f>
        <v>Analyst</v>
      </c>
      <c r="P559" t="str">
        <f>IFERROR(_xlfn.XLOOKUP(tbl_HR_Data[[#This Row],[Email]], Mapping[Email_Discarded], Mapping[Email_Correction]), LOWER(TRIM(tbl_HR_Data[[#This Row],[Email]])))</f>
        <v>not provided</v>
      </c>
      <c r="Q55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59" t="str" cm="1">
        <f t="array" ref="R559">_xlfn.REDUCE(Q559, {"-","/","_","\","(",")"}, _xlfn.LAMBDA(_xlpm.txt,_xlpm.itm, SUBSTITUTE(_xlpm.txt, _xlpm.itm, "")))</f>
        <v>Not Provided</v>
      </c>
      <c r="S559" s="3">
        <f>IFERROR(_xlfn.XLOOKUP(tbl_HR_Data[[#This Row],[Joining Date]], Mapping[Joining_Discarded], Mapping[Joining_Correction]), VALUE(tbl_HR_Data[[#This Row],[Joining Date]]))</f>
        <v>43549</v>
      </c>
      <c r="T559" t="str">
        <f>TEXT(tbl_HR_Data[[#This Row],[Joining Date]], "mmm")</f>
        <v>Mar</v>
      </c>
      <c r="U559" t="str">
        <f>TEXT(tbl_HR_Data[[#This Row],[Joining Date]], "ddd")</f>
        <v>Mon</v>
      </c>
    </row>
    <row r="560" spans="1:21" x14ac:dyDescent="0.35">
      <c r="A560" t="s">
        <v>101</v>
      </c>
      <c r="B560">
        <v>40</v>
      </c>
      <c r="C560">
        <v>50000</v>
      </c>
      <c r="D560" t="s">
        <v>36</v>
      </c>
      <c r="E560" t="s">
        <v>26</v>
      </c>
      <c r="F560" t="s">
        <v>43</v>
      </c>
      <c r="G560" s="3">
        <v>43549</v>
      </c>
      <c r="H560" t="str">
        <f>TEXT(tbl_HR_Data[[#This Row],[Joining Date]], "mmm")</f>
        <v>Mar</v>
      </c>
      <c r="I560" t="s">
        <v>94</v>
      </c>
      <c r="J560" t="s">
        <v>31</v>
      </c>
      <c r="K560" t="s">
        <v>32</v>
      </c>
      <c r="L560" t="s">
        <v>77</v>
      </c>
      <c r="M560">
        <f>IFERROR( _xlfn.XLOOKUP(TRIM(tbl_HR_Data[[#This Row],[Age]]),#REF!,#REF!), VALUE(TRIM(tbl_HR_Data[[#This Row],[Age]])))</f>
        <v>40</v>
      </c>
      <c r="N560" t="str">
        <f>IFERROR(_xlfn.XLOOKUP(tbl_HR_Data[[#This Row],[Gender]], Mapping[Gender _Discarded], Mapping[Gender_Correction]), PROPER(TRIM(tbl_HR_Data[[#This Row],[Gender]])))</f>
        <v>Other</v>
      </c>
      <c r="O560" t="str">
        <f>TRIM(tbl_HR_Data[[#This Row],[Position]])</f>
        <v>Assistant</v>
      </c>
      <c r="P560" t="str">
        <f>IFERROR(_xlfn.XLOOKUP(tbl_HR_Data[[#This Row],[Email]], Mapping[Email_Discarded], Mapping[Email_Correction]), LOWER(TRIM(tbl_HR_Data[[#This Row],[Email]])))</f>
        <v>name@company.org</v>
      </c>
      <c r="Q56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60" t="str" cm="1">
        <f t="array" ref="R560">_xlfn.REDUCE(Q560, {"-","/","_","\","(",")"}, _xlfn.LAMBDA(_xlpm.txt,_xlpm.itm, SUBSTITUTE(_xlpm.txt, _xlpm.itm, "")))</f>
        <v>Not Provided</v>
      </c>
      <c r="S560" s="3">
        <f>IFERROR(_xlfn.XLOOKUP(tbl_HR_Data[[#This Row],[Joining Date]], Mapping[Joining_Discarded], Mapping[Joining_Correction]), VALUE(tbl_HR_Data[[#This Row],[Joining Date]]))</f>
        <v>43549</v>
      </c>
      <c r="T560" t="str">
        <f>TEXT(tbl_HR_Data[[#This Row],[Joining Date]], "mmm")</f>
        <v>Mar</v>
      </c>
      <c r="U560" t="str">
        <f>TEXT(tbl_HR_Data[[#This Row],[Joining Date]], "ddd")</f>
        <v>Mon</v>
      </c>
    </row>
    <row r="561" spans="1:21" x14ac:dyDescent="0.35">
      <c r="A561" t="s">
        <v>102</v>
      </c>
      <c r="B561">
        <v>50</v>
      </c>
      <c r="C561">
        <v>55000</v>
      </c>
      <c r="D561" t="s">
        <v>11</v>
      </c>
      <c r="E561" t="s">
        <v>19</v>
      </c>
      <c r="F561" t="s">
        <v>20</v>
      </c>
      <c r="G561" s="3">
        <v>43549</v>
      </c>
      <c r="H561" t="str">
        <f>TEXT(tbl_HR_Data[[#This Row],[Joining Date]], "mmm")</f>
        <v>Mar</v>
      </c>
      <c r="I561" t="s">
        <v>94</v>
      </c>
      <c r="J561" t="s">
        <v>41</v>
      </c>
      <c r="K561" t="s">
        <v>32</v>
      </c>
      <c r="L561" t="s">
        <v>77</v>
      </c>
      <c r="M561">
        <f>IFERROR( _xlfn.XLOOKUP(TRIM(tbl_HR_Data[[#This Row],[Age]]),#REF!,#REF!), VALUE(TRIM(tbl_HR_Data[[#This Row],[Age]])))</f>
        <v>50</v>
      </c>
      <c r="N561" t="str">
        <f>IFERROR(_xlfn.XLOOKUP(tbl_HR_Data[[#This Row],[Gender]], Mapping[Gender _Discarded], Mapping[Gender_Correction]), PROPER(TRIM(tbl_HR_Data[[#This Row],[Gender]])))</f>
        <v>Male</v>
      </c>
      <c r="O561" t="str">
        <f>TRIM(tbl_HR_Data[[#This Row],[Position]])</f>
        <v>Director</v>
      </c>
      <c r="P561" t="str">
        <f>IFERROR(_xlfn.XLOOKUP(tbl_HR_Data[[#This Row],[Email]], Mapping[Email_Discarded], Mapping[Email_Correction]), LOWER(TRIM(tbl_HR_Data[[#This Row],[Email]])))</f>
        <v>name@company.org</v>
      </c>
      <c r="Q56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61" t="str" cm="1">
        <f t="array" ref="R561">_xlfn.REDUCE(Q561, {"-","/","_","\","(",")"}, _xlfn.LAMBDA(_xlpm.txt,_xlpm.itm, SUBSTITUTE(_xlpm.txt, _xlpm.itm, "")))</f>
        <v>Not Provided</v>
      </c>
      <c r="S561" s="3">
        <f>IFERROR(_xlfn.XLOOKUP(tbl_HR_Data[[#This Row],[Joining Date]], Mapping[Joining_Discarded], Mapping[Joining_Correction]), VALUE(tbl_HR_Data[[#This Row],[Joining Date]]))</f>
        <v>43549</v>
      </c>
      <c r="T561" t="str">
        <f>TEXT(tbl_HR_Data[[#This Row],[Joining Date]], "mmm")</f>
        <v>Mar</v>
      </c>
      <c r="U561" t="str">
        <f>TEXT(tbl_HR_Data[[#This Row],[Joining Date]], "ddd")</f>
        <v>Mon</v>
      </c>
    </row>
    <row r="562" spans="1:21" x14ac:dyDescent="0.35">
      <c r="A562" t="s">
        <v>101</v>
      </c>
      <c r="B562">
        <v>25</v>
      </c>
      <c r="C562">
        <v>60000</v>
      </c>
      <c r="D562" t="s">
        <v>11</v>
      </c>
      <c r="E562" t="s">
        <v>19</v>
      </c>
      <c r="F562" t="s">
        <v>39</v>
      </c>
      <c r="G562" s="3">
        <v>43549</v>
      </c>
      <c r="H562" t="str">
        <f>TEXT(tbl_HR_Data[[#This Row],[Joining Date]], "mmm")</f>
        <v>Mar</v>
      </c>
      <c r="I562" t="s">
        <v>94</v>
      </c>
      <c r="J562" t="s">
        <v>21</v>
      </c>
      <c r="K562" t="s">
        <v>77</v>
      </c>
      <c r="L562" t="s">
        <v>77</v>
      </c>
      <c r="M562">
        <f>IFERROR( _xlfn.XLOOKUP(TRIM(tbl_HR_Data[[#This Row],[Age]]),#REF!,#REF!), VALUE(TRIM(tbl_HR_Data[[#This Row],[Age]])))</f>
        <v>25</v>
      </c>
      <c r="N562" t="str">
        <f>IFERROR(_xlfn.XLOOKUP(tbl_HR_Data[[#This Row],[Gender]], Mapping[Gender _Discarded], Mapping[Gender_Correction]), PROPER(TRIM(tbl_HR_Data[[#This Row],[Gender]])))</f>
        <v>Male</v>
      </c>
      <c r="O562" t="str">
        <f>TRIM(tbl_HR_Data[[#This Row],[Position]])</f>
        <v>Clerk</v>
      </c>
      <c r="P562" t="str">
        <f>IFERROR(_xlfn.XLOOKUP(tbl_HR_Data[[#This Row],[Email]], Mapping[Email_Discarded], Mapping[Email_Correction]), LOWER(TRIM(tbl_HR_Data[[#This Row],[Email]])))</f>
        <v>not provided</v>
      </c>
      <c r="Q56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62" t="str" cm="1">
        <f t="array" ref="R562">_xlfn.REDUCE(Q562, {"-","/","_","\","(",")"}, _xlfn.LAMBDA(_xlpm.txt,_xlpm.itm, SUBSTITUTE(_xlpm.txt, _xlpm.itm, "")))</f>
        <v>Not Provided</v>
      </c>
      <c r="S562" s="3">
        <f>IFERROR(_xlfn.XLOOKUP(tbl_HR_Data[[#This Row],[Joining Date]], Mapping[Joining_Discarded], Mapping[Joining_Correction]), VALUE(tbl_HR_Data[[#This Row],[Joining Date]]))</f>
        <v>43549</v>
      </c>
      <c r="T562" t="str">
        <f>TEXT(tbl_HR_Data[[#This Row],[Joining Date]], "mmm")</f>
        <v>Mar</v>
      </c>
      <c r="U562" t="str">
        <f>TEXT(tbl_HR_Data[[#This Row],[Joining Date]], "ddd")</f>
        <v>Mon</v>
      </c>
    </row>
    <row r="563" spans="1:21" x14ac:dyDescent="0.35">
      <c r="A563" t="s">
        <v>104</v>
      </c>
      <c r="B563">
        <v>0</v>
      </c>
      <c r="C563">
        <v>0</v>
      </c>
      <c r="D563" t="s">
        <v>36</v>
      </c>
      <c r="E563" t="s">
        <v>30</v>
      </c>
      <c r="F563" t="s">
        <v>20</v>
      </c>
      <c r="G563" s="3">
        <v>43549</v>
      </c>
      <c r="H563" t="str">
        <f>TEXT(tbl_HR_Data[[#This Row],[Joining Date]], "mmm")</f>
        <v>Mar</v>
      </c>
      <c r="I563" t="s">
        <v>94</v>
      </c>
      <c r="J563" t="s">
        <v>41</v>
      </c>
      <c r="K563" t="s">
        <v>22</v>
      </c>
      <c r="L563" t="s">
        <v>88</v>
      </c>
      <c r="M563">
        <f>IFERROR( _xlfn.XLOOKUP(TRIM(tbl_HR_Data[[#This Row],[Age]]),#REF!,#REF!), VALUE(TRIM(tbl_HR_Data[[#This Row],[Age]])))</f>
        <v>0</v>
      </c>
      <c r="N563" t="str">
        <f>IFERROR(_xlfn.XLOOKUP(tbl_HR_Data[[#This Row],[Gender]], Mapping[Gender _Discarded], Mapping[Gender_Correction]), PROPER(TRIM(tbl_HR_Data[[#This Row],[Gender]])))</f>
        <v>Other</v>
      </c>
      <c r="O563" t="str">
        <f>TRIM(tbl_HR_Data[[#This Row],[Position]])</f>
        <v>Director</v>
      </c>
      <c r="P563" t="str">
        <f>IFERROR(_xlfn.XLOOKUP(tbl_HR_Data[[#This Row],[Email]], Mapping[Email_Discarded], Mapping[Email_Correction]), LOWER(TRIM(tbl_HR_Data[[#This Row],[Email]])))</f>
        <v>user@domain.com</v>
      </c>
      <c r="Q56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563" t="str" cm="1">
        <f t="array" ref="R563">_xlfn.REDUCE(Q563, {"-","/","_","\","(",")"}, _xlfn.LAMBDA(_xlpm.txt,_xlpm.itm, SUBSTITUTE(_xlpm.txt, _xlpm.itm, "")))</f>
        <v>0987654321</v>
      </c>
      <c r="S563" s="3">
        <f>IFERROR(_xlfn.XLOOKUP(tbl_HR_Data[[#This Row],[Joining Date]], Mapping[Joining_Discarded], Mapping[Joining_Correction]), VALUE(tbl_HR_Data[[#This Row],[Joining Date]]))</f>
        <v>43549</v>
      </c>
      <c r="T563" t="str">
        <f>TEXT(tbl_HR_Data[[#This Row],[Joining Date]], "mmm")</f>
        <v>Mar</v>
      </c>
      <c r="U563" t="str">
        <f>TEXT(tbl_HR_Data[[#This Row],[Joining Date]], "ddd")</f>
        <v>Mon</v>
      </c>
    </row>
    <row r="564" spans="1:21" x14ac:dyDescent="0.35">
      <c r="A564" t="s">
        <v>100</v>
      </c>
      <c r="B564">
        <v>0</v>
      </c>
      <c r="C564">
        <v>65000</v>
      </c>
      <c r="D564" t="s">
        <v>18</v>
      </c>
      <c r="E564" t="s">
        <v>26</v>
      </c>
      <c r="F564" t="s">
        <v>13</v>
      </c>
      <c r="G564" s="3">
        <v>43549</v>
      </c>
      <c r="H564" t="str">
        <f>TEXT(tbl_HR_Data[[#This Row],[Joining Date]], "mmm")</f>
        <v>Mar</v>
      </c>
      <c r="I564" t="s">
        <v>94</v>
      </c>
      <c r="J564" t="s">
        <v>27</v>
      </c>
      <c r="K564" t="s">
        <v>77</v>
      </c>
      <c r="L564" t="s">
        <v>77</v>
      </c>
      <c r="M564">
        <f>IFERROR( _xlfn.XLOOKUP(TRIM(tbl_HR_Data[[#This Row],[Age]]),#REF!,#REF!), VALUE(TRIM(tbl_HR_Data[[#This Row],[Age]])))</f>
        <v>0</v>
      </c>
      <c r="N564" t="str">
        <f>IFERROR(_xlfn.XLOOKUP(tbl_HR_Data[[#This Row],[Gender]], Mapping[Gender _Discarded], Mapping[Gender_Correction]), PROPER(TRIM(tbl_HR_Data[[#This Row],[Gender]])))</f>
        <v>Female</v>
      </c>
      <c r="O564" t="str">
        <f>TRIM(tbl_HR_Data[[#This Row],[Position]])</f>
        <v>Manager</v>
      </c>
      <c r="P564" t="str">
        <f>IFERROR(_xlfn.XLOOKUP(tbl_HR_Data[[#This Row],[Email]], Mapping[Email_Discarded], Mapping[Email_Correction]), LOWER(TRIM(tbl_HR_Data[[#This Row],[Email]])))</f>
        <v>not provided</v>
      </c>
      <c r="Q56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64" t="str" cm="1">
        <f t="array" ref="R564">_xlfn.REDUCE(Q564, {"-","/","_","\","(",")"}, _xlfn.LAMBDA(_xlpm.txt,_xlpm.itm, SUBSTITUTE(_xlpm.txt, _xlpm.itm, "")))</f>
        <v>Not Provided</v>
      </c>
      <c r="S564" s="3">
        <f>IFERROR(_xlfn.XLOOKUP(tbl_HR_Data[[#This Row],[Joining Date]], Mapping[Joining_Discarded], Mapping[Joining_Correction]), VALUE(tbl_HR_Data[[#This Row],[Joining Date]]))</f>
        <v>43549</v>
      </c>
      <c r="T564" t="str">
        <f>TEXT(tbl_HR_Data[[#This Row],[Joining Date]], "mmm")</f>
        <v>Mar</v>
      </c>
      <c r="U564" t="str">
        <f>TEXT(tbl_HR_Data[[#This Row],[Joining Date]], "ddd")</f>
        <v>Mon</v>
      </c>
    </row>
    <row r="565" spans="1:21" x14ac:dyDescent="0.35">
      <c r="A565" t="s">
        <v>105</v>
      </c>
      <c r="B565">
        <v>35</v>
      </c>
      <c r="C565">
        <v>55000</v>
      </c>
      <c r="D565" t="s">
        <v>36</v>
      </c>
      <c r="E565" t="s">
        <v>26</v>
      </c>
      <c r="F565" t="s">
        <v>20</v>
      </c>
      <c r="G565" s="3">
        <v>43549</v>
      </c>
      <c r="H565" t="str">
        <f>TEXT(tbl_HR_Data[[#This Row],[Joining Date]], "mmm")</f>
        <v>Mar</v>
      </c>
      <c r="I565" t="s">
        <v>94</v>
      </c>
      <c r="J565" t="s">
        <v>27</v>
      </c>
      <c r="K565" t="s">
        <v>32</v>
      </c>
      <c r="L565" t="s">
        <v>87</v>
      </c>
      <c r="M565">
        <f>IFERROR( _xlfn.XLOOKUP(TRIM(tbl_HR_Data[[#This Row],[Age]]),#REF!,#REF!), VALUE(TRIM(tbl_HR_Data[[#This Row],[Age]])))</f>
        <v>35</v>
      </c>
      <c r="N565" t="str">
        <f>IFERROR(_xlfn.XLOOKUP(tbl_HR_Data[[#This Row],[Gender]], Mapping[Gender _Discarded], Mapping[Gender_Correction]), PROPER(TRIM(tbl_HR_Data[[#This Row],[Gender]])))</f>
        <v>Other</v>
      </c>
      <c r="O565" t="str">
        <f>TRIM(tbl_HR_Data[[#This Row],[Position]])</f>
        <v>Director</v>
      </c>
      <c r="P565" t="str">
        <f>IFERROR(_xlfn.XLOOKUP(tbl_HR_Data[[#This Row],[Email]], Mapping[Email_Discarded], Mapping[Email_Correction]), LOWER(TRIM(tbl_HR_Data[[#This Row],[Email]])))</f>
        <v>name@company.org</v>
      </c>
      <c r="Q56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65" t="str" cm="1">
        <f t="array" ref="R565">_xlfn.REDUCE(Q565, {"-","/","_","\","(",")"}, _xlfn.LAMBDA(_xlpm.txt,_xlpm.itm, SUBSTITUTE(_xlpm.txt, _xlpm.itm, "")))</f>
        <v>1234567890</v>
      </c>
      <c r="S565" s="3">
        <f>IFERROR(_xlfn.XLOOKUP(tbl_HR_Data[[#This Row],[Joining Date]], Mapping[Joining_Discarded], Mapping[Joining_Correction]), VALUE(tbl_HR_Data[[#This Row],[Joining Date]]))</f>
        <v>43549</v>
      </c>
      <c r="T565" t="str">
        <f>TEXT(tbl_HR_Data[[#This Row],[Joining Date]], "mmm")</f>
        <v>Mar</v>
      </c>
      <c r="U565" t="str">
        <f>TEXT(tbl_HR_Data[[#This Row],[Joining Date]], "ddd")</f>
        <v>Mon</v>
      </c>
    </row>
    <row r="566" spans="1:21" x14ac:dyDescent="0.35">
      <c r="A566" t="s">
        <v>103</v>
      </c>
      <c r="B566">
        <v>40</v>
      </c>
      <c r="C566">
        <v>0</v>
      </c>
      <c r="D566" t="s">
        <v>11</v>
      </c>
      <c r="E566" t="s">
        <v>37</v>
      </c>
      <c r="F566" t="s">
        <v>44</v>
      </c>
      <c r="G566" s="3">
        <v>43549</v>
      </c>
      <c r="H566" t="str">
        <f>TEXT(tbl_HR_Data[[#This Row],[Joining Date]], "mmm")</f>
        <v>Mar</v>
      </c>
      <c r="I566" t="s">
        <v>94</v>
      </c>
      <c r="J566" t="s">
        <v>41</v>
      </c>
      <c r="K566" t="s">
        <v>77</v>
      </c>
      <c r="L566" t="s">
        <v>87</v>
      </c>
      <c r="M566">
        <f>IFERROR( _xlfn.XLOOKUP(TRIM(tbl_HR_Data[[#This Row],[Age]]),#REF!,#REF!), VALUE(TRIM(tbl_HR_Data[[#This Row],[Age]])))</f>
        <v>40</v>
      </c>
      <c r="N566" t="str">
        <f>IFERROR(_xlfn.XLOOKUP(tbl_HR_Data[[#This Row],[Gender]], Mapping[Gender _Discarded], Mapping[Gender_Correction]), PROPER(TRIM(tbl_HR_Data[[#This Row],[Gender]])))</f>
        <v>Male</v>
      </c>
      <c r="O566" t="str">
        <f>TRIM(tbl_HR_Data[[#This Row],[Position]])</f>
        <v>Analyst</v>
      </c>
      <c r="P566" t="str">
        <f>IFERROR(_xlfn.XLOOKUP(tbl_HR_Data[[#This Row],[Email]], Mapping[Email_Discarded], Mapping[Email_Correction]), LOWER(TRIM(tbl_HR_Data[[#This Row],[Email]])))</f>
        <v>not provided</v>
      </c>
      <c r="Q56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66" t="str" cm="1">
        <f t="array" ref="R566">_xlfn.REDUCE(Q566, {"-","/","_","\","(",")"}, _xlfn.LAMBDA(_xlpm.txt,_xlpm.itm, SUBSTITUTE(_xlpm.txt, _xlpm.itm, "")))</f>
        <v>1234567890</v>
      </c>
      <c r="S566" s="3">
        <f>IFERROR(_xlfn.XLOOKUP(tbl_HR_Data[[#This Row],[Joining Date]], Mapping[Joining_Discarded], Mapping[Joining_Correction]), VALUE(tbl_HR_Data[[#This Row],[Joining Date]]))</f>
        <v>43549</v>
      </c>
      <c r="T566" t="str">
        <f>TEXT(tbl_HR_Data[[#This Row],[Joining Date]], "mmm")</f>
        <v>Mar</v>
      </c>
      <c r="U566" t="str">
        <f>TEXT(tbl_HR_Data[[#This Row],[Joining Date]], "ddd")</f>
        <v>Mon</v>
      </c>
    </row>
    <row r="567" spans="1:21" x14ac:dyDescent="0.35">
      <c r="A567" t="s">
        <v>103</v>
      </c>
      <c r="B567">
        <v>25</v>
      </c>
      <c r="C567">
        <v>65000</v>
      </c>
      <c r="D567" t="s">
        <v>11</v>
      </c>
      <c r="E567" t="s">
        <v>30</v>
      </c>
      <c r="F567" t="s">
        <v>39</v>
      </c>
      <c r="G567" s="3">
        <v>43549</v>
      </c>
      <c r="H567" t="str">
        <f>TEXT(tbl_HR_Data[[#This Row],[Joining Date]], "mmm")</f>
        <v>Mar</v>
      </c>
      <c r="I567" t="s">
        <v>94</v>
      </c>
      <c r="J567" t="s">
        <v>27</v>
      </c>
      <c r="K567" t="s">
        <v>22</v>
      </c>
      <c r="L567" t="s">
        <v>77</v>
      </c>
      <c r="M567">
        <f>IFERROR( _xlfn.XLOOKUP(TRIM(tbl_HR_Data[[#This Row],[Age]]),#REF!,#REF!), VALUE(TRIM(tbl_HR_Data[[#This Row],[Age]])))</f>
        <v>25</v>
      </c>
      <c r="N567" t="str">
        <f>IFERROR(_xlfn.XLOOKUP(tbl_HR_Data[[#This Row],[Gender]], Mapping[Gender _Discarded], Mapping[Gender_Correction]), PROPER(TRIM(tbl_HR_Data[[#This Row],[Gender]])))</f>
        <v>Male</v>
      </c>
      <c r="O567" t="str">
        <f>TRIM(tbl_HR_Data[[#This Row],[Position]])</f>
        <v>Clerk</v>
      </c>
      <c r="P567" t="str">
        <f>IFERROR(_xlfn.XLOOKUP(tbl_HR_Data[[#This Row],[Email]], Mapping[Email_Discarded], Mapping[Email_Correction]), LOWER(TRIM(tbl_HR_Data[[#This Row],[Email]])))</f>
        <v>user@domain.com</v>
      </c>
      <c r="Q56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67" t="str" cm="1">
        <f t="array" ref="R567">_xlfn.REDUCE(Q567, {"-","/","_","\","(",")"}, _xlfn.LAMBDA(_xlpm.txt,_xlpm.itm, SUBSTITUTE(_xlpm.txt, _xlpm.itm, "")))</f>
        <v>Not Provided</v>
      </c>
      <c r="S567" s="3">
        <f>IFERROR(_xlfn.XLOOKUP(tbl_HR_Data[[#This Row],[Joining Date]], Mapping[Joining_Discarded], Mapping[Joining_Correction]), VALUE(tbl_HR_Data[[#This Row],[Joining Date]]))</f>
        <v>43549</v>
      </c>
      <c r="T567" t="str">
        <f>TEXT(tbl_HR_Data[[#This Row],[Joining Date]], "mmm")</f>
        <v>Mar</v>
      </c>
      <c r="U567" t="str">
        <f>TEXT(tbl_HR_Data[[#This Row],[Joining Date]], "ddd")</f>
        <v>Mon</v>
      </c>
    </row>
    <row r="568" spans="1:21" x14ac:dyDescent="0.35">
      <c r="A568" t="s">
        <v>101</v>
      </c>
      <c r="B568">
        <v>0</v>
      </c>
      <c r="C568">
        <v>50000</v>
      </c>
      <c r="D568" t="s">
        <v>11</v>
      </c>
      <c r="E568" t="s">
        <v>37</v>
      </c>
      <c r="F568" t="s">
        <v>13</v>
      </c>
      <c r="G568" s="3">
        <v>43549</v>
      </c>
      <c r="H568" t="str">
        <f>TEXT(tbl_HR_Data[[#This Row],[Joining Date]], "mmm")</f>
        <v>Mar</v>
      </c>
      <c r="I568" t="s">
        <v>94</v>
      </c>
      <c r="J568" t="s">
        <v>27</v>
      </c>
      <c r="K568" t="s">
        <v>77</v>
      </c>
      <c r="L568" t="s">
        <v>77</v>
      </c>
      <c r="M568">
        <f>IFERROR( _xlfn.XLOOKUP(TRIM(tbl_HR_Data[[#This Row],[Age]]),#REF!,#REF!), VALUE(TRIM(tbl_HR_Data[[#This Row],[Age]])))</f>
        <v>0</v>
      </c>
      <c r="N568" t="str">
        <f>IFERROR(_xlfn.XLOOKUP(tbl_HR_Data[[#This Row],[Gender]], Mapping[Gender _Discarded], Mapping[Gender_Correction]), PROPER(TRIM(tbl_HR_Data[[#This Row],[Gender]])))</f>
        <v>Male</v>
      </c>
      <c r="O568" t="str">
        <f>TRIM(tbl_HR_Data[[#This Row],[Position]])</f>
        <v>Manager</v>
      </c>
      <c r="P568" t="str">
        <f>IFERROR(_xlfn.XLOOKUP(tbl_HR_Data[[#This Row],[Email]], Mapping[Email_Discarded], Mapping[Email_Correction]), LOWER(TRIM(tbl_HR_Data[[#This Row],[Email]])))</f>
        <v>not provided</v>
      </c>
      <c r="Q56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68" t="str" cm="1">
        <f t="array" ref="R568">_xlfn.REDUCE(Q568, {"-","/","_","\","(",")"}, _xlfn.LAMBDA(_xlpm.txt,_xlpm.itm, SUBSTITUTE(_xlpm.txt, _xlpm.itm, "")))</f>
        <v>Not Provided</v>
      </c>
      <c r="S568" s="3">
        <f>IFERROR(_xlfn.XLOOKUP(tbl_HR_Data[[#This Row],[Joining Date]], Mapping[Joining_Discarded], Mapping[Joining_Correction]), VALUE(tbl_HR_Data[[#This Row],[Joining Date]]))</f>
        <v>43549</v>
      </c>
      <c r="T568" t="str">
        <f>TEXT(tbl_HR_Data[[#This Row],[Joining Date]], "mmm")</f>
        <v>Mar</v>
      </c>
      <c r="U568" t="str">
        <f>TEXT(tbl_HR_Data[[#This Row],[Joining Date]], "ddd")</f>
        <v>Mon</v>
      </c>
    </row>
    <row r="569" spans="1:21" x14ac:dyDescent="0.35">
      <c r="A569" t="s">
        <v>107</v>
      </c>
      <c r="B569">
        <v>30</v>
      </c>
      <c r="C569">
        <v>65000</v>
      </c>
      <c r="D569" t="s">
        <v>18</v>
      </c>
      <c r="E569" t="s">
        <v>30</v>
      </c>
      <c r="F569" t="s">
        <v>20</v>
      </c>
      <c r="G569" s="3">
        <v>43549</v>
      </c>
      <c r="H569" t="str">
        <f>TEXT(tbl_HR_Data[[#This Row],[Joining Date]], "mmm")</f>
        <v>Mar</v>
      </c>
      <c r="I569" t="s">
        <v>94</v>
      </c>
      <c r="J569" t="s">
        <v>21</v>
      </c>
      <c r="K569" t="s">
        <v>77</v>
      </c>
      <c r="L569" t="s">
        <v>77</v>
      </c>
      <c r="M569">
        <f>IFERROR( _xlfn.XLOOKUP(TRIM(tbl_HR_Data[[#This Row],[Age]]),#REF!,#REF!), VALUE(TRIM(tbl_HR_Data[[#This Row],[Age]])))</f>
        <v>30</v>
      </c>
      <c r="N569" t="str">
        <f>IFERROR(_xlfn.XLOOKUP(tbl_HR_Data[[#This Row],[Gender]], Mapping[Gender _Discarded], Mapping[Gender_Correction]), PROPER(TRIM(tbl_HR_Data[[#This Row],[Gender]])))</f>
        <v>Female</v>
      </c>
      <c r="O569" t="str">
        <f>TRIM(tbl_HR_Data[[#This Row],[Position]])</f>
        <v>Director</v>
      </c>
      <c r="P569" t="str">
        <f>IFERROR(_xlfn.XLOOKUP(tbl_HR_Data[[#This Row],[Email]], Mapping[Email_Discarded], Mapping[Email_Correction]), LOWER(TRIM(tbl_HR_Data[[#This Row],[Email]])))</f>
        <v>not provided</v>
      </c>
      <c r="Q56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69" t="str" cm="1">
        <f t="array" ref="R569">_xlfn.REDUCE(Q569, {"-","/","_","\","(",")"}, _xlfn.LAMBDA(_xlpm.txt,_xlpm.itm, SUBSTITUTE(_xlpm.txt, _xlpm.itm, "")))</f>
        <v>Not Provided</v>
      </c>
      <c r="S569" s="3">
        <f>IFERROR(_xlfn.XLOOKUP(tbl_HR_Data[[#This Row],[Joining Date]], Mapping[Joining_Discarded], Mapping[Joining_Correction]), VALUE(tbl_HR_Data[[#This Row],[Joining Date]]))</f>
        <v>43549</v>
      </c>
      <c r="T569" t="str">
        <f>TEXT(tbl_HR_Data[[#This Row],[Joining Date]], "mmm")</f>
        <v>Mar</v>
      </c>
      <c r="U569" t="str">
        <f>TEXT(tbl_HR_Data[[#This Row],[Joining Date]], "ddd")</f>
        <v>Mon</v>
      </c>
    </row>
    <row r="570" spans="1:21" x14ac:dyDescent="0.35">
      <c r="A570" t="s">
        <v>100</v>
      </c>
      <c r="B570">
        <v>25</v>
      </c>
      <c r="C570">
        <v>60000</v>
      </c>
      <c r="D570" t="s">
        <v>18</v>
      </c>
      <c r="E570" t="s">
        <v>26</v>
      </c>
      <c r="F570" t="s">
        <v>43</v>
      </c>
      <c r="G570" s="3">
        <v>43549</v>
      </c>
      <c r="H570" t="str">
        <f>TEXT(tbl_HR_Data[[#This Row],[Joining Date]], "mmm")</f>
        <v>Mar</v>
      </c>
      <c r="I570" t="s">
        <v>94</v>
      </c>
      <c r="J570" t="s">
        <v>21</v>
      </c>
      <c r="K570" t="s">
        <v>22</v>
      </c>
      <c r="L570" t="s">
        <v>88</v>
      </c>
      <c r="M570">
        <f>IFERROR( _xlfn.XLOOKUP(TRIM(tbl_HR_Data[[#This Row],[Age]]),#REF!,#REF!), VALUE(TRIM(tbl_HR_Data[[#This Row],[Age]])))</f>
        <v>25</v>
      </c>
      <c r="N570" t="str">
        <f>IFERROR(_xlfn.XLOOKUP(tbl_HR_Data[[#This Row],[Gender]], Mapping[Gender _Discarded], Mapping[Gender_Correction]), PROPER(TRIM(tbl_HR_Data[[#This Row],[Gender]])))</f>
        <v>Female</v>
      </c>
      <c r="O570" t="str">
        <f>TRIM(tbl_HR_Data[[#This Row],[Position]])</f>
        <v>Assistant</v>
      </c>
      <c r="P570" t="str">
        <f>IFERROR(_xlfn.XLOOKUP(tbl_HR_Data[[#This Row],[Email]], Mapping[Email_Discarded], Mapping[Email_Correction]), LOWER(TRIM(tbl_HR_Data[[#This Row],[Email]])))</f>
        <v>user@domain.com</v>
      </c>
      <c r="Q57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570" t="str" cm="1">
        <f t="array" ref="R570">_xlfn.REDUCE(Q570, {"-","/","_","\","(",")"}, _xlfn.LAMBDA(_xlpm.txt,_xlpm.itm, SUBSTITUTE(_xlpm.txt, _xlpm.itm, "")))</f>
        <v>0987654321</v>
      </c>
      <c r="S570" s="3">
        <f>IFERROR(_xlfn.XLOOKUP(tbl_HR_Data[[#This Row],[Joining Date]], Mapping[Joining_Discarded], Mapping[Joining_Correction]), VALUE(tbl_HR_Data[[#This Row],[Joining Date]]))</f>
        <v>43549</v>
      </c>
      <c r="T570" t="str">
        <f>TEXT(tbl_HR_Data[[#This Row],[Joining Date]], "mmm")</f>
        <v>Mar</v>
      </c>
      <c r="U570" t="str">
        <f>TEXT(tbl_HR_Data[[#This Row],[Joining Date]], "ddd")</f>
        <v>Mon</v>
      </c>
    </row>
    <row r="571" spans="1:21" x14ac:dyDescent="0.35">
      <c r="A571" t="s">
        <v>106</v>
      </c>
      <c r="B571">
        <v>50</v>
      </c>
      <c r="C571">
        <v>55000</v>
      </c>
      <c r="D571" t="s">
        <v>36</v>
      </c>
      <c r="E571" t="s">
        <v>37</v>
      </c>
      <c r="F571" t="s">
        <v>13</v>
      </c>
      <c r="G571" s="3">
        <v>43549</v>
      </c>
      <c r="H571" t="str">
        <f>TEXT(tbl_HR_Data[[#This Row],[Joining Date]], "mmm")</f>
        <v>Mar</v>
      </c>
      <c r="I571" t="s">
        <v>94</v>
      </c>
      <c r="J571" t="s">
        <v>27</v>
      </c>
      <c r="K571" t="s">
        <v>15</v>
      </c>
      <c r="L571" t="s">
        <v>77</v>
      </c>
      <c r="M571">
        <f>IFERROR( _xlfn.XLOOKUP(TRIM(tbl_HR_Data[[#This Row],[Age]]),#REF!,#REF!), VALUE(TRIM(tbl_HR_Data[[#This Row],[Age]])))</f>
        <v>50</v>
      </c>
      <c r="N571" t="str">
        <f>IFERROR(_xlfn.XLOOKUP(tbl_HR_Data[[#This Row],[Gender]], Mapping[Gender _Discarded], Mapping[Gender_Correction]), PROPER(TRIM(tbl_HR_Data[[#This Row],[Gender]])))</f>
        <v>Other</v>
      </c>
      <c r="O571" t="str">
        <f>TRIM(tbl_HR_Data[[#This Row],[Position]])</f>
        <v>Manager</v>
      </c>
      <c r="P571" t="str">
        <f>IFERROR(_xlfn.XLOOKUP(tbl_HR_Data[[#This Row],[Email]], Mapping[Email_Discarded], Mapping[Email_Correction]), LOWER(TRIM(tbl_HR_Data[[#This Row],[Email]])))</f>
        <v>email@example.com</v>
      </c>
      <c r="Q57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71" t="str" cm="1">
        <f t="array" ref="R571">_xlfn.REDUCE(Q571, {"-","/","_","\","(",")"}, _xlfn.LAMBDA(_xlpm.txt,_xlpm.itm, SUBSTITUTE(_xlpm.txt, _xlpm.itm, "")))</f>
        <v>Not Provided</v>
      </c>
      <c r="S571" s="3">
        <f>IFERROR(_xlfn.XLOOKUP(tbl_HR_Data[[#This Row],[Joining Date]], Mapping[Joining_Discarded], Mapping[Joining_Correction]), VALUE(tbl_HR_Data[[#This Row],[Joining Date]]))</f>
        <v>43549</v>
      </c>
      <c r="T571" t="str">
        <f>TEXT(tbl_HR_Data[[#This Row],[Joining Date]], "mmm")</f>
        <v>Mar</v>
      </c>
      <c r="U571" t="str">
        <f>TEXT(tbl_HR_Data[[#This Row],[Joining Date]], "ddd")</f>
        <v>Mon</v>
      </c>
    </row>
    <row r="572" spans="1:21" x14ac:dyDescent="0.35">
      <c r="A572" t="s">
        <v>106</v>
      </c>
      <c r="B572">
        <v>30</v>
      </c>
      <c r="C572">
        <v>60000</v>
      </c>
      <c r="D572" t="s">
        <v>18</v>
      </c>
      <c r="E572" t="s">
        <v>37</v>
      </c>
      <c r="F572" t="s">
        <v>20</v>
      </c>
      <c r="G572" s="3">
        <v>43549</v>
      </c>
      <c r="H572" t="str">
        <f>TEXT(tbl_HR_Data[[#This Row],[Joining Date]], "mmm")</f>
        <v>Mar</v>
      </c>
      <c r="I572" t="s">
        <v>94</v>
      </c>
      <c r="J572" t="s">
        <v>31</v>
      </c>
      <c r="K572" t="s">
        <v>77</v>
      </c>
      <c r="L572" t="s">
        <v>77</v>
      </c>
      <c r="M572">
        <f>IFERROR( _xlfn.XLOOKUP(TRIM(tbl_HR_Data[[#This Row],[Age]]),#REF!,#REF!), VALUE(TRIM(tbl_HR_Data[[#This Row],[Age]])))</f>
        <v>30</v>
      </c>
      <c r="N572" t="str">
        <f>IFERROR(_xlfn.XLOOKUP(tbl_HR_Data[[#This Row],[Gender]], Mapping[Gender _Discarded], Mapping[Gender_Correction]), PROPER(TRIM(tbl_HR_Data[[#This Row],[Gender]])))</f>
        <v>Female</v>
      </c>
      <c r="O572" t="str">
        <f>TRIM(tbl_HR_Data[[#This Row],[Position]])</f>
        <v>Director</v>
      </c>
      <c r="P572" t="str">
        <f>IFERROR(_xlfn.XLOOKUP(tbl_HR_Data[[#This Row],[Email]], Mapping[Email_Discarded], Mapping[Email_Correction]), LOWER(TRIM(tbl_HR_Data[[#This Row],[Email]])))</f>
        <v>not provided</v>
      </c>
      <c r="Q57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72" t="str" cm="1">
        <f t="array" ref="R572">_xlfn.REDUCE(Q572, {"-","/","_","\","(",")"}, _xlfn.LAMBDA(_xlpm.txt,_xlpm.itm, SUBSTITUTE(_xlpm.txt, _xlpm.itm, "")))</f>
        <v>Not Provided</v>
      </c>
      <c r="S572" s="3">
        <f>IFERROR(_xlfn.XLOOKUP(tbl_HR_Data[[#This Row],[Joining Date]], Mapping[Joining_Discarded], Mapping[Joining_Correction]), VALUE(tbl_HR_Data[[#This Row],[Joining Date]]))</f>
        <v>43549</v>
      </c>
      <c r="T572" t="str">
        <f>TEXT(tbl_HR_Data[[#This Row],[Joining Date]], "mmm")</f>
        <v>Mar</v>
      </c>
      <c r="U572" t="str">
        <f>TEXT(tbl_HR_Data[[#This Row],[Joining Date]], "ddd")</f>
        <v>Mon</v>
      </c>
    </row>
    <row r="573" spans="1:21" x14ac:dyDescent="0.35">
      <c r="A573" t="s">
        <v>101</v>
      </c>
      <c r="B573">
        <v>0</v>
      </c>
      <c r="C573">
        <v>60000</v>
      </c>
      <c r="D573" t="s">
        <v>18</v>
      </c>
      <c r="E573" t="s">
        <v>26</v>
      </c>
      <c r="F573" t="s">
        <v>20</v>
      </c>
      <c r="G573" s="3">
        <v>43845</v>
      </c>
      <c r="H573" t="str">
        <f>TEXT(tbl_HR_Data[[#This Row],[Joining Date]], "mmm")</f>
        <v>Jan</v>
      </c>
      <c r="I573" t="s">
        <v>95</v>
      </c>
      <c r="J573" t="s">
        <v>27</v>
      </c>
      <c r="K573" t="s">
        <v>15</v>
      </c>
      <c r="L573" t="s">
        <v>88</v>
      </c>
      <c r="M573">
        <f>IFERROR( _xlfn.XLOOKUP(TRIM(tbl_HR_Data[[#This Row],[Age]]),#REF!,#REF!), VALUE(TRIM(tbl_HR_Data[[#This Row],[Age]])))</f>
        <v>0</v>
      </c>
      <c r="N573" t="str">
        <f>IFERROR(_xlfn.XLOOKUP(tbl_HR_Data[[#This Row],[Gender]], Mapping[Gender _Discarded], Mapping[Gender_Correction]), PROPER(TRIM(tbl_HR_Data[[#This Row],[Gender]])))</f>
        <v>Female</v>
      </c>
      <c r="O573" t="str">
        <f>TRIM(tbl_HR_Data[[#This Row],[Position]])</f>
        <v>Director</v>
      </c>
      <c r="P573" t="str">
        <f>IFERROR(_xlfn.XLOOKUP(tbl_HR_Data[[#This Row],[Email]], Mapping[Email_Discarded], Mapping[Email_Correction]), LOWER(TRIM(tbl_HR_Data[[#This Row],[Email]])))</f>
        <v>email@example.com</v>
      </c>
      <c r="Q57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573" t="str" cm="1">
        <f t="array" ref="R573">_xlfn.REDUCE(Q573, {"-","/","_","\","(",")"}, _xlfn.LAMBDA(_xlpm.txt,_xlpm.itm, SUBSTITUTE(_xlpm.txt, _xlpm.itm, "")))</f>
        <v>0987654321</v>
      </c>
      <c r="S573" s="3">
        <f>IFERROR(_xlfn.XLOOKUP(tbl_HR_Data[[#This Row],[Joining Date]], Mapping[Joining_Discarded], Mapping[Joining_Correction]), VALUE(tbl_HR_Data[[#This Row],[Joining Date]]))</f>
        <v>43845</v>
      </c>
      <c r="T573" t="str">
        <f>TEXT(tbl_HR_Data[[#This Row],[Joining Date]], "mmm")</f>
        <v>Jan</v>
      </c>
      <c r="U573" t="str">
        <f>TEXT(tbl_HR_Data[[#This Row],[Joining Date]], "ddd")</f>
        <v>Wed</v>
      </c>
    </row>
    <row r="574" spans="1:21" x14ac:dyDescent="0.35">
      <c r="A574" t="s">
        <v>99</v>
      </c>
      <c r="B574">
        <v>0</v>
      </c>
      <c r="C574">
        <v>0</v>
      </c>
      <c r="D574" t="s">
        <v>18</v>
      </c>
      <c r="E574" t="s">
        <v>19</v>
      </c>
      <c r="F574" t="s">
        <v>13</v>
      </c>
      <c r="G574" s="3">
        <v>43845</v>
      </c>
      <c r="H574" t="str">
        <f>TEXT(tbl_HR_Data[[#This Row],[Joining Date]], "mmm")</f>
        <v>Jan</v>
      </c>
      <c r="I574" t="s">
        <v>95</v>
      </c>
      <c r="J574" t="s">
        <v>21</v>
      </c>
      <c r="K574" t="s">
        <v>32</v>
      </c>
      <c r="L574" t="s">
        <v>88</v>
      </c>
      <c r="M574">
        <f>IFERROR( _xlfn.XLOOKUP(TRIM(tbl_HR_Data[[#This Row],[Age]]),#REF!,#REF!), VALUE(TRIM(tbl_HR_Data[[#This Row],[Age]])))</f>
        <v>0</v>
      </c>
      <c r="N574" t="str">
        <f>IFERROR(_xlfn.XLOOKUP(tbl_HR_Data[[#This Row],[Gender]], Mapping[Gender _Discarded], Mapping[Gender_Correction]), PROPER(TRIM(tbl_HR_Data[[#This Row],[Gender]])))</f>
        <v>Female</v>
      </c>
      <c r="O574" t="str">
        <f>TRIM(tbl_HR_Data[[#This Row],[Position]])</f>
        <v>Manager</v>
      </c>
      <c r="P574" t="str">
        <f>IFERROR(_xlfn.XLOOKUP(tbl_HR_Data[[#This Row],[Email]], Mapping[Email_Discarded], Mapping[Email_Correction]), LOWER(TRIM(tbl_HR_Data[[#This Row],[Email]])))</f>
        <v>name@company.org</v>
      </c>
      <c r="Q57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574" t="str" cm="1">
        <f t="array" ref="R574">_xlfn.REDUCE(Q574, {"-","/","_","\","(",")"}, _xlfn.LAMBDA(_xlpm.txt,_xlpm.itm, SUBSTITUTE(_xlpm.txt, _xlpm.itm, "")))</f>
        <v>0987654321</v>
      </c>
      <c r="S574" s="3">
        <f>IFERROR(_xlfn.XLOOKUP(tbl_HR_Data[[#This Row],[Joining Date]], Mapping[Joining_Discarded], Mapping[Joining_Correction]), VALUE(tbl_HR_Data[[#This Row],[Joining Date]]))</f>
        <v>43845</v>
      </c>
      <c r="T574" t="str">
        <f>TEXT(tbl_HR_Data[[#This Row],[Joining Date]], "mmm")</f>
        <v>Jan</v>
      </c>
      <c r="U574" t="str">
        <f>TEXT(tbl_HR_Data[[#This Row],[Joining Date]], "ddd")</f>
        <v>Wed</v>
      </c>
    </row>
    <row r="575" spans="1:21" x14ac:dyDescent="0.35">
      <c r="A575" t="s">
        <v>101</v>
      </c>
      <c r="B575">
        <v>40</v>
      </c>
      <c r="C575">
        <v>60000</v>
      </c>
      <c r="D575" t="s">
        <v>18</v>
      </c>
      <c r="E575" t="s">
        <v>37</v>
      </c>
      <c r="F575" t="s">
        <v>13</v>
      </c>
      <c r="G575" s="3">
        <v>43845</v>
      </c>
      <c r="H575" t="str">
        <f>TEXT(tbl_HR_Data[[#This Row],[Joining Date]], "mmm")</f>
        <v>Jan</v>
      </c>
      <c r="I575" t="s">
        <v>95</v>
      </c>
      <c r="J575" t="s">
        <v>27</v>
      </c>
      <c r="K575" t="s">
        <v>22</v>
      </c>
      <c r="L575" t="s">
        <v>87</v>
      </c>
      <c r="M575">
        <f>IFERROR( _xlfn.XLOOKUP(TRIM(tbl_HR_Data[[#This Row],[Age]]),#REF!,#REF!), VALUE(TRIM(tbl_HR_Data[[#This Row],[Age]])))</f>
        <v>40</v>
      </c>
      <c r="N575" t="str">
        <f>IFERROR(_xlfn.XLOOKUP(tbl_HR_Data[[#This Row],[Gender]], Mapping[Gender _Discarded], Mapping[Gender_Correction]), PROPER(TRIM(tbl_HR_Data[[#This Row],[Gender]])))</f>
        <v>Female</v>
      </c>
      <c r="O575" t="str">
        <f>TRIM(tbl_HR_Data[[#This Row],[Position]])</f>
        <v>Manager</v>
      </c>
      <c r="P575" t="str">
        <f>IFERROR(_xlfn.XLOOKUP(tbl_HR_Data[[#This Row],[Email]], Mapping[Email_Discarded], Mapping[Email_Correction]), LOWER(TRIM(tbl_HR_Data[[#This Row],[Email]])))</f>
        <v>user@domain.com</v>
      </c>
      <c r="Q57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75" t="str" cm="1">
        <f t="array" ref="R575">_xlfn.REDUCE(Q575, {"-","/","_","\","(",")"}, _xlfn.LAMBDA(_xlpm.txt,_xlpm.itm, SUBSTITUTE(_xlpm.txt, _xlpm.itm, "")))</f>
        <v>1234567890</v>
      </c>
      <c r="S575" s="3">
        <f>IFERROR(_xlfn.XLOOKUP(tbl_HR_Data[[#This Row],[Joining Date]], Mapping[Joining_Discarded], Mapping[Joining_Correction]), VALUE(tbl_HR_Data[[#This Row],[Joining Date]]))</f>
        <v>43845</v>
      </c>
      <c r="T575" t="str">
        <f>TEXT(tbl_HR_Data[[#This Row],[Joining Date]], "mmm")</f>
        <v>Jan</v>
      </c>
      <c r="U575" t="str">
        <f>TEXT(tbl_HR_Data[[#This Row],[Joining Date]], "ddd")</f>
        <v>Wed</v>
      </c>
    </row>
    <row r="576" spans="1:21" x14ac:dyDescent="0.35">
      <c r="A576" t="s">
        <v>108</v>
      </c>
      <c r="B576">
        <v>35</v>
      </c>
      <c r="C576">
        <v>55000</v>
      </c>
      <c r="D576" t="s">
        <v>18</v>
      </c>
      <c r="E576" t="s">
        <v>26</v>
      </c>
      <c r="F576" t="s">
        <v>43</v>
      </c>
      <c r="G576" s="3">
        <v>43845</v>
      </c>
      <c r="H576" t="str">
        <f>TEXT(tbl_HR_Data[[#This Row],[Joining Date]], "mmm")</f>
        <v>Jan</v>
      </c>
      <c r="I576" t="s">
        <v>95</v>
      </c>
      <c r="J576" t="s">
        <v>41</v>
      </c>
      <c r="K576" t="s">
        <v>77</v>
      </c>
      <c r="L576" t="s">
        <v>88</v>
      </c>
      <c r="M576">
        <f>IFERROR( _xlfn.XLOOKUP(TRIM(tbl_HR_Data[[#This Row],[Age]]),#REF!,#REF!), VALUE(TRIM(tbl_HR_Data[[#This Row],[Age]])))</f>
        <v>35</v>
      </c>
      <c r="N576" t="str">
        <f>IFERROR(_xlfn.XLOOKUP(tbl_HR_Data[[#This Row],[Gender]], Mapping[Gender _Discarded], Mapping[Gender_Correction]), PROPER(TRIM(tbl_HR_Data[[#This Row],[Gender]])))</f>
        <v>Female</v>
      </c>
      <c r="O576" t="str">
        <f>TRIM(tbl_HR_Data[[#This Row],[Position]])</f>
        <v>Assistant</v>
      </c>
      <c r="P576" t="str">
        <f>IFERROR(_xlfn.XLOOKUP(tbl_HR_Data[[#This Row],[Email]], Mapping[Email_Discarded], Mapping[Email_Correction]), LOWER(TRIM(tbl_HR_Data[[#This Row],[Email]])))</f>
        <v>not provided</v>
      </c>
      <c r="Q57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576" t="str" cm="1">
        <f t="array" ref="R576">_xlfn.REDUCE(Q576, {"-","/","_","\","(",")"}, _xlfn.LAMBDA(_xlpm.txt,_xlpm.itm, SUBSTITUTE(_xlpm.txt, _xlpm.itm, "")))</f>
        <v>0987654321</v>
      </c>
      <c r="S576" s="3">
        <f>IFERROR(_xlfn.XLOOKUP(tbl_HR_Data[[#This Row],[Joining Date]], Mapping[Joining_Discarded], Mapping[Joining_Correction]), VALUE(tbl_HR_Data[[#This Row],[Joining Date]]))</f>
        <v>43845</v>
      </c>
      <c r="T576" t="str">
        <f>TEXT(tbl_HR_Data[[#This Row],[Joining Date]], "mmm")</f>
        <v>Jan</v>
      </c>
      <c r="U576" t="str">
        <f>TEXT(tbl_HR_Data[[#This Row],[Joining Date]], "ddd")</f>
        <v>Wed</v>
      </c>
    </row>
    <row r="577" spans="1:21" x14ac:dyDescent="0.35">
      <c r="A577" t="s">
        <v>100</v>
      </c>
      <c r="B577">
        <v>50</v>
      </c>
      <c r="C577">
        <v>50000</v>
      </c>
      <c r="D577" t="s">
        <v>18</v>
      </c>
      <c r="E577" t="s">
        <v>30</v>
      </c>
      <c r="F577" t="s">
        <v>39</v>
      </c>
      <c r="G577" s="3">
        <v>43845</v>
      </c>
      <c r="H577" t="str">
        <f>TEXT(tbl_HR_Data[[#This Row],[Joining Date]], "mmm")</f>
        <v>Jan</v>
      </c>
      <c r="I577" t="s">
        <v>95</v>
      </c>
      <c r="J577" t="s">
        <v>14</v>
      </c>
      <c r="K577" t="s">
        <v>15</v>
      </c>
      <c r="L577" t="s">
        <v>88</v>
      </c>
      <c r="M577">
        <f>IFERROR( _xlfn.XLOOKUP(TRIM(tbl_HR_Data[[#This Row],[Age]]),#REF!,#REF!), VALUE(TRIM(tbl_HR_Data[[#This Row],[Age]])))</f>
        <v>50</v>
      </c>
      <c r="N577" t="str">
        <f>IFERROR(_xlfn.XLOOKUP(tbl_HR_Data[[#This Row],[Gender]], Mapping[Gender _Discarded], Mapping[Gender_Correction]), PROPER(TRIM(tbl_HR_Data[[#This Row],[Gender]])))</f>
        <v>Female</v>
      </c>
      <c r="O577" t="str">
        <f>TRIM(tbl_HR_Data[[#This Row],[Position]])</f>
        <v>Clerk</v>
      </c>
      <c r="P577" t="str">
        <f>IFERROR(_xlfn.XLOOKUP(tbl_HR_Data[[#This Row],[Email]], Mapping[Email_Discarded], Mapping[Email_Correction]), LOWER(TRIM(tbl_HR_Data[[#This Row],[Email]])))</f>
        <v>email@example.com</v>
      </c>
      <c r="Q57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577" t="str" cm="1">
        <f t="array" ref="R577">_xlfn.REDUCE(Q577, {"-","/","_","\","(",")"}, _xlfn.LAMBDA(_xlpm.txt,_xlpm.itm, SUBSTITUTE(_xlpm.txt, _xlpm.itm, "")))</f>
        <v>0987654321</v>
      </c>
      <c r="S577" s="3">
        <f>IFERROR(_xlfn.XLOOKUP(tbl_HR_Data[[#This Row],[Joining Date]], Mapping[Joining_Discarded], Mapping[Joining_Correction]), VALUE(tbl_HR_Data[[#This Row],[Joining Date]]))</f>
        <v>43845</v>
      </c>
      <c r="T577" t="str">
        <f>TEXT(tbl_HR_Data[[#This Row],[Joining Date]], "mmm")</f>
        <v>Jan</v>
      </c>
      <c r="U577" t="str">
        <f>TEXT(tbl_HR_Data[[#This Row],[Joining Date]], "ddd")</f>
        <v>Wed</v>
      </c>
    </row>
    <row r="578" spans="1:21" x14ac:dyDescent="0.35">
      <c r="A578" t="s">
        <v>106</v>
      </c>
      <c r="B578">
        <v>50</v>
      </c>
      <c r="C578">
        <v>70000</v>
      </c>
      <c r="D578" t="s">
        <v>36</v>
      </c>
      <c r="E578" t="s">
        <v>37</v>
      </c>
      <c r="F578" t="s">
        <v>20</v>
      </c>
      <c r="G578" s="3">
        <v>43845</v>
      </c>
      <c r="H578" t="str">
        <f>TEXT(tbl_HR_Data[[#This Row],[Joining Date]], "mmm")</f>
        <v>Jan</v>
      </c>
      <c r="I578" t="s">
        <v>95</v>
      </c>
      <c r="J578" t="s">
        <v>41</v>
      </c>
      <c r="K578" t="s">
        <v>15</v>
      </c>
      <c r="L578" t="s">
        <v>89</v>
      </c>
      <c r="M578">
        <f>IFERROR( _xlfn.XLOOKUP(TRIM(tbl_HR_Data[[#This Row],[Age]]),#REF!,#REF!), VALUE(TRIM(tbl_HR_Data[[#This Row],[Age]])))</f>
        <v>50</v>
      </c>
      <c r="N578" t="str">
        <f>IFERROR(_xlfn.XLOOKUP(tbl_HR_Data[[#This Row],[Gender]], Mapping[Gender _Discarded], Mapping[Gender_Correction]), PROPER(TRIM(tbl_HR_Data[[#This Row],[Gender]])))</f>
        <v>Other</v>
      </c>
      <c r="O578" t="str">
        <f>TRIM(tbl_HR_Data[[#This Row],[Position]])</f>
        <v>Director</v>
      </c>
      <c r="P578" t="str">
        <f>IFERROR(_xlfn.XLOOKUP(tbl_HR_Data[[#This Row],[Email]], Mapping[Email_Discarded], Mapping[Email_Correction]), LOWER(TRIM(tbl_HR_Data[[#This Row],[Email]])))</f>
        <v>email@example.com</v>
      </c>
      <c r="Q57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578" t="str" cm="1">
        <f t="array" ref="R578">_xlfn.REDUCE(Q578, {"-","/","_","\","(",")"}, _xlfn.LAMBDA(_xlpm.txt,_xlpm.itm, SUBSTITUTE(_xlpm.txt, _xlpm.itm, "")))</f>
        <v>5555555555</v>
      </c>
      <c r="S578" s="3">
        <f>IFERROR(_xlfn.XLOOKUP(tbl_HR_Data[[#This Row],[Joining Date]], Mapping[Joining_Discarded], Mapping[Joining_Correction]), VALUE(tbl_HR_Data[[#This Row],[Joining Date]]))</f>
        <v>43845</v>
      </c>
      <c r="T578" t="str">
        <f>TEXT(tbl_HR_Data[[#This Row],[Joining Date]], "mmm")</f>
        <v>Jan</v>
      </c>
      <c r="U578" t="str">
        <f>TEXT(tbl_HR_Data[[#This Row],[Joining Date]], "ddd")</f>
        <v>Wed</v>
      </c>
    </row>
    <row r="579" spans="1:21" x14ac:dyDescent="0.35">
      <c r="A579" t="s">
        <v>102</v>
      </c>
      <c r="B579">
        <v>40</v>
      </c>
      <c r="C579">
        <v>70000</v>
      </c>
      <c r="D579" t="s">
        <v>11</v>
      </c>
      <c r="E579" t="s">
        <v>26</v>
      </c>
      <c r="F579" t="s">
        <v>39</v>
      </c>
      <c r="G579" s="3">
        <v>43845</v>
      </c>
      <c r="H579" t="str">
        <f>TEXT(tbl_HR_Data[[#This Row],[Joining Date]], "mmm")</f>
        <v>Jan</v>
      </c>
      <c r="I579" t="s">
        <v>95</v>
      </c>
      <c r="J579" t="s">
        <v>41</v>
      </c>
      <c r="K579" t="s">
        <v>15</v>
      </c>
      <c r="L579" t="s">
        <v>87</v>
      </c>
      <c r="M579">
        <f>IFERROR( _xlfn.XLOOKUP(TRIM(tbl_HR_Data[[#This Row],[Age]]),#REF!,#REF!), VALUE(TRIM(tbl_HR_Data[[#This Row],[Age]])))</f>
        <v>40</v>
      </c>
      <c r="N579" t="str">
        <f>IFERROR(_xlfn.XLOOKUP(tbl_HR_Data[[#This Row],[Gender]], Mapping[Gender _Discarded], Mapping[Gender_Correction]), PROPER(TRIM(tbl_HR_Data[[#This Row],[Gender]])))</f>
        <v>Male</v>
      </c>
      <c r="O579" t="str">
        <f>TRIM(tbl_HR_Data[[#This Row],[Position]])</f>
        <v>Clerk</v>
      </c>
      <c r="P579" t="str">
        <f>IFERROR(_xlfn.XLOOKUP(tbl_HR_Data[[#This Row],[Email]], Mapping[Email_Discarded], Mapping[Email_Correction]), LOWER(TRIM(tbl_HR_Data[[#This Row],[Email]])))</f>
        <v>email@example.com</v>
      </c>
      <c r="Q57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79" t="str" cm="1">
        <f t="array" ref="R579">_xlfn.REDUCE(Q579, {"-","/","_","\","(",")"}, _xlfn.LAMBDA(_xlpm.txt,_xlpm.itm, SUBSTITUTE(_xlpm.txt, _xlpm.itm, "")))</f>
        <v>1234567890</v>
      </c>
      <c r="S579" s="3">
        <f>IFERROR(_xlfn.XLOOKUP(tbl_HR_Data[[#This Row],[Joining Date]], Mapping[Joining_Discarded], Mapping[Joining_Correction]), VALUE(tbl_HR_Data[[#This Row],[Joining Date]]))</f>
        <v>43845</v>
      </c>
      <c r="T579" t="str">
        <f>TEXT(tbl_HR_Data[[#This Row],[Joining Date]], "mmm")</f>
        <v>Jan</v>
      </c>
      <c r="U579" t="str">
        <f>TEXT(tbl_HR_Data[[#This Row],[Joining Date]], "ddd")</f>
        <v>Wed</v>
      </c>
    </row>
    <row r="580" spans="1:21" x14ac:dyDescent="0.35">
      <c r="A580" t="s">
        <v>100</v>
      </c>
      <c r="B580">
        <v>50</v>
      </c>
      <c r="C580">
        <v>0</v>
      </c>
      <c r="D580" t="s">
        <v>18</v>
      </c>
      <c r="E580" t="s">
        <v>26</v>
      </c>
      <c r="F580" t="s">
        <v>20</v>
      </c>
      <c r="G580" s="3">
        <v>43845</v>
      </c>
      <c r="H580" t="str">
        <f>TEXT(tbl_HR_Data[[#This Row],[Joining Date]], "mmm")</f>
        <v>Jan</v>
      </c>
      <c r="I580" t="s">
        <v>95</v>
      </c>
      <c r="J580" t="s">
        <v>31</v>
      </c>
      <c r="K580" t="s">
        <v>15</v>
      </c>
      <c r="L580" t="s">
        <v>87</v>
      </c>
      <c r="M580">
        <f>IFERROR( _xlfn.XLOOKUP(TRIM(tbl_HR_Data[[#This Row],[Age]]),#REF!,#REF!), VALUE(TRIM(tbl_HR_Data[[#This Row],[Age]])))</f>
        <v>50</v>
      </c>
      <c r="N580" t="str">
        <f>IFERROR(_xlfn.XLOOKUP(tbl_HR_Data[[#This Row],[Gender]], Mapping[Gender _Discarded], Mapping[Gender_Correction]), PROPER(TRIM(tbl_HR_Data[[#This Row],[Gender]])))</f>
        <v>Female</v>
      </c>
      <c r="O580" t="str">
        <f>TRIM(tbl_HR_Data[[#This Row],[Position]])</f>
        <v>Director</v>
      </c>
      <c r="P580" t="str">
        <f>IFERROR(_xlfn.XLOOKUP(tbl_HR_Data[[#This Row],[Email]], Mapping[Email_Discarded], Mapping[Email_Correction]), LOWER(TRIM(tbl_HR_Data[[#This Row],[Email]])))</f>
        <v>email@example.com</v>
      </c>
      <c r="Q58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80" t="str" cm="1">
        <f t="array" ref="R580">_xlfn.REDUCE(Q580, {"-","/","_","\","(",")"}, _xlfn.LAMBDA(_xlpm.txt,_xlpm.itm, SUBSTITUTE(_xlpm.txt, _xlpm.itm, "")))</f>
        <v>1234567890</v>
      </c>
      <c r="S580" s="3">
        <f>IFERROR(_xlfn.XLOOKUP(tbl_HR_Data[[#This Row],[Joining Date]], Mapping[Joining_Discarded], Mapping[Joining_Correction]), VALUE(tbl_HR_Data[[#This Row],[Joining Date]]))</f>
        <v>43845</v>
      </c>
      <c r="T580" t="str">
        <f>TEXT(tbl_HR_Data[[#This Row],[Joining Date]], "mmm")</f>
        <v>Jan</v>
      </c>
      <c r="U580" t="str">
        <f>TEXT(tbl_HR_Data[[#This Row],[Joining Date]], "ddd")</f>
        <v>Wed</v>
      </c>
    </row>
    <row r="581" spans="1:21" x14ac:dyDescent="0.35">
      <c r="A581" t="s">
        <v>104</v>
      </c>
      <c r="B581">
        <v>25</v>
      </c>
      <c r="C581">
        <v>70000</v>
      </c>
      <c r="D581" t="s">
        <v>11</v>
      </c>
      <c r="E581" t="s">
        <v>30</v>
      </c>
      <c r="F581" t="s">
        <v>44</v>
      </c>
      <c r="G581" s="3">
        <v>43845</v>
      </c>
      <c r="H581" t="str">
        <f>TEXT(tbl_HR_Data[[#This Row],[Joining Date]], "mmm")</f>
        <v>Jan</v>
      </c>
      <c r="I581" t="s">
        <v>95</v>
      </c>
      <c r="J581" t="s">
        <v>31</v>
      </c>
      <c r="K581" t="s">
        <v>77</v>
      </c>
      <c r="L581" t="s">
        <v>89</v>
      </c>
      <c r="M581">
        <f>IFERROR( _xlfn.XLOOKUP(TRIM(tbl_HR_Data[[#This Row],[Age]]),#REF!,#REF!), VALUE(TRIM(tbl_HR_Data[[#This Row],[Age]])))</f>
        <v>25</v>
      </c>
      <c r="N581" t="str">
        <f>IFERROR(_xlfn.XLOOKUP(tbl_HR_Data[[#This Row],[Gender]], Mapping[Gender _Discarded], Mapping[Gender_Correction]), PROPER(TRIM(tbl_HR_Data[[#This Row],[Gender]])))</f>
        <v>Male</v>
      </c>
      <c r="O581" t="str">
        <f>TRIM(tbl_HR_Data[[#This Row],[Position]])</f>
        <v>Analyst</v>
      </c>
      <c r="P581" t="str">
        <f>IFERROR(_xlfn.XLOOKUP(tbl_HR_Data[[#This Row],[Email]], Mapping[Email_Discarded], Mapping[Email_Correction]), LOWER(TRIM(tbl_HR_Data[[#This Row],[Email]])))</f>
        <v>not provided</v>
      </c>
      <c r="Q58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581" t="str" cm="1">
        <f t="array" ref="R581">_xlfn.REDUCE(Q581, {"-","/","_","\","(",")"}, _xlfn.LAMBDA(_xlpm.txt,_xlpm.itm, SUBSTITUTE(_xlpm.txt, _xlpm.itm, "")))</f>
        <v>5555555555</v>
      </c>
      <c r="S581" s="3">
        <f>IFERROR(_xlfn.XLOOKUP(tbl_HR_Data[[#This Row],[Joining Date]], Mapping[Joining_Discarded], Mapping[Joining_Correction]), VALUE(tbl_HR_Data[[#This Row],[Joining Date]]))</f>
        <v>43845</v>
      </c>
      <c r="T581" t="str">
        <f>TEXT(tbl_HR_Data[[#This Row],[Joining Date]], "mmm")</f>
        <v>Jan</v>
      </c>
      <c r="U581" t="str">
        <f>TEXT(tbl_HR_Data[[#This Row],[Joining Date]], "ddd")</f>
        <v>Wed</v>
      </c>
    </row>
    <row r="582" spans="1:21" x14ac:dyDescent="0.35">
      <c r="A582" t="s">
        <v>102</v>
      </c>
      <c r="B582">
        <v>30</v>
      </c>
      <c r="C582">
        <v>65000</v>
      </c>
      <c r="D582" t="s">
        <v>36</v>
      </c>
      <c r="E582" t="s">
        <v>37</v>
      </c>
      <c r="F582" t="s">
        <v>13</v>
      </c>
      <c r="G582" s="3">
        <v>43845</v>
      </c>
      <c r="H582" t="str">
        <f>TEXT(tbl_HR_Data[[#This Row],[Joining Date]], "mmm")</f>
        <v>Jan</v>
      </c>
      <c r="I582" t="s">
        <v>95</v>
      </c>
      <c r="J582" t="s">
        <v>14</v>
      </c>
      <c r="K582" t="s">
        <v>77</v>
      </c>
      <c r="L582" t="s">
        <v>88</v>
      </c>
      <c r="M582">
        <f>IFERROR( _xlfn.XLOOKUP(TRIM(tbl_HR_Data[[#This Row],[Age]]),#REF!,#REF!), VALUE(TRIM(tbl_HR_Data[[#This Row],[Age]])))</f>
        <v>30</v>
      </c>
      <c r="N582" t="str">
        <f>IFERROR(_xlfn.XLOOKUP(tbl_HR_Data[[#This Row],[Gender]], Mapping[Gender _Discarded], Mapping[Gender_Correction]), PROPER(TRIM(tbl_HR_Data[[#This Row],[Gender]])))</f>
        <v>Other</v>
      </c>
      <c r="O582" t="str">
        <f>TRIM(tbl_HR_Data[[#This Row],[Position]])</f>
        <v>Manager</v>
      </c>
      <c r="P582" t="str">
        <f>IFERROR(_xlfn.XLOOKUP(tbl_HR_Data[[#This Row],[Email]], Mapping[Email_Discarded], Mapping[Email_Correction]), LOWER(TRIM(tbl_HR_Data[[#This Row],[Email]])))</f>
        <v>not provided</v>
      </c>
      <c r="Q58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582" t="str" cm="1">
        <f t="array" ref="R582">_xlfn.REDUCE(Q582, {"-","/","_","\","(",")"}, _xlfn.LAMBDA(_xlpm.txt,_xlpm.itm, SUBSTITUTE(_xlpm.txt, _xlpm.itm, "")))</f>
        <v>0987654321</v>
      </c>
      <c r="S582" s="3">
        <f>IFERROR(_xlfn.XLOOKUP(tbl_HR_Data[[#This Row],[Joining Date]], Mapping[Joining_Discarded], Mapping[Joining_Correction]), VALUE(tbl_HR_Data[[#This Row],[Joining Date]]))</f>
        <v>43845</v>
      </c>
      <c r="T582" t="str">
        <f>TEXT(tbl_HR_Data[[#This Row],[Joining Date]], "mmm")</f>
        <v>Jan</v>
      </c>
      <c r="U582" t="str">
        <f>TEXT(tbl_HR_Data[[#This Row],[Joining Date]], "ddd")</f>
        <v>Wed</v>
      </c>
    </row>
    <row r="583" spans="1:21" x14ac:dyDescent="0.35">
      <c r="A583" t="s">
        <v>107</v>
      </c>
      <c r="B583">
        <v>35</v>
      </c>
      <c r="C583">
        <v>55000</v>
      </c>
      <c r="D583" t="s">
        <v>18</v>
      </c>
      <c r="E583" t="s">
        <v>37</v>
      </c>
      <c r="F583" t="s">
        <v>13</v>
      </c>
      <c r="G583" s="3">
        <v>43845</v>
      </c>
      <c r="H583" t="str">
        <f>TEXT(tbl_HR_Data[[#This Row],[Joining Date]], "mmm")</f>
        <v>Jan</v>
      </c>
      <c r="I583" t="s">
        <v>95</v>
      </c>
      <c r="J583" t="s">
        <v>27</v>
      </c>
      <c r="K583" t="s">
        <v>77</v>
      </c>
      <c r="L583" t="s">
        <v>88</v>
      </c>
      <c r="M583">
        <f>IFERROR( _xlfn.XLOOKUP(TRIM(tbl_HR_Data[[#This Row],[Age]]),#REF!,#REF!), VALUE(TRIM(tbl_HR_Data[[#This Row],[Age]])))</f>
        <v>35</v>
      </c>
      <c r="N583" t="str">
        <f>IFERROR(_xlfn.XLOOKUP(tbl_HR_Data[[#This Row],[Gender]], Mapping[Gender _Discarded], Mapping[Gender_Correction]), PROPER(TRIM(tbl_HR_Data[[#This Row],[Gender]])))</f>
        <v>Female</v>
      </c>
      <c r="O583" t="str">
        <f>TRIM(tbl_HR_Data[[#This Row],[Position]])</f>
        <v>Manager</v>
      </c>
      <c r="P583" t="str">
        <f>IFERROR(_xlfn.XLOOKUP(tbl_HR_Data[[#This Row],[Email]], Mapping[Email_Discarded], Mapping[Email_Correction]), LOWER(TRIM(tbl_HR_Data[[#This Row],[Email]])))</f>
        <v>not provided</v>
      </c>
      <c r="Q58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583" t="str" cm="1">
        <f t="array" ref="R583">_xlfn.REDUCE(Q583, {"-","/","_","\","(",")"}, _xlfn.LAMBDA(_xlpm.txt,_xlpm.itm, SUBSTITUTE(_xlpm.txt, _xlpm.itm, "")))</f>
        <v>0987654321</v>
      </c>
      <c r="S583" s="3">
        <f>IFERROR(_xlfn.XLOOKUP(tbl_HR_Data[[#This Row],[Joining Date]], Mapping[Joining_Discarded], Mapping[Joining_Correction]), VALUE(tbl_HR_Data[[#This Row],[Joining Date]]))</f>
        <v>43845</v>
      </c>
      <c r="T583" t="str">
        <f>TEXT(tbl_HR_Data[[#This Row],[Joining Date]], "mmm")</f>
        <v>Jan</v>
      </c>
      <c r="U583" t="str">
        <f>TEXT(tbl_HR_Data[[#This Row],[Joining Date]], "ddd")</f>
        <v>Wed</v>
      </c>
    </row>
    <row r="584" spans="1:21" x14ac:dyDescent="0.35">
      <c r="A584" t="s">
        <v>108</v>
      </c>
      <c r="B584">
        <v>25</v>
      </c>
      <c r="C584">
        <v>65000</v>
      </c>
      <c r="D584" t="s">
        <v>36</v>
      </c>
      <c r="E584" t="s">
        <v>12</v>
      </c>
      <c r="F584" t="s">
        <v>20</v>
      </c>
      <c r="G584" s="3">
        <v>43845</v>
      </c>
      <c r="H584" t="str">
        <f>TEXT(tbl_HR_Data[[#This Row],[Joining Date]], "mmm")</f>
        <v>Jan</v>
      </c>
      <c r="I584" t="s">
        <v>95</v>
      </c>
      <c r="J584" t="s">
        <v>14</v>
      </c>
      <c r="K584" t="s">
        <v>77</v>
      </c>
      <c r="L584" t="s">
        <v>77</v>
      </c>
      <c r="M584">
        <f>IFERROR( _xlfn.XLOOKUP(TRIM(tbl_HR_Data[[#This Row],[Age]]),#REF!,#REF!), VALUE(TRIM(tbl_HR_Data[[#This Row],[Age]])))</f>
        <v>25</v>
      </c>
      <c r="N584" t="str">
        <f>IFERROR(_xlfn.XLOOKUP(tbl_HR_Data[[#This Row],[Gender]], Mapping[Gender _Discarded], Mapping[Gender_Correction]), PROPER(TRIM(tbl_HR_Data[[#This Row],[Gender]])))</f>
        <v>Other</v>
      </c>
      <c r="O584" t="str">
        <f>TRIM(tbl_HR_Data[[#This Row],[Position]])</f>
        <v>Director</v>
      </c>
      <c r="P584" t="str">
        <f>IFERROR(_xlfn.XLOOKUP(tbl_HR_Data[[#This Row],[Email]], Mapping[Email_Discarded], Mapping[Email_Correction]), LOWER(TRIM(tbl_HR_Data[[#This Row],[Email]])))</f>
        <v>not provided</v>
      </c>
      <c r="Q58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84" t="str" cm="1">
        <f t="array" ref="R584">_xlfn.REDUCE(Q584, {"-","/","_","\","(",")"}, _xlfn.LAMBDA(_xlpm.txt,_xlpm.itm, SUBSTITUTE(_xlpm.txt, _xlpm.itm, "")))</f>
        <v>Not Provided</v>
      </c>
      <c r="S584" s="3">
        <f>IFERROR(_xlfn.XLOOKUP(tbl_HR_Data[[#This Row],[Joining Date]], Mapping[Joining_Discarded], Mapping[Joining_Correction]), VALUE(tbl_HR_Data[[#This Row],[Joining Date]]))</f>
        <v>43845</v>
      </c>
      <c r="T584" t="str">
        <f>TEXT(tbl_HR_Data[[#This Row],[Joining Date]], "mmm")</f>
        <v>Jan</v>
      </c>
      <c r="U584" t="str">
        <f>TEXT(tbl_HR_Data[[#This Row],[Joining Date]], "ddd")</f>
        <v>Wed</v>
      </c>
    </row>
    <row r="585" spans="1:21" x14ac:dyDescent="0.35">
      <c r="A585" t="s">
        <v>99</v>
      </c>
      <c r="B585">
        <v>40</v>
      </c>
      <c r="C585">
        <v>0</v>
      </c>
      <c r="D585" t="s">
        <v>36</v>
      </c>
      <c r="E585" t="s">
        <v>30</v>
      </c>
      <c r="F585" t="s">
        <v>44</v>
      </c>
      <c r="G585" s="3">
        <v>43845</v>
      </c>
      <c r="H585" t="str">
        <f>TEXT(tbl_HR_Data[[#This Row],[Joining Date]], "mmm")</f>
        <v>Jan</v>
      </c>
      <c r="I585" t="s">
        <v>95</v>
      </c>
      <c r="J585" t="s">
        <v>21</v>
      </c>
      <c r="K585" t="s">
        <v>15</v>
      </c>
      <c r="L585" t="s">
        <v>89</v>
      </c>
      <c r="M585">
        <f>IFERROR( _xlfn.XLOOKUP(TRIM(tbl_HR_Data[[#This Row],[Age]]),#REF!,#REF!), VALUE(TRIM(tbl_HR_Data[[#This Row],[Age]])))</f>
        <v>40</v>
      </c>
      <c r="N585" t="str">
        <f>IFERROR(_xlfn.XLOOKUP(tbl_HR_Data[[#This Row],[Gender]], Mapping[Gender _Discarded], Mapping[Gender_Correction]), PROPER(TRIM(tbl_HR_Data[[#This Row],[Gender]])))</f>
        <v>Other</v>
      </c>
      <c r="O585" t="str">
        <f>TRIM(tbl_HR_Data[[#This Row],[Position]])</f>
        <v>Analyst</v>
      </c>
      <c r="P585" t="str">
        <f>IFERROR(_xlfn.XLOOKUP(tbl_HR_Data[[#This Row],[Email]], Mapping[Email_Discarded], Mapping[Email_Correction]), LOWER(TRIM(tbl_HR_Data[[#This Row],[Email]])))</f>
        <v>email@example.com</v>
      </c>
      <c r="Q58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585" t="str" cm="1">
        <f t="array" ref="R585">_xlfn.REDUCE(Q585, {"-","/","_","\","(",")"}, _xlfn.LAMBDA(_xlpm.txt,_xlpm.itm, SUBSTITUTE(_xlpm.txt, _xlpm.itm, "")))</f>
        <v>5555555555</v>
      </c>
      <c r="S585" s="3">
        <f>IFERROR(_xlfn.XLOOKUP(tbl_HR_Data[[#This Row],[Joining Date]], Mapping[Joining_Discarded], Mapping[Joining_Correction]), VALUE(tbl_HR_Data[[#This Row],[Joining Date]]))</f>
        <v>43845</v>
      </c>
      <c r="T585" t="str">
        <f>TEXT(tbl_HR_Data[[#This Row],[Joining Date]], "mmm")</f>
        <v>Jan</v>
      </c>
      <c r="U585" t="str">
        <f>TEXT(tbl_HR_Data[[#This Row],[Joining Date]], "ddd")</f>
        <v>Wed</v>
      </c>
    </row>
    <row r="586" spans="1:21" x14ac:dyDescent="0.35">
      <c r="A586" t="s">
        <v>101</v>
      </c>
      <c r="B586">
        <v>40</v>
      </c>
      <c r="C586">
        <v>70000</v>
      </c>
      <c r="D586" t="s">
        <v>18</v>
      </c>
      <c r="E586" t="s">
        <v>12</v>
      </c>
      <c r="F586" t="s">
        <v>44</v>
      </c>
      <c r="G586" s="3">
        <v>43845</v>
      </c>
      <c r="H586" t="str">
        <f>TEXT(tbl_HR_Data[[#This Row],[Joining Date]], "mmm")</f>
        <v>Jan</v>
      </c>
      <c r="I586" t="s">
        <v>95</v>
      </c>
      <c r="J586" t="s">
        <v>14</v>
      </c>
      <c r="K586" t="s">
        <v>15</v>
      </c>
      <c r="L586" t="s">
        <v>77</v>
      </c>
      <c r="M586">
        <f>IFERROR( _xlfn.XLOOKUP(TRIM(tbl_HR_Data[[#This Row],[Age]]),#REF!,#REF!), VALUE(TRIM(tbl_HR_Data[[#This Row],[Age]])))</f>
        <v>40</v>
      </c>
      <c r="N586" t="str">
        <f>IFERROR(_xlfn.XLOOKUP(tbl_HR_Data[[#This Row],[Gender]], Mapping[Gender _Discarded], Mapping[Gender_Correction]), PROPER(TRIM(tbl_HR_Data[[#This Row],[Gender]])))</f>
        <v>Female</v>
      </c>
      <c r="O586" t="str">
        <f>TRIM(tbl_HR_Data[[#This Row],[Position]])</f>
        <v>Analyst</v>
      </c>
      <c r="P586" t="str">
        <f>IFERROR(_xlfn.XLOOKUP(tbl_HR_Data[[#This Row],[Email]], Mapping[Email_Discarded], Mapping[Email_Correction]), LOWER(TRIM(tbl_HR_Data[[#This Row],[Email]])))</f>
        <v>email@example.com</v>
      </c>
      <c r="Q58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86" t="str" cm="1">
        <f t="array" ref="R586">_xlfn.REDUCE(Q586, {"-","/","_","\","(",")"}, _xlfn.LAMBDA(_xlpm.txt,_xlpm.itm, SUBSTITUTE(_xlpm.txt, _xlpm.itm, "")))</f>
        <v>Not Provided</v>
      </c>
      <c r="S586" s="3">
        <f>IFERROR(_xlfn.XLOOKUP(tbl_HR_Data[[#This Row],[Joining Date]], Mapping[Joining_Discarded], Mapping[Joining_Correction]), VALUE(tbl_HR_Data[[#This Row],[Joining Date]]))</f>
        <v>43845</v>
      </c>
      <c r="T586" t="str">
        <f>TEXT(tbl_HR_Data[[#This Row],[Joining Date]], "mmm")</f>
        <v>Jan</v>
      </c>
      <c r="U586" t="str">
        <f>TEXT(tbl_HR_Data[[#This Row],[Joining Date]], "ddd")</f>
        <v>Wed</v>
      </c>
    </row>
    <row r="587" spans="1:21" x14ac:dyDescent="0.35">
      <c r="A587" t="s">
        <v>101</v>
      </c>
      <c r="B587">
        <v>25</v>
      </c>
      <c r="C587">
        <v>55000</v>
      </c>
      <c r="D587" t="s">
        <v>11</v>
      </c>
      <c r="E587" t="s">
        <v>19</v>
      </c>
      <c r="F587" t="s">
        <v>43</v>
      </c>
      <c r="G587" s="3">
        <v>43845</v>
      </c>
      <c r="H587" t="str">
        <f>TEXT(tbl_HR_Data[[#This Row],[Joining Date]], "mmm")</f>
        <v>Jan</v>
      </c>
      <c r="I587" t="s">
        <v>95</v>
      </c>
      <c r="J587" t="s">
        <v>21</v>
      </c>
      <c r="K587" t="s">
        <v>77</v>
      </c>
      <c r="L587" t="s">
        <v>88</v>
      </c>
      <c r="M587">
        <f>IFERROR( _xlfn.XLOOKUP(TRIM(tbl_HR_Data[[#This Row],[Age]]),#REF!,#REF!), VALUE(TRIM(tbl_HR_Data[[#This Row],[Age]])))</f>
        <v>25</v>
      </c>
      <c r="N587" t="str">
        <f>IFERROR(_xlfn.XLOOKUP(tbl_HR_Data[[#This Row],[Gender]], Mapping[Gender _Discarded], Mapping[Gender_Correction]), PROPER(TRIM(tbl_HR_Data[[#This Row],[Gender]])))</f>
        <v>Male</v>
      </c>
      <c r="O587" t="str">
        <f>TRIM(tbl_HR_Data[[#This Row],[Position]])</f>
        <v>Assistant</v>
      </c>
      <c r="P587" t="str">
        <f>IFERROR(_xlfn.XLOOKUP(tbl_HR_Data[[#This Row],[Email]], Mapping[Email_Discarded], Mapping[Email_Correction]), LOWER(TRIM(tbl_HR_Data[[#This Row],[Email]])))</f>
        <v>not provided</v>
      </c>
      <c r="Q58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587" t="str" cm="1">
        <f t="array" ref="R587">_xlfn.REDUCE(Q587, {"-","/","_","\","(",")"}, _xlfn.LAMBDA(_xlpm.txt,_xlpm.itm, SUBSTITUTE(_xlpm.txt, _xlpm.itm, "")))</f>
        <v>0987654321</v>
      </c>
      <c r="S587" s="3">
        <f>IFERROR(_xlfn.XLOOKUP(tbl_HR_Data[[#This Row],[Joining Date]], Mapping[Joining_Discarded], Mapping[Joining_Correction]), VALUE(tbl_HR_Data[[#This Row],[Joining Date]]))</f>
        <v>43845</v>
      </c>
      <c r="T587" t="str">
        <f>TEXT(tbl_HR_Data[[#This Row],[Joining Date]], "mmm")</f>
        <v>Jan</v>
      </c>
      <c r="U587" t="str">
        <f>TEXT(tbl_HR_Data[[#This Row],[Joining Date]], "ddd")</f>
        <v>Wed</v>
      </c>
    </row>
    <row r="588" spans="1:21" x14ac:dyDescent="0.35">
      <c r="A588" t="s">
        <v>105</v>
      </c>
      <c r="B588">
        <v>25</v>
      </c>
      <c r="C588">
        <v>70000</v>
      </c>
      <c r="D588" t="s">
        <v>11</v>
      </c>
      <c r="E588" t="s">
        <v>30</v>
      </c>
      <c r="F588" t="s">
        <v>20</v>
      </c>
      <c r="G588" s="3">
        <v>43845</v>
      </c>
      <c r="H588" t="str">
        <f>TEXT(tbl_HR_Data[[#This Row],[Joining Date]], "mmm")</f>
        <v>Jan</v>
      </c>
      <c r="I588" t="s">
        <v>95</v>
      </c>
      <c r="J588" t="s">
        <v>14</v>
      </c>
      <c r="K588" t="s">
        <v>15</v>
      </c>
      <c r="L588" t="s">
        <v>87</v>
      </c>
      <c r="M588">
        <f>IFERROR( _xlfn.XLOOKUP(TRIM(tbl_HR_Data[[#This Row],[Age]]),#REF!,#REF!), VALUE(TRIM(tbl_HR_Data[[#This Row],[Age]])))</f>
        <v>25</v>
      </c>
      <c r="N588" t="str">
        <f>IFERROR(_xlfn.XLOOKUP(tbl_HR_Data[[#This Row],[Gender]], Mapping[Gender _Discarded], Mapping[Gender_Correction]), PROPER(TRIM(tbl_HR_Data[[#This Row],[Gender]])))</f>
        <v>Male</v>
      </c>
      <c r="O588" t="str">
        <f>TRIM(tbl_HR_Data[[#This Row],[Position]])</f>
        <v>Director</v>
      </c>
      <c r="P588" t="str">
        <f>IFERROR(_xlfn.XLOOKUP(tbl_HR_Data[[#This Row],[Email]], Mapping[Email_Discarded], Mapping[Email_Correction]), LOWER(TRIM(tbl_HR_Data[[#This Row],[Email]])))</f>
        <v>email@example.com</v>
      </c>
      <c r="Q58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88" t="str" cm="1">
        <f t="array" ref="R588">_xlfn.REDUCE(Q588, {"-","/","_","\","(",")"}, _xlfn.LAMBDA(_xlpm.txt,_xlpm.itm, SUBSTITUTE(_xlpm.txt, _xlpm.itm, "")))</f>
        <v>1234567890</v>
      </c>
      <c r="S588" s="3">
        <f>IFERROR(_xlfn.XLOOKUP(tbl_HR_Data[[#This Row],[Joining Date]], Mapping[Joining_Discarded], Mapping[Joining_Correction]), VALUE(tbl_HR_Data[[#This Row],[Joining Date]]))</f>
        <v>43845</v>
      </c>
      <c r="T588" t="str">
        <f>TEXT(tbl_HR_Data[[#This Row],[Joining Date]], "mmm")</f>
        <v>Jan</v>
      </c>
      <c r="U588" t="str">
        <f>TEXT(tbl_HR_Data[[#This Row],[Joining Date]], "ddd")</f>
        <v>Wed</v>
      </c>
    </row>
    <row r="589" spans="1:21" x14ac:dyDescent="0.35">
      <c r="A589" t="s">
        <v>103</v>
      </c>
      <c r="B589">
        <v>50</v>
      </c>
      <c r="C589">
        <v>65000</v>
      </c>
      <c r="D589" t="s">
        <v>36</v>
      </c>
      <c r="E589" t="s">
        <v>26</v>
      </c>
      <c r="F589" t="s">
        <v>43</v>
      </c>
      <c r="G589" s="3">
        <v>43845</v>
      </c>
      <c r="H589" t="str">
        <f>TEXT(tbl_HR_Data[[#This Row],[Joining Date]], "mmm")</f>
        <v>Jan</v>
      </c>
      <c r="I589" t="s">
        <v>95</v>
      </c>
      <c r="J589" t="s">
        <v>31</v>
      </c>
      <c r="K589" t="s">
        <v>32</v>
      </c>
      <c r="L589" t="s">
        <v>87</v>
      </c>
      <c r="M589">
        <f>IFERROR( _xlfn.XLOOKUP(TRIM(tbl_HR_Data[[#This Row],[Age]]),#REF!,#REF!), VALUE(TRIM(tbl_HR_Data[[#This Row],[Age]])))</f>
        <v>50</v>
      </c>
      <c r="N589" t="str">
        <f>IFERROR(_xlfn.XLOOKUP(tbl_HR_Data[[#This Row],[Gender]], Mapping[Gender _Discarded], Mapping[Gender_Correction]), PROPER(TRIM(tbl_HR_Data[[#This Row],[Gender]])))</f>
        <v>Other</v>
      </c>
      <c r="O589" t="str">
        <f>TRIM(tbl_HR_Data[[#This Row],[Position]])</f>
        <v>Assistant</v>
      </c>
      <c r="P589" t="str">
        <f>IFERROR(_xlfn.XLOOKUP(tbl_HR_Data[[#This Row],[Email]], Mapping[Email_Discarded], Mapping[Email_Correction]), LOWER(TRIM(tbl_HR_Data[[#This Row],[Email]])))</f>
        <v>name@company.org</v>
      </c>
      <c r="Q58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89" t="str" cm="1">
        <f t="array" ref="R589">_xlfn.REDUCE(Q589, {"-","/","_","\","(",")"}, _xlfn.LAMBDA(_xlpm.txt,_xlpm.itm, SUBSTITUTE(_xlpm.txt, _xlpm.itm, "")))</f>
        <v>1234567890</v>
      </c>
      <c r="S589" s="3">
        <f>IFERROR(_xlfn.XLOOKUP(tbl_HR_Data[[#This Row],[Joining Date]], Mapping[Joining_Discarded], Mapping[Joining_Correction]), VALUE(tbl_HR_Data[[#This Row],[Joining Date]]))</f>
        <v>43845</v>
      </c>
      <c r="T589" t="str">
        <f>TEXT(tbl_HR_Data[[#This Row],[Joining Date]], "mmm")</f>
        <v>Jan</v>
      </c>
      <c r="U589" t="str">
        <f>TEXT(tbl_HR_Data[[#This Row],[Joining Date]], "ddd")</f>
        <v>Wed</v>
      </c>
    </row>
    <row r="590" spans="1:21" x14ac:dyDescent="0.35">
      <c r="A590" t="s">
        <v>103</v>
      </c>
      <c r="B590">
        <v>25</v>
      </c>
      <c r="C590">
        <v>60000</v>
      </c>
      <c r="D590" t="s">
        <v>36</v>
      </c>
      <c r="E590" t="s">
        <v>30</v>
      </c>
      <c r="F590" t="s">
        <v>39</v>
      </c>
      <c r="G590" s="3">
        <v>43845</v>
      </c>
      <c r="H590" t="str">
        <f>TEXT(tbl_HR_Data[[#This Row],[Joining Date]], "mmm")</f>
        <v>Jan</v>
      </c>
      <c r="I590" t="s">
        <v>95</v>
      </c>
      <c r="J590" t="s">
        <v>21</v>
      </c>
      <c r="K590" t="s">
        <v>77</v>
      </c>
      <c r="L590" t="s">
        <v>88</v>
      </c>
      <c r="M590">
        <f>IFERROR( _xlfn.XLOOKUP(TRIM(tbl_HR_Data[[#This Row],[Age]]),#REF!,#REF!), VALUE(TRIM(tbl_HR_Data[[#This Row],[Age]])))</f>
        <v>25</v>
      </c>
      <c r="N590" t="str">
        <f>IFERROR(_xlfn.XLOOKUP(tbl_HR_Data[[#This Row],[Gender]], Mapping[Gender _Discarded], Mapping[Gender_Correction]), PROPER(TRIM(tbl_HR_Data[[#This Row],[Gender]])))</f>
        <v>Other</v>
      </c>
      <c r="O590" t="str">
        <f>TRIM(tbl_HR_Data[[#This Row],[Position]])</f>
        <v>Clerk</v>
      </c>
      <c r="P590" t="str">
        <f>IFERROR(_xlfn.XLOOKUP(tbl_HR_Data[[#This Row],[Email]], Mapping[Email_Discarded], Mapping[Email_Correction]), LOWER(TRIM(tbl_HR_Data[[#This Row],[Email]])))</f>
        <v>not provided</v>
      </c>
      <c r="Q59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590" t="str" cm="1">
        <f t="array" ref="R590">_xlfn.REDUCE(Q590, {"-","/","_","\","(",")"}, _xlfn.LAMBDA(_xlpm.txt,_xlpm.itm, SUBSTITUTE(_xlpm.txt, _xlpm.itm, "")))</f>
        <v>0987654321</v>
      </c>
      <c r="S590" s="3">
        <f>IFERROR(_xlfn.XLOOKUP(tbl_HR_Data[[#This Row],[Joining Date]], Mapping[Joining_Discarded], Mapping[Joining_Correction]), VALUE(tbl_HR_Data[[#This Row],[Joining Date]]))</f>
        <v>43845</v>
      </c>
      <c r="T590" t="str">
        <f>TEXT(tbl_HR_Data[[#This Row],[Joining Date]], "mmm")</f>
        <v>Jan</v>
      </c>
      <c r="U590" t="str">
        <f>TEXT(tbl_HR_Data[[#This Row],[Joining Date]], "ddd")</f>
        <v>Wed</v>
      </c>
    </row>
    <row r="591" spans="1:21" x14ac:dyDescent="0.35">
      <c r="A591" t="s">
        <v>101</v>
      </c>
      <c r="B591">
        <v>0</v>
      </c>
      <c r="C591">
        <v>70000</v>
      </c>
      <c r="D591" t="s">
        <v>36</v>
      </c>
      <c r="E591" t="s">
        <v>19</v>
      </c>
      <c r="F591" t="s">
        <v>44</v>
      </c>
      <c r="G591" s="3">
        <v>43845</v>
      </c>
      <c r="H591" t="str">
        <f>TEXT(tbl_HR_Data[[#This Row],[Joining Date]], "mmm")</f>
        <v>Jan</v>
      </c>
      <c r="I591" t="s">
        <v>95</v>
      </c>
      <c r="J591" t="s">
        <v>21</v>
      </c>
      <c r="K591" t="s">
        <v>22</v>
      </c>
      <c r="L591" t="s">
        <v>77</v>
      </c>
      <c r="M591">
        <f>IFERROR( _xlfn.XLOOKUP(TRIM(tbl_HR_Data[[#This Row],[Age]]),#REF!,#REF!), VALUE(TRIM(tbl_HR_Data[[#This Row],[Age]])))</f>
        <v>0</v>
      </c>
      <c r="N591" t="str">
        <f>IFERROR(_xlfn.XLOOKUP(tbl_HR_Data[[#This Row],[Gender]], Mapping[Gender _Discarded], Mapping[Gender_Correction]), PROPER(TRIM(tbl_HR_Data[[#This Row],[Gender]])))</f>
        <v>Other</v>
      </c>
      <c r="O591" t="str">
        <f>TRIM(tbl_HR_Data[[#This Row],[Position]])</f>
        <v>Analyst</v>
      </c>
      <c r="P591" t="str">
        <f>IFERROR(_xlfn.XLOOKUP(tbl_HR_Data[[#This Row],[Email]], Mapping[Email_Discarded], Mapping[Email_Correction]), LOWER(TRIM(tbl_HR_Data[[#This Row],[Email]])))</f>
        <v>user@domain.com</v>
      </c>
      <c r="Q59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91" t="str" cm="1">
        <f t="array" ref="R591">_xlfn.REDUCE(Q591, {"-","/","_","\","(",")"}, _xlfn.LAMBDA(_xlpm.txt,_xlpm.itm, SUBSTITUTE(_xlpm.txt, _xlpm.itm, "")))</f>
        <v>Not Provided</v>
      </c>
      <c r="S591" s="3">
        <f>IFERROR(_xlfn.XLOOKUP(tbl_HR_Data[[#This Row],[Joining Date]], Mapping[Joining_Discarded], Mapping[Joining_Correction]), VALUE(tbl_HR_Data[[#This Row],[Joining Date]]))</f>
        <v>43845</v>
      </c>
      <c r="T591" t="str">
        <f>TEXT(tbl_HR_Data[[#This Row],[Joining Date]], "mmm")</f>
        <v>Jan</v>
      </c>
      <c r="U591" t="str">
        <f>TEXT(tbl_HR_Data[[#This Row],[Joining Date]], "ddd")</f>
        <v>Wed</v>
      </c>
    </row>
    <row r="592" spans="1:21" x14ac:dyDescent="0.35">
      <c r="A592" t="s">
        <v>102</v>
      </c>
      <c r="B592">
        <v>50</v>
      </c>
      <c r="C592">
        <v>55000</v>
      </c>
      <c r="D592" t="s">
        <v>18</v>
      </c>
      <c r="E592" t="s">
        <v>26</v>
      </c>
      <c r="F592" t="s">
        <v>39</v>
      </c>
      <c r="G592" s="3">
        <v>43845</v>
      </c>
      <c r="H592" t="str">
        <f>TEXT(tbl_HR_Data[[#This Row],[Joining Date]], "mmm")</f>
        <v>Jan</v>
      </c>
      <c r="I592" t="s">
        <v>95</v>
      </c>
      <c r="J592" t="s">
        <v>31</v>
      </c>
      <c r="K592" t="s">
        <v>77</v>
      </c>
      <c r="L592" t="s">
        <v>87</v>
      </c>
      <c r="M592">
        <f>IFERROR( _xlfn.XLOOKUP(TRIM(tbl_HR_Data[[#This Row],[Age]]),#REF!,#REF!), VALUE(TRIM(tbl_HR_Data[[#This Row],[Age]])))</f>
        <v>50</v>
      </c>
      <c r="N592" t="str">
        <f>IFERROR(_xlfn.XLOOKUP(tbl_HR_Data[[#This Row],[Gender]], Mapping[Gender _Discarded], Mapping[Gender_Correction]), PROPER(TRIM(tbl_HR_Data[[#This Row],[Gender]])))</f>
        <v>Female</v>
      </c>
      <c r="O592" t="str">
        <f>TRIM(tbl_HR_Data[[#This Row],[Position]])</f>
        <v>Clerk</v>
      </c>
      <c r="P592" t="str">
        <f>IFERROR(_xlfn.XLOOKUP(tbl_HR_Data[[#This Row],[Email]], Mapping[Email_Discarded], Mapping[Email_Correction]), LOWER(TRIM(tbl_HR_Data[[#This Row],[Email]])))</f>
        <v>not provided</v>
      </c>
      <c r="Q59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92" t="str" cm="1">
        <f t="array" ref="R592">_xlfn.REDUCE(Q592, {"-","/","_","\","(",")"}, _xlfn.LAMBDA(_xlpm.txt,_xlpm.itm, SUBSTITUTE(_xlpm.txt, _xlpm.itm, "")))</f>
        <v>1234567890</v>
      </c>
      <c r="S592" s="3">
        <f>IFERROR(_xlfn.XLOOKUP(tbl_HR_Data[[#This Row],[Joining Date]], Mapping[Joining_Discarded], Mapping[Joining_Correction]), VALUE(tbl_HR_Data[[#This Row],[Joining Date]]))</f>
        <v>43845</v>
      </c>
      <c r="T592" t="str">
        <f>TEXT(tbl_HR_Data[[#This Row],[Joining Date]], "mmm")</f>
        <v>Jan</v>
      </c>
      <c r="U592" t="str">
        <f>TEXT(tbl_HR_Data[[#This Row],[Joining Date]], "ddd")</f>
        <v>Wed</v>
      </c>
    </row>
    <row r="593" spans="1:21" x14ac:dyDescent="0.35">
      <c r="A593" t="s">
        <v>100</v>
      </c>
      <c r="B593">
        <v>40</v>
      </c>
      <c r="C593">
        <v>65000</v>
      </c>
      <c r="D593" t="s">
        <v>36</v>
      </c>
      <c r="E593" t="s">
        <v>26</v>
      </c>
      <c r="F593" t="s">
        <v>20</v>
      </c>
      <c r="G593" s="3">
        <v>43845</v>
      </c>
      <c r="H593" t="str">
        <f>TEXT(tbl_HR_Data[[#This Row],[Joining Date]], "mmm")</f>
        <v>Jan</v>
      </c>
      <c r="I593" t="s">
        <v>95</v>
      </c>
      <c r="J593" t="s">
        <v>21</v>
      </c>
      <c r="K593" t="s">
        <v>32</v>
      </c>
      <c r="L593" t="s">
        <v>87</v>
      </c>
      <c r="M593">
        <f>IFERROR( _xlfn.XLOOKUP(TRIM(tbl_HR_Data[[#This Row],[Age]]),#REF!,#REF!), VALUE(TRIM(tbl_HR_Data[[#This Row],[Age]])))</f>
        <v>40</v>
      </c>
      <c r="N593" t="str">
        <f>IFERROR(_xlfn.XLOOKUP(tbl_HR_Data[[#This Row],[Gender]], Mapping[Gender _Discarded], Mapping[Gender_Correction]), PROPER(TRIM(tbl_HR_Data[[#This Row],[Gender]])))</f>
        <v>Other</v>
      </c>
      <c r="O593" t="str">
        <f>TRIM(tbl_HR_Data[[#This Row],[Position]])</f>
        <v>Director</v>
      </c>
      <c r="P593" t="str">
        <f>IFERROR(_xlfn.XLOOKUP(tbl_HR_Data[[#This Row],[Email]], Mapping[Email_Discarded], Mapping[Email_Correction]), LOWER(TRIM(tbl_HR_Data[[#This Row],[Email]])))</f>
        <v>name@company.org</v>
      </c>
      <c r="Q59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93" t="str" cm="1">
        <f t="array" ref="R593">_xlfn.REDUCE(Q593, {"-","/","_","\","(",")"}, _xlfn.LAMBDA(_xlpm.txt,_xlpm.itm, SUBSTITUTE(_xlpm.txt, _xlpm.itm, "")))</f>
        <v>1234567890</v>
      </c>
      <c r="S593" s="3">
        <f>IFERROR(_xlfn.XLOOKUP(tbl_HR_Data[[#This Row],[Joining Date]], Mapping[Joining_Discarded], Mapping[Joining_Correction]), VALUE(tbl_HR_Data[[#This Row],[Joining Date]]))</f>
        <v>43845</v>
      </c>
      <c r="T593" t="str">
        <f>TEXT(tbl_HR_Data[[#This Row],[Joining Date]], "mmm")</f>
        <v>Jan</v>
      </c>
      <c r="U593" t="str">
        <f>TEXT(tbl_HR_Data[[#This Row],[Joining Date]], "ddd")</f>
        <v>Wed</v>
      </c>
    </row>
    <row r="594" spans="1:21" x14ac:dyDescent="0.35">
      <c r="A594" t="s">
        <v>103</v>
      </c>
      <c r="B594">
        <v>50</v>
      </c>
      <c r="C594">
        <v>60000</v>
      </c>
      <c r="D594" t="s">
        <v>18</v>
      </c>
      <c r="E594" t="s">
        <v>19</v>
      </c>
      <c r="F594" t="s">
        <v>39</v>
      </c>
      <c r="G594" s="3">
        <v>43845</v>
      </c>
      <c r="H594" t="str">
        <f>TEXT(tbl_HR_Data[[#This Row],[Joining Date]], "mmm")</f>
        <v>Jan</v>
      </c>
      <c r="I594" t="s">
        <v>95</v>
      </c>
      <c r="J594" t="s">
        <v>31</v>
      </c>
      <c r="K594" t="s">
        <v>32</v>
      </c>
      <c r="L594" t="s">
        <v>87</v>
      </c>
      <c r="M594">
        <f>IFERROR( _xlfn.XLOOKUP(TRIM(tbl_HR_Data[[#This Row],[Age]]),#REF!,#REF!), VALUE(TRIM(tbl_HR_Data[[#This Row],[Age]])))</f>
        <v>50</v>
      </c>
      <c r="N594" t="str">
        <f>IFERROR(_xlfn.XLOOKUP(tbl_HR_Data[[#This Row],[Gender]], Mapping[Gender _Discarded], Mapping[Gender_Correction]), PROPER(TRIM(tbl_HR_Data[[#This Row],[Gender]])))</f>
        <v>Female</v>
      </c>
      <c r="O594" t="str">
        <f>TRIM(tbl_HR_Data[[#This Row],[Position]])</f>
        <v>Clerk</v>
      </c>
      <c r="P594" t="str">
        <f>IFERROR(_xlfn.XLOOKUP(tbl_HR_Data[[#This Row],[Email]], Mapping[Email_Discarded], Mapping[Email_Correction]), LOWER(TRIM(tbl_HR_Data[[#This Row],[Email]])))</f>
        <v>name@company.org</v>
      </c>
      <c r="Q59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94" t="str" cm="1">
        <f t="array" ref="R594">_xlfn.REDUCE(Q594, {"-","/","_","\","(",")"}, _xlfn.LAMBDA(_xlpm.txt,_xlpm.itm, SUBSTITUTE(_xlpm.txt, _xlpm.itm, "")))</f>
        <v>1234567890</v>
      </c>
      <c r="S594" s="3">
        <f>IFERROR(_xlfn.XLOOKUP(tbl_HR_Data[[#This Row],[Joining Date]], Mapping[Joining_Discarded], Mapping[Joining_Correction]), VALUE(tbl_HR_Data[[#This Row],[Joining Date]]))</f>
        <v>43845</v>
      </c>
      <c r="T594" t="str">
        <f>TEXT(tbl_HR_Data[[#This Row],[Joining Date]], "mmm")</f>
        <v>Jan</v>
      </c>
      <c r="U594" t="str">
        <f>TEXT(tbl_HR_Data[[#This Row],[Joining Date]], "ddd")</f>
        <v>Wed</v>
      </c>
    </row>
    <row r="595" spans="1:21" x14ac:dyDescent="0.35">
      <c r="A595" t="s">
        <v>105</v>
      </c>
      <c r="B595">
        <v>0</v>
      </c>
      <c r="C595">
        <v>65000</v>
      </c>
      <c r="D595" t="s">
        <v>18</v>
      </c>
      <c r="E595" t="s">
        <v>26</v>
      </c>
      <c r="F595" t="s">
        <v>13</v>
      </c>
      <c r="G595" s="3">
        <v>43845</v>
      </c>
      <c r="H595" t="str">
        <f>TEXT(tbl_HR_Data[[#This Row],[Joining Date]], "mmm")</f>
        <v>Jan</v>
      </c>
      <c r="I595" t="s">
        <v>95</v>
      </c>
      <c r="J595" t="s">
        <v>31</v>
      </c>
      <c r="K595" t="s">
        <v>77</v>
      </c>
      <c r="L595" t="s">
        <v>87</v>
      </c>
      <c r="M595">
        <f>IFERROR( _xlfn.XLOOKUP(TRIM(tbl_HR_Data[[#This Row],[Age]]),#REF!,#REF!), VALUE(TRIM(tbl_HR_Data[[#This Row],[Age]])))</f>
        <v>0</v>
      </c>
      <c r="N595" t="str">
        <f>IFERROR(_xlfn.XLOOKUP(tbl_HR_Data[[#This Row],[Gender]], Mapping[Gender _Discarded], Mapping[Gender_Correction]), PROPER(TRIM(tbl_HR_Data[[#This Row],[Gender]])))</f>
        <v>Female</v>
      </c>
      <c r="O595" t="str">
        <f>TRIM(tbl_HR_Data[[#This Row],[Position]])</f>
        <v>Manager</v>
      </c>
      <c r="P595" t="str">
        <f>IFERROR(_xlfn.XLOOKUP(tbl_HR_Data[[#This Row],[Email]], Mapping[Email_Discarded], Mapping[Email_Correction]), LOWER(TRIM(tbl_HR_Data[[#This Row],[Email]])))</f>
        <v>not provided</v>
      </c>
      <c r="Q59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595" t="str" cm="1">
        <f t="array" ref="R595">_xlfn.REDUCE(Q595, {"-","/","_","\","(",")"}, _xlfn.LAMBDA(_xlpm.txt,_xlpm.itm, SUBSTITUTE(_xlpm.txt, _xlpm.itm, "")))</f>
        <v>1234567890</v>
      </c>
      <c r="S595" s="3">
        <f>IFERROR(_xlfn.XLOOKUP(tbl_HR_Data[[#This Row],[Joining Date]], Mapping[Joining_Discarded], Mapping[Joining_Correction]), VALUE(tbl_HR_Data[[#This Row],[Joining Date]]))</f>
        <v>43845</v>
      </c>
      <c r="T595" t="str">
        <f>TEXT(tbl_HR_Data[[#This Row],[Joining Date]], "mmm")</f>
        <v>Jan</v>
      </c>
      <c r="U595" t="str">
        <f>TEXT(tbl_HR_Data[[#This Row],[Joining Date]], "ddd")</f>
        <v>Wed</v>
      </c>
    </row>
    <row r="596" spans="1:21" x14ac:dyDescent="0.35">
      <c r="A596" t="s">
        <v>102</v>
      </c>
      <c r="B596">
        <v>0</v>
      </c>
      <c r="C596">
        <v>55000</v>
      </c>
      <c r="D596" t="s">
        <v>18</v>
      </c>
      <c r="E596" t="s">
        <v>37</v>
      </c>
      <c r="F596" t="s">
        <v>39</v>
      </c>
      <c r="G596" s="3">
        <v>43845</v>
      </c>
      <c r="H596" t="str">
        <f>TEXT(tbl_HR_Data[[#This Row],[Joining Date]], "mmm")</f>
        <v>Jan</v>
      </c>
      <c r="I596" t="s">
        <v>95</v>
      </c>
      <c r="J596" t="s">
        <v>27</v>
      </c>
      <c r="K596" t="s">
        <v>15</v>
      </c>
      <c r="L596" t="s">
        <v>77</v>
      </c>
      <c r="M596">
        <f>IFERROR( _xlfn.XLOOKUP(TRIM(tbl_HR_Data[[#This Row],[Age]]),#REF!,#REF!), VALUE(TRIM(tbl_HR_Data[[#This Row],[Age]])))</f>
        <v>0</v>
      </c>
      <c r="N596" t="str">
        <f>IFERROR(_xlfn.XLOOKUP(tbl_HR_Data[[#This Row],[Gender]], Mapping[Gender _Discarded], Mapping[Gender_Correction]), PROPER(TRIM(tbl_HR_Data[[#This Row],[Gender]])))</f>
        <v>Female</v>
      </c>
      <c r="O596" t="str">
        <f>TRIM(tbl_HR_Data[[#This Row],[Position]])</f>
        <v>Clerk</v>
      </c>
      <c r="P596" t="str">
        <f>IFERROR(_xlfn.XLOOKUP(tbl_HR_Data[[#This Row],[Email]], Mapping[Email_Discarded], Mapping[Email_Correction]), LOWER(TRIM(tbl_HR_Data[[#This Row],[Email]])))</f>
        <v>email@example.com</v>
      </c>
      <c r="Q59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96" t="str" cm="1">
        <f t="array" ref="R596">_xlfn.REDUCE(Q596, {"-","/","_","\","(",")"}, _xlfn.LAMBDA(_xlpm.txt,_xlpm.itm, SUBSTITUTE(_xlpm.txt, _xlpm.itm, "")))</f>
        <v>Not Provided</v>
      </c>
      <c r="S596" s="3">
        <f>IFERROR(_xlfn.XLOOKUP(tbl_HR_Data[[#This Row],[Joining Date]], Mapping[Joining_Discarded], Mapping[Joining_Correction]), VALUE(tbl_HR_Data[[#This Row],[Joining Date]]))</f>
        <v>43845</v>
      </c>
      <c r="T596" t="str">
        <f>TEXT(tbl_HR_Data[[#This Row],[Joining Date]], "mmm")</f>
        <v>Jan</v>
      </c>
      <c r="U596" t="str">
        <f>TEXT(tbl_HR_Data[[#This Row],[Joining Date]], "ddd")</f>
        <v>Wed</v>
      </c>
    </row>
    <row r="597" spans="1:21" x14ac:dyDescent="0.35">
      <c r="A597" t="s">
        <v>100</v>
      </c>
      <c r="B597">
        <v>25</v>
      </c>
      <c r="C597">
        <v>70000</v>
      </c>
      <c r="D597" t="s">
        <v>18</v>
      </c>
      <c r="E597" t="s">
        <v>19</v>
      </c>
      <c r="F597" t="s">
        <v>20</v>
      </c>
      <c r="G597" s="3">
        <v>43845</v>
      </c>
      <c r="H597" t="str">
        <f>TEXT(tbl_HR_Data[[#This Row],[Joining Date]], "mmm")</f>
        <v>Jan</v>
      </c>
      <c r="I597" t="s">
        <v>95</v>
      </c>
      <c r="J597" t="s">
        <v>41</v>
      </c>
      <c r="K597" t="s">
        <v>32</v>
      </c>
      <c r="L597" t="s">
        <v>89</v>
      </c>
      <c r="M597">
        <f>IFERROR( _xlfn.XLOOKUP(TRIM(tbl_HR_Data[[#This Row],[Age]]),#REF!,#REF!), VALUE(TRIM(tbl_HR_Data[[#This Row],[Age]])))</f>
        <v>25</v>
      </c>
      <c r="N597" t="str">
        <f>IFERROR(_xlfn.XLOOKUP(tbl_HR_Data[[#This Row],[Gender]], Mapping[Gender _Discarded], Mapping[Gender_Correction]), PROPER(TRIM(tbl_HR_Data[[#This Row],[Gender]])))</f>
        <v>Female</v>
      </c>
      <c r="O597" t="str">
        <f>TRIM(tbl_HR_Data[[#This Row],[Position]])</f>
        <v>Director</v>
      </c>
      <c r="P597" t="str">
        <f>IFERROR(_xlfn.XLOOKUP(tbl_HR_Data[[#This Row],[Email]], Mapping[Email_Discarded], Mapping[Email_Correction]), LOWER(TRIM(tbl_HR_Data[[#This Row],[Email]])))</f>
        <v>name@company.org</v>
      </c>
      <c r="Q59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597" t="str" cm="1">
        <f t="array" ref="R597">_xlfn.REDUCE(Q597, {"-","/","_","\","(",")"}, _xlfn.LAMBDA(_xlpm.txt,_xlpm.itm, SUBSTITUTE(_xlpm.txt, _xlpm.itm, "")))</f>
        <v>5555555555</v>
      </c>
      <c r="S597" s="3">
        <f>IFERROR(_xlfn.XLOOKUP(tbl_HR_Data[[#This Row],[Joining Date]], Mapping[Joining_Discarded], Mapping[Joining_Correction]), VALUE(tbl_HR_Data[[#This Row],[Joining Date]]))</f>
        <v>43845</v>
      </c>
      <c r="T597" t="str">
        <f>TEXT(tbl_HR_Data[[#This Row],[Joining Date]], "mmm")</f>
        <v>Jan</v>
      </c>
      <c r="U597" t="str">
        <f>TEXT(tbl_HR_Data[[#This Row],[Joining Date]], "ddd")</f>
        <v>Wed</v>
      </c>
    </row>
    <row r="598" spans="1:21" x14ac:dyDescent="0.35">
      <c r="A598" t="s">
        <v>99</v>
      </c>
      <c r="B598">
        <v>35</v>
      </c>
      <c r="C598">
        <v>55000</v>
      </c>
      <c r="D598" t="s">
        <v>18</v>
      </c>
      <c r="E598" t="s">
        <v>37</v>
      </c>
      <c r="F598" t="s">
        <v>44</v>
      </c>
      <c r="G598" s="3">
        <v>43845</v>
      </c>
      <c r="H598" t="str">
        <f>TEXT(tbl_HR_Data[[#This Row],[Joining Date]], "mmm")</f>
        <v>Jan</v>
      </c>
      <c r="I598" t="s">
        <v>95</v>
      </c>
      <c r="J598" t="s">
        <v>41</v>
      </c>
      <c r="K598" t="s">
        <v>15</v>
      </c>
      <c r="L598" t="s">
        <v>77</v>
      </c>
      <c r="M598">
        <f>IFERROR( _xlfn.XLOOKUP(TRIM(tbl_HR_Data[[#This Row],[Age]]),#REF!,#REF!), VALUE(TRIM(tbl_HR_Data[[#This Row],[Age]])))</f>
        <v>35</v>
      </c>
      <c r="N598" t="str">
        <f>IFERROR(_xlfn.XLOOKUP(tbl_HR_Data[[#This Row],[Gender]], Mapping[Gender _Discarded], Mapping[Gender_Correction]), PROPER(TRIM(tbl_HR_Data[[#This Row],[Gender]])))</f>
        <v>Female</v>
      </c>
      <c r="O598" t="str">
        <f>TRIM(tbl_HR_Data[[#This Row],[Position]])</f>
        <v>Analyst</v>
      </c>
      <c r="P598" t="str">
        <f>IFERROR(_xlfn.XLOOKUP(tbl_HR_Data[[#This Row],[Email]], Mapping[Email_Discarded], Mapping[Email_Correction]), LOWER(TRIM(tbl_HR_Data[[#This Row],[Email]])))</f>
        <v>email@example.com</v>
      </c>
      <c r="Q59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98" t="str" cm="1">
        <f t="array" ref="R598">_xlfn.REDUCE(Q598, {"-","/","_","\","(",")"}, _xlfn.LAMBDA(_xlpm.txt,_xlpm.itm, SUBSTITUTE(_xlpm.txt, _xlpm.itm, "")))</f>
        <v>Not Provided</v>
      </c>
      <c r="S598" s="3">
        <f>IFERROR(_xlfn.XLOOKUP(tbl_HR_Data[[#This Row],[Joining Date]], Mapping[Joining_Discarded], Mapping[Joining_Correction]), VALUE(tbl_HR_Data[[#This Row],[Joining Date]]))</f>
        <v>43845</v>
      </c>
      <c r="T598" t="str">
        <f>TEXT(tbl_HR_Data[[#This Row],[Joining Date]], "mmm")</f>
        <v>Jan</v>
      </c>
      <c r="U598" t="str">
        <f>TEXT(tbl_HR_Data[[#This Row],[Joining Date]], "ddd")</f>
        <v>Wed</v>
      </c>
    </row>
    <row r="599" spans="1:21" x14ac:dyDescent="0.35">
      <c r="A599" t="s">
        <v>100</v>
      </c>
      <c r="B599">
        <v>25</v>
      </c>
      <c r="C599">
        <v>55000</v>
      </c>
      <c r="D599" t="s">
        <v>18</v>
      </c>
      <c r="E599" t="s">
        <v>37</v>
      </c>
      <c r="F599" t="s">
        <v>20</v>
      </c>
      <c r="G599" s="3">
        <v>43845</v>
      </c>
      <c r="H599" t="str">
        <f>TEXT(tbl_HR_Data[[#This Row],[Joining Date]], "mmm")</f>
        <v>Jan</v>
      </c>
      <c r="I599" t="s">
        <v>95</v>
      </c>
      <c r="J599" t="s">
        <v>14</v>
      </c>
      <c r="K599" t="s">
        <v>77</v>
      </c>
      <c r="L599" t="s">
        <v>77</v>
      </c>
      <c r="M599">
        <f>IFERROR( _xlfn.XLOOKUP(TRIM(tbl_HR_Data[[#This Row],[Age]]),#REF!,#REF!), VALUE(TRIM(tbl_HR_Data[[#This Row],[Age]])))</f>
        <v>25</v>
      </c>
      <c r="N599" t="str">
        <f>IFERROR(_xlfn.XLOOKUP(tbl_HR_Data[[#This Row],[Gender]], Mapping[Gender _Discarded], Mapping[Gender_Correction]), PROPER(TRIM(tbl_HR_Data[[#This Row],[Gender]])))</f>
        <v>Female</v>
      </c>
      <c r="O599" t="str">
        <f>TRIM(tbl_HR_Data[[#This Row],[Position]])</f>
        <v>Director</v>
      </c>
      <c r="P599" t="str">
        <f>IFERROR(_xlfn.XLOOKUP(tbl_HR_Data[[#This Row],[Email]], Mapping[Email_Discarded], Mapping[Email_Correction]), LOWER(TRIM(tbl_HR_Data[[#This Row],[Email]])))</f>
        <v>not provided</v>
      </c>
      <c r="Q59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599" t="str" cm="1">
        <f t="array" ref="R599">_xlfn.REDUCE(Q599, {"-","/","_","\","(",")"}, _xlfn.LAMBDA(_xlpm.txt,_xlpm.itm, SUBSTITUTE(_xlpm.txt, _xlpm.itm, "")))</f>
        <v>Not Provided</v>
      </c>
      <c r="S599" s="3">
        <f>IFERROR(_xlfn.XLOOKUP(tbl_HR_Data[[#This Row],[Joining Date]], Mapping[Joining_Discarded], Mapping[Joining_Correction]), VALUE(tbl_HR_Data[[#This Row],[Joining Date]]))</f>
        <v>43845</v>
      </c>
      <c r="T599" t="str">
        <f>TEXT(tbl_HR_Data[[#This Row],[Joining Date]], "mmm")</f>
        <v>Jan</v>
      </c>
      <c r="U599" t="str">
        <f>TEXT(tbl_HR_Data[[#This Row],[Joining Date]], "ddd")</f>
        <v>Wed</v>
      </c>
    </row>
    <row r="600" spans="1:21" x14ac:dyDescent="0.35">
      <c r="A600" t="s">
        <v>103</v>
      </c>
      <c r="B600">
        <v>35</v>
      </c>
      <c r="C600">
        <v>65000</v>
      </c>
      <c r="D600" t="s">
        <v>18</v>
      </c>
      <c r="E600" t="s">
        <v>12</v>
      </c>
      <c r="F600" t="s">
        <v>43</v>
      </c>
      <c r="G600" s="3">
        <v>43845</v>
      </c>
      <c r="H600" t="str">
        <f>TEXT(tbl_HR_Data[[#This Row],[Joining Date]], "mmm")</f>
        <v>Jan</v>
      </c>
      <c r="I600" t="s">
        <v>95</v>
      </c>
      <c r="J600" t="s">
        <v>21</v>
      </c>
      <c r="K600" t="s">
        <v>77</v>
      </c>
      <c r="L600" t="s">
        <v>88</v>
      </c>
      <c r="M600">
        <f>IFERROR( _xlfn.XLOOKUP(TRIM(tbl_HR_Data[[#This Row],[Age]]),#REF!,#REF!), VALUE(TRIM(tbl_HR_Data[[#This Row],[Age]])))</f>
        <v>35</v>
      </c>
      <c r="N600" t="str">
        <f>IFERROR(_xlfn.XLOOKUP(tbl_HR_Data[[#This Row],[Gender]], Mapping[Gender _Discarded], Mapping[Gender_Correction]), PROPER(TRIM(tbl_HR_Data[[#This Row],[Gender]])))</f>
        <v>Female</v>
      </c>
      <c r="O600" t="str">
        <f>TRIM(tbl_HR_Data[[#This Row],[Position]])</f>
        <v>Assistant</v>
      </c>
      <c r="P600" t="str">
        <f>IFERROR(_xlfn.XLOOKUP(tbl_HR_Data[[#This Row],[Email]], Mapping[Email_Discarded], Mapping[Email_Correction]), LOWER(TRIM(tbl_HR_Data[[#This Row],[Email]])))</f>
        <v>not provided</v>
      </c>
      <c r="Q60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600" t="str" cm="1">
        <f t="array" ref="R600">_xlfn.REDUCE(Q600, {"-","/","_","\","(",")"}, _xlfn.LAMBDA(_xlpm.txt,_xlpm.itm, SUBSTITUTE(_xlpm.txt, _xlpm.itm, "")))</f>
        <v>0987654321</v>
      </c>
      <c r="S600" s="3">
        <f>IFERROR(_xlfn.XLOOKUP(tbl_HR_Data[[#This Row],[Joining Date]], Mapping[Joining_Discarded], Mapping[Joining_Correction]), VALUE(tbl_HR_Data[[#This Row],[Joining Date]]))</f>
        <v>43845</v>
      </c>
      <c r="T600" t="str">
        <f>TEXT(tbl_HR_Data[[#This Row],[Joining Date]], "mmm")</f>
        <v>Jan</v>
      </c>
      <c r="U600" t="str">
        <f>TEXT(tbl_HR_Data[[#This Row],[Joining Date]], "ddd")</f>
        <v>Wed</v>
      </c>
    </row>
    <row r="601" spans="1:21" x14ac:dyDescent="0.35">
      <c r="A601" t="s">
        <v>102</v>
      </c>
      <c r="B601">
        <v>0</v>
      </c>
      <c r="C601">
        <v>50000</v>
      </c>
      <c r="D601" t="s">
        <v>11</v>
      </c>
      <c r="E601" t="s">
        <v>37</v>
      </c>
      <c r="F601" t="s">
        <v>44</v>
      </c>
      <c r="G601" s="3">
        <v>43845</v>
      </c>
      <c r="H601" t="str">
        <f>TEXT(tbl_HR_Data[[#This Row],[Joining Date]], "mmm")</f>
        <v>Jan</v>
      </c>
      <c r="I601" t="s">
        <v>95</v>
      </c>
      <c r="J601" t="s">
        <v>27</v>
      </c>
      <c r="K601" t="s">
        <v>22</v>
      </c>
      <c r="L601" t="s">
        <v>88</v>
      </c>
      <c r="M601">
        <f>IFERROR( _xlfn.XLOOKUP(TRIM(tbl_HR_Data[[#This Row],[Age]]),#REF!,#REF!), VALUE(TRIM(tbl_HR_Data[[#This Row],[Age]])))</f>
        <v>0</v>
      </c>
      <c r="N601" t="str">
        <f>IFERROR(_xlfn.XLOOKUP(tbl_HR_Data[[#This Row],[Gender]], Mapping[Gender _Discarded], Mapping[Gender_Correction]), PROPER(TRIM(tbl_HR_Data[[#This Row],[Gender]])))</f>
        <v>Male</v>
      </c>
      <c r="O601" t="str">
        <f>TRIM(tbl_HR_Data[[#This Row],[Position]])</f>
        <v>Analyst</v>
      </c>
      <c r="P601" t="str">
        <f>IFERROR(_xlfn.XLOOKUP(tbl_HR_Data[[#This Row],[Email]], Mapping[Email_Discarded], Mapping[Email_Correction]), LOWER(TRIM(tbl_HR_Data[[#This Row],[Email]])))</f>
        <v>user@domain.com</v>
      </c>
      <c r="Q60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601" t="str" cm="1">
        <f t="array" ref="R601">_xlfn.REDUCE(Q601, {"-","/","_","\","(",")"}, _xlfn.LAMBDA(_xlpm.txt,_xlpm.itm, SUBSTITUTE(_xlpm.txt, _xlpm.itm, "")))</f>
        <v>0987654321</v>
      </c>
      <c r="S601" s="3">
        <f>IFERROR(_xlfn.XLOOKUP(tbl_HR_Data[[#This Row],[Joining Date]], Mapping[Joining_Discarded], Mapping[Joining_Correction]), VALUE(tbl_HR_Data[[#This Row],[Joining Date]]))</f>
        <v>43845</v>
      </c>
      <c r="T601" t="str">
        <f>TEXT(tbl_HR_Data[[#This Row],[Joining Date]], "mmm")</f>
        <v>Jan</v>
      </c>
      <c r="U601" t="str">
        <f>TEXT(tbl_HR_Data[[#This Row],[Joining Date]], "ddd")</f>
        <v>Wed</v>
      </c>
    </row>
    <row r="602" spans="1:21" x14ac:dyDescent="0.35">
      <c r="A602" t="s">
        <v>104</v>
      </c>
      <c r="B602">
        <v>50</v>
      </c>
      <c r="C602">
        <v>70000</v>
      </c>
      <c r="D602" t="s">
        <v>36</v>
      </c>
      <c r="E602" t="s">
        <v>19</v>
      </c>
      <c r="F602" t="s">
        <v>43</v>
      </c>
      <c r="G602" s="3">
        <v>43845</v>
      </c>
      <c r="H602" t="str">
        <f>TEXT(tbl_HR_Data[[#This Row],[Joining Date]], "mmm")</f>
        <v>Jan</v>
      </c>
      <c r="I602" t="s">
        <v>95</v>
      </c>
      <c r="J602" t="s">
        <v>31</v>
      </c>
      <c r="K602" t="s">
        <v>22</v>
      </c>
      <c r="L602" t="s">
        <v>77</v>
      </c>
      <c r="M602">
        <f>IFERROR( _xlfn.XLOOKUP(TRIM(tbl_HR_Data[[#This Row],[Age]]),#REF!,#REF!), VALUE(TRIM(tbl_HR_Data[[#This Row],[Age]])))</f>
        <v>50</v>
      </c>
      <c r="N602" t="str">
        <f>IFERROR(_xlfn.XLOOKUP(tbl_HR_Data[[#This Row],[Gender]], Mapping[Gender _Discarded], Mapping[Gender_Correction]), PROPER(TRIM(tbl_HR_Data[[#This Row],[Gender]])))</f>
        <v>Other</v>
      </c>
      <c r="O602" t="str">
        <f>TRIM(tbl_HR_Data[[#This Row],[Position]])</f>
        <v>Assistant</v>
      </c>
      <c r="P602" t="str">
        <f>IFERROR(_xlfn.XLOOKUP(tbl_HR_Data[[#This Row],[Email]], Mapping[Email_Discarded], Mapping[Email_Correction]), LOWER(TRIM(tbl_HR_Data[[#This Row],[Email]])))</f>
        <v>user@domain.com</v>
      </c>
      <c r="Q60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02" t="str" cm="1">
        <f t="array" ref="R602">_xlfn.REDUCE(Q602, {"-","/","_","\","(",")"}, _xlfn.LAMBDA(_xlpm.txt,_xlpm.itm, SUBSTITUTE(_xlpm.txt, _xlpm.itm, "")))</f>
        <v>Not Provided</v>
      </c>
      <c r="S602" s="3">
        <f>IFERROR(_xlfn.XLOOKUP(tbl_HR_Data[[#This Row],[Joining Date]], Mapping[Joining_Discarded], Mapping[Joining_Correction]), VALUE(tbl_HR_Data[[#This Row],[Joining Date]]))</f>
        <v>43845</v>
      </c>
      <c r="T602" t="str">
        <f>TEXT(tbl_HR_Data[[#This Row],[Joining Date]], "mmm")</f>
        <v>Jan</v>
      </c>
      <c r="U602" t="str">
        <f>TEXT(tbl_HR_Data[[#This Row],[Joining Date]], "ddd")</f>
        <v>Wed</v>
      </c>
    </row>
    <row r="603" spans="1:21" x14ac:dyDescent="0.35">
      <c r="A603" t="s">
        <v>104</v>
      </c>
      <c r="B603">
        <v>50</v>
      </c>
      <c r="C603">
        <v>60000</v>
      </c>
      <c r="D603" t="s">
        <v>36</v>
      </c>
      <c r="E603" t="s">
        <v>12</v>
      </c>
      <c r="F603" t="s">
        <v>13</v>
      </c>
      <c r="G603" s="3">
        <v>43845</v>
      </c>
      <c r="H603" t="str">
        <f>TEXT(tbl_HR_Data[[#This Row],[Joining Date]], "mmm")</f>
        <v>Jan</v>
      </c>
      <c r="I603" t="s">
        <v>95</v>
      </c>
      <c r="J603" t="s">
        <v>27</v>
      </c>
      <c r="K603" t="s">
        <v>22</v>
      </c>
      <c r="L603" t="s">
        <v>77</v>
      </c>
      <c r="M603">
        <f>IFERROR( _xlfn.XLOOKUP(TRIM(tbl_HR_Data[[#This Row],[Age]]),#REF!,#REF!), VALUE(TRIM(tbl_HR_Data[[#This Row],[Age]])))</f>
        <v>50</v>
      </c>
      <c r="N603" t="str">
        <f>IFERROR(_xlfn.XLOOKUP(tbl_HR_Data[[#This Row],[Gender]], Mapping[Gender _Discarded], Mapping[Gender_Correction]), PROPER(TRIM(tbl_HR_Data[[#This Row],[Gender]])))</f>
        <v>Other</v>
      </c>
      <c r="O603" t="str">
        <f>TRIM(tbl_HR_Data[[#This Row],[Position]])</f>
        <v>Manager</v>
      </c>
      <c r="P603" t="str">
        <f>IFERROR(_xlfn.XLOOKUP(tbl_HR_Data[[#This Row],[Email]], Mapping[Email_Discarded], Mapping[Email_Correction]), LOWER(TRIM(tbl_HR_Data[[#This Row],[Email]])))</f>
        <v>user@domain.com</v>
      </c>
      <c r="Q60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03" t="str" cm="1">
        <f t="array" ref="R603">_xlfn.REDUCE(Q603, {"-","/","_","\","(",")"}, _xlfn.LAMBDA(_xlpm.txt,_xlpm.itm, SUBSTITUTE(_xlpm.txt, _xlpm.itm, "")))</f>
        <v>Not Provided</v>
      </c>
      <c r="S603" s="3">
        <f>IFERROR(_xlfn.XLOOKUP(tbl_HR_Data[[#This Row],[Joining Date]], Mapping[Joining_Discarded], Mapping[Joining_Correction]), VALUE(tbl_HR_Data[[#This Row],[Joining Date]]))</f>
        <v>43845</v>
      </c>
      <c r="T603" t="str">
        <f>TEXT(tbl_HR_Data[[#This Row],[Joining Date]], "mmm")</f>
        <v>Jan</v>
      </c>
      <c r="U603" t="str">
        <f>TEXT(tbl_HR_Data[[#This Row],[Joining Date]], "ddd")</f>
        <v>Wed</v>
      </c>
    </row>
    <row r="604" spans="1:21" x14ac:dyDescent="0.35">
      <c r="A604" t="s">
        <v>101</v>
      </c>
      <c r="B604">
        <v>40</v>
      </c>
      <c r="C604">
        <v>70000</v>
      </c>
      <c r="D604" t="s">
        <v>11</v>
      </c>
      <c r="E604" t="s">
        <v>37</v>
      </c>
      <c r="F604" t="s">
        <v>39</v>
      </c>
      <c r="G604" s="3">
        <v>43845</v>
      </c>
      <c r="H604" t="str">
        <f>TEXT(tbl_HR_Data[[#This Row],[Joining Date]], "mmm")</f>
        <v>Jan</v>
      </c>
      <c r="I604" t="s">
        <v>95</v>
      </c>
      <c r="J604" t="s">
        <v>31</v>
      </c>
      <c r="K604" t="s">
        <v>22</v>
      </c>
      <c r="L604" t="s">
        <v>87</v>
      </c>
      <c r="M604">
        <f>IFERROR( _xlfn.XLOOKUP(TRIM(tbl_HR_Data[[#This Row],[Age]]),#REF!,#REF!), VALUE(TRIM(tbl_HR_Data[[#This Row],[Age]])))</f>
        <v>40</v>
      </c>
      <c r="N604" t="str">
        <f>IFERROR(_xlfn.XLOOKUP(tbl_HR_Data[[#This Row],[Gender]], Mapping[Gender _Discarded], Mapping[Gender_Correction]), PROPER(TRIM(tbl_HR_Data[[#This Row],[Gender]])))</f>
        <v>Male</v>
      </c>
      <c r="O604" t="str">
        <f>TRIM(tbl_HR_Data[[#This Row],[Position]])</f>
        <v>Clerk</v>
      </c>
      <c r="P604" t="str">
        <f>IFERROR(_xlfn.XLOOKUP(tbl_HR_Data[[#This Row],[Email]], Mapping[Email_Discarded], Mapping[Email_Correction]), LOWER(TRIM(tbl_HR_Data[[#This Row],[Email]])))</f>
        <v>user@domain.com</v>
      </c>
      <c r="Q60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604" t="str" cm="1">
        <f t="array" ref="R604">_xlfn.REDUCE(Q604, {"-","/","_","\","(",")"}, _xlfn.LAMBDA(_xlpm.txt,_xlpm.itm, SUBSTITUTE(_xlpm.txt, _xlpm.itm, "")))</f>
        <v>1234567890</v>
      </c>
      <c r="S604" s="3">
        <f>IFERROR(_xlfn.XLOOKUP(tbl_HR_Data[[#This Row],[Joining Date]], Mapping[Joining_Discarded], Mapping[Joining_Correction]), VALUE(tbl_HR_Data[[#This Row],[Joining Date]]))</f>
        <v>43845</v>
      </c>
      <c r="T604" t="str">
        <f>TEXT(tbl_HR_Data[[#This Row],[Joining Date]], "mmm")</f>
        <v>Jan</v>
      </c>
      <c r="U604" t="str">
        <f>TEXT(tbl_HR_Data[[#This Row],[Joining Date]], "ddd")</f>
        <v>Wed</v>
      </c>
    </row>
    <row r="605" spans="1:21" x14ac:dyDescent="0.35">
      <c r="A605" t="s">
        <v>103</v>
      </c>
      <c r="B605">
        <v>40</v>
      </c>
      <c r="C605">
        <v>50000</v>
      </c>
      <c r="D605" t="s">
        <v>11</v>
      </c>
      <c r="E605" t="s">
        <v>19</v>
      </c>
      <c r="F605" t="s">
        <v>43</v>
      </c>
      <c r="G605" s="3">
        <v>43845</v>
      </c>
      <c r="H605" t="str">
        <f>TEXT(tbl_HR_Data[[#This Row],[Joining Date]], "mmm")</f>
        <v>Jan</v>
      </c>
      <c r="I605" t="s">
        <v>95</v>
      </c>
      <c r="J605" t="s">
        <v>14</v>
      </c>
      <c r="K605" t="s">
        <v>32</v>
      </c>
      <c r="L605" t="s">
        <v>77</v>
      </c>
      <c r="M605">
        <f>IFERROR( _xlfn.XLOOKUP(TRIM(tbl_HR_Data[[#This Row],[Age]]),#REF!,#REF!), VALUE(TRIM(tbl_HR_Data[[#This Row],[Age]])))</f>
        <v>40</v>
      </c>
      <c r="N605" t="str">
        <f>IFERROR(_xlfn.XLOOKUP(tbl_HR_Data[[#This Row],[Gender]], Mapping[Gender _Discarded], Mapping[Gender_Correction]), PROPER(TRIM(tbl_HR_Data[[#This Row],[Gender]])))</f>
        <v>Male</v>
      </c>
      <c r="O605" t="str">
        <f>TRIM(tbl_HR_Data[[#This Row],[Position]])</f>
        <v>Assistant</v>
      </c>
      <c r="P605" t="str">
        <f>IFERROR(_xlfn.XLOOKUP(tbl_HR_Data[[#This Row],[Email]], Mapping[Email_Discarded], Mapping[Email_Correction]), LOWER(TRIM(tbl_HR_Data[[#This Row],[Email]])))</f>
        <v>name@company.org</v>
      </c>
      <c r="Q60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05" t="str" cm="1">
        <f t="array" ref="R605">_xlfn.REDUCE(Q605, {"-","/","_","\","(",")"}, _xlfn.LAMBDA(_xlpm.txt,_xlpm.itm, SUBSTITUTE(_xlpm.txt, _xlpm.itm, "")))</f>
        <v>Not Provided</v>
      </c>
      <c r="S605" s="3">
        <f>IFERROR(_xlfn.XLOOKUP(tbl_HR_Data[[#This Row],[Joining Date]], Mapping[Joining_Discarded], Mapping[Joining_Correction]), VALUE(tbl_HR_Data[[#This Row],[Joining Date]]))</f>
        <v>43845</v>
      </c>
      <c r="T605" t="str">
        <f>TEXT(tbl_HR_Data[[#This Row],[Joining Date]], "mmm")</f>
        <v>Jan</v>
      </c>
      <c r="U605" t="str">
        <f>TEXT(tbl_HR_Data[[#This Row],[Joining Date]], "ddd")</f>
        <v>Wed</v>
      </c>
    </row>
    <row r="606" spans="1:21" x14ac:dyDescent="0.35">
      <c r="A606" t="s">
        <v>106</v>
      </c>
      <c r="B606">
        <v>30</v>
      </c>
      <c r="C606">
        <v>55000</v>
      </c>
      <c r="D606" t="s">
        <v>11</v>
      </c>
      <c r="E606" t="s">
        <v>12</v>
      </c>
      <c r="F606" t="s">
        <v>44</v>
      </c>
      <c r="G606" s="3">
        <v>43845</v>
      </c>
      <c r="H606" t="str">
        <f>TEXT(tbl_HR_Data[[#This Row],[Joining Date]], "mmm")</f>
        <v>Jan</v>
      </c>
      <c r="I606" t="s">
        <v>95</v>
      </c>
      <c r="J606" t="s">
        <v>14</v>
      </c>
      <c r="K606" t="s">
        <v>32</v>
      </c>
      <c r="L606" t="s">
        <v>77</v>
      </c>
      <c r="M606">
        <f>IFERROR( _xlfn.XLOOKUP(TRIM(tbl_HR_Data[[#This Row],[Age]]),#REF!,#REF!), VALUE(TRIM(tbl_HR_Data[[#This Row],[Age]])))</f>
        <v>30</v>
      </c>
      <c r="N606" t="str">
        <f>IFERROR(_xlfn.XLOOKUP(tbl_HR_Data[[#This Row],[Gender]], Mapping[Gender _Discarded], Mapping[Gender_Correction]), PROPER(TRIM(tbl_HR_Data[[#This Row],[Gender]])))</f>
        <v>Male</v>
      </c>
      <c r="O606" t="str">
        <f>TRIM(tbl_HR_Data[[#This Row],[Position]])</f>
        <v>Analyst</v>
      </c>
      <c r="P606" t="str">
        <f>IFERROR(_xlfn.XLOOKUP(tbl_HR_Data[[#This Row],[Email]], Mapping[Email_Discarded], Mapping[Email_Correction]), LOWER(TRIM(tbl_HR_Data[[#This Row],[Email]])))</f>
        <v>name@company.org</v>
      </c>
      <c r="Q60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06" t="str" cm="1">
        <f t="array" ref="R606">_xlfn.REDUCE(Q606, {"-","/","_","\","(",")"}, _xlfn.LAMBDA(_xlpm.txt,_xlpm.itm, SUBSTITUTE(_xlpm.txt, _xlpm.itm, "")))</f>
        <v>Not Provided</v>
      </c>
      <c r="S606" s="3">
        <f>IFERROR(_xlfn.XLOOKUP(tbl_HR_Data[[#This Row],[Joining Date]], Mapping[Joining_Discarded], Mapping[Joining_Correction]), VALUE(tbl_HR_Data[[#This Row],[Joining Date]]))</f>
        <v>43845</v>
      </c>
      <c r="T606" t="str">
        <f>TEXT(tbl_HR_Data[[#This Row],[Joining Date]], "mmm")</f>
        <v>Jan</v>
      </c>
      <c r="U606" t="str">
        <f>TEXT(tbl_HR_Data[[#This Row],[Joining Date]], "ddd")</f>
        <v>Wed</v>
      </c>
    </row>
    <row r="607" spans="1:21" x14ac:dyDescent="0.35">
      <c r="A607" t="s">
        <v>101</v>
      </c>
      <c r="B607">
        <v>30</v>
      </c>
      <c r="C607">
        <v>50000</v>
      </c>
      <c r="D607" t="s">
        <v>18</v>
      </c>
      <c r="E607" t="s">
        <v>12</v>
      </c>
      <c r="F607" t="s">
        <v>44</v>
      </c>
      <c r="G607" s="3">
        <v>43845</v>
      </c>
      <c r="H607" t="str">
        <f>TEXT(tbl_HR_Data[[#This Row],[Joining Date]], "mmm")</f>
        <v>Jan</v>
      </c>
      <c r="I607" t="s">
        <v>95</v>
      </c>
      <c r="J607" t="s">
        <v>21</v>
      </c>
      <c r="K607" t="s">
        <v>77</v>
      </c>
      <c r="L607" t="s">
        <v>89</v>
      </c>
      <c r="M607">
        <f>IFERROR( _xlfn.XLOOKUP(TRIM(tbl_HR_Data[[#This Row],[Age]]),#REF!,#REF!), VALUE(TRIM(tbl_HR_Data[[#This Row],[Age]])))</f>
        <v>30</v>
      </c>
      <c r="N607" t="str">
        <f>IFERROR(_xlfn.XLOOKUP(tbl_HR_Data[[#This Row],[Gender]], Mapping[Gender _Discarded], Mapping[Gender_Correction]), PROPER(TRIM(tbl_HR_Data[[#This Row],[Gender]])))</f>
        <v>Female</v>
      </c>
      <c r="O607" t="str">
        <f>TRIM(tbl_HR_Data[[#This Row],[Position]])</f>
        <v>Analyst</v>
      </c>
      <c r="P607" t="str">
        <f>IFERROR(_xlfn.XLOOKUP(tbl_HR_Data[[#This Row],[Email]], Mapping[Email_Discarded], Mapping[Email_Correction]), LOWER(TRIM(tbl_HR_Data[[#This Row],[Email]])))</f>
        <v>not provided</v>
      </c>
      <c r="Q60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607" t="str" cm="1">
        <f t="array" ref="R607">_xlfn.REDUCE(Q607, {"-","/","_","\","(",")"}, _xlfn.LAMBDA(_xlpm.txt,_xlpm.itm, SUBSTITUTE(_xlpm.txt, _xlpm.itm, "")))</f>
        <v>5555555555</v>
      </c>
      <c r="S607" s="3">
        <f>IFERROR(_xlfn.XLOOKUP(tbl_HR_Data[[#This Row],[Joining Date]], Mapping[Joining_Discarded], Mapping[Joining_Correction]), VALUE(tbl_HR_Data[[#This Row],[Joining Date]]))</f>
        <v>43845</v>
      </c>
      <c r="T607" t="str">
        <f>TEXT(tbl_HR_Data[[#This Row],[Joining Date]], "mmm")</f>
        <v>Jan</v>
      </c>
      <c r="U607" t="str">
        <f>TEXT(tbl_HR_Data[[#This Row],[Joining Date]], "ddd")</f>
        <v>Wed</v>
      </c>
    </row>
    <row r="608" spans="1:21" x14ac:dyDescent="0.35">
      <c r="A608" t="s">
        <v>102</v>
      </c>
      <c r="B608">
        <v>0</v>
      </c>
      <c r="C608">
        <v>50000</v>
      </c>
      <c r="D608" t="s">
        <v>11</v>
      </c>
      <c r="E608" t="s">
        <v>26</v>
      </c>
      <c r="F608" t="s">
        <v>44</v>
      </c>
      <c r="G608" s="3">
        <v>43845</v>
      </c>
      <c r="H608" t="str">
        <f>TEXT(tbl_HR_Data[[#This Row],[Joining Date]], "mmm")</f>
        <v>Jan</v>
      </c>
      <c r="I608" t="s">
        <v>95</v>
      </c>
      <c r="J608" t="s">
        <v>27</v>
      </c>
      <c r="K608" t="s">
        <v>77</v>
      </c>
      <c r="L608" t="s">
        <v>77</v>
      </c>
      <c r="M608">
        <f>IFERROR( _xlfn.XLOOKUP(TRIM(tbl_HR_Data[[#This Row],[Age]]),#REF!,#REF!), VALUE(TRIM(tbl_HR_Data[[#This Row],[Age]])))</f>
        <v>0</v>
      </c>
      <c r="N608" t="str">
        <f>IFERROR(_xlfn.XLOOKUP(tbl_HR_Data[[#This Row],[Gender]], Mapping[Gender _Discarded], Mapping[Gender_Correction]), PROPER(TRIM(tbl_HR_Data[[#This Row],[Gender]])))</f>
        <v>Male</v>
      </c>
      <c r="O608" t="str">
        <f>TRIM(tbl_HR_Data[[#This Row],[Position]])</f>
        <v>Analyst</v>
      </c>
      <c r="P608" t="str">
        <f>IFERROR(_xlfn.XLOOKUP(tbl_HR_Data[[#This Row],[Email]], Mapping[Email_Discarded], Mapping[Email_Correction]), LOWER(TRIM(tbl_HR_Data[[#This Row],[Email]])))</f>
        <v>not provided</v>
      </c>
      <c r="Q60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08" t="str" cm="1">
        <f t="array" ref="R608">_xlfn.REDUCE(Q608, {"-","/","_","\","(",")"}, _xlfn.LAMBDA(_xlpm.txt,_xlpm.itm, SUBSTITUTE(_xlpm.txt, _xlpm.itm, "")))</f>
        <v>Not Provided</v>
      </c>
      <c r="S608" s="3">
        <f>IFERROR(_xlfn.XLOOKUP(tbl_HR_Data[[#This Row],[Joining Date]], Mapping[Joining_Discarded], Mapping[Joining_Correction]), VALUE(tbl_HR_Data[[#This Row],[Joining Date]]))</f>
        <v>43845</v>
      </c>
      <c r="T608" t="str">
        <f>TEXT(tbl_HR_Data[[#This Row],[Joining Date]], "mmm")</f>
        <v>Jan</v>
      </c>
      <c r="U608" t="str">
        <f>TEXT(tbl_HR_Data[[#This Row],[Joining Date]], "ddd")</f>
        <v>Wed</v>
      </c>
    </row>
    <row r="609" spans="1:21" x14ac:dyDescent="0.35">
      <c r="A609" t="s">
        <v>108</v>
      </c>
      <c r="B609">
        <v>0</v>
      </c>
      <c r="C609">
        <v>55000</v>
      </c>
      <c r="D609" t="s">
        <v>11</v>
      </c>
      <c r="E609" t="s">
        <v>26</v>
      </c>
      <c r="F609" t="s">
        <v>43</v>
      </c>
      <c r="G609" s="3">
        <v>43845</v>
      </c>
      <c r="H609" t="str">
        <f>TEXT(tbl_HR_Data[[#This Row],[Joining Date]], "mmm")</f>
        <v>Jan</v>
      </c>
      <c r="I609" t="s">
        <v>95</v>
      </c>
      <c r="J609" t="s">
        <v>31</v>
      </c>
      <c r="K609" t="s">
        <v>77</v>
      </c>
      <c r="L609" t="s">
        <v>77</v>
      </c>
      <c r="M609">
        <f>IFERROR( _xlfn.XLOOKUP(TRIM(tbl_HR_Data[[#This Row],[Age]]),#REF!,#REF!), VALUE(TRIM(tbl_HR_Data[[#This Row],[Age]])))</f>
        <v>0</v>
      </c>
      <c r="N609" t="str">
        <f>IFERROR(_xlfn.XLOOKUP(tbl_HR_Data[[#This Row],[Gender]], Mapping[Gender _Discarded], Mapping[Gender_Correction]), PROPER(TRIM(tbl_HR_Data[[#This Row],[Gender]])))</f>
        <v>Male</v>
      </c>
      <c r="O609" t="str">
        <f>TRIM(tbl_HR_Data[[#This Row],[Position]])</f>
        <v>Assistant</v>
      </c>
      <c r="P609" t="str">
        <f>IFERROR(_xlfn.XLOOKUP(tbl_HR_Data[[#This Row],[Email]], Mapping[Email_Discarded], Mapping[Email_Correction]), LOWER(TRIM(tbl_HR_Data[[#This Row],[Email]])))</f>
        <v>not provided</v>
      </c>
      <c r="Q60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09" t="str" cm="1">
        <f t="array" ref="R609">_xlfn.REDUCE(Q609, {"-","/","_","\","(",")"}, _xlfn.LAMBDA(_xlpm.txt,_xlpm.itm, SUBSTITUTE(_xlpm.txt, _xlpm.itm, "")))</f>
        <v>Not Provided</v>
      </c>
      <c r="S609" s="3">
        <f>IFERROR(_xlfn.XLOOKUP(tbl_HR_Data[[#This Row],[Joining Date]], Mapping[Joining_Discarded], Mapping[Joining_Correction]), VALUE(tbl_HR_Data[[#This Row],[Joining Date]]))</f>
        <v>43845</v>
      </c>
      <c r="T609" t="str">
        <f>TEXT(tbl_HR_Data[[#This Row],[Joining Date]], "mmm")</f>
        <v>Jan</v>
      </c>
      <c r="U609" t="str">
        <f>TEXT(tbl_HR_Data[[#This Row],[Joining Date]], "ddd")</f>
        <v>Wed</v>
      </c>
    </row>
    <row r="610" spans="1:21" x14ac:dyDescent="0.35">
      <c r="A610" t="s">
        <v>101</v>
      </c>
      <c r="B610">
        <v>50</v>
      </c>
      <c r="C610">
        <v>50000</v>
      </c>
      <c r="D610" t="s">
        <v>36</v>
      </c>
      <c r="E610" t="s">
        <v>30</v>
      </c>
      <c r="F610" t="s">
        <v>44</v>
      </c>
      <c r="G610" s="3">
        <v>43845</v>
      </c>
      <c r="H610" t="str">
        <f>TEXT(tbl_HR_Data[[#This Row],[Joining Date]], "mmm")</f>
        <v>Jan</v>
      </c>
      <c r="I610" t="s">
        <v>95</v>
      </c>
      <c r="J610" t="s">
        <v>41</v>
      </c>
      <c r="K610" t="s">
        <v>32</v>
      </c>
      <c r="L610" t="s">
        <v>77</v>
      </c>
      <c r="M610">
        <f>IFERROR( _xlfn.XLOOKUP(TRIM(tbl_HR_Data[[#This Row],[Age]]),#REF!,#REF!), VALUE(TRIM(tbl_HR_Data[[#This Row],[Age]])))</f>
        <v>50</v>
      </c>
      <c r="N610" t="str">
        <f>IFERROR(_xlfn.XLOOKUP(tbl_HR_Data[[#This Row],[Gender]], Mapping[Gender _Discarded], Mapping[Gender_Correction]), PROPER(TRIM(tbl_HR_Data[[#This Row],[Gender]])))</f>
        <v>Other</v>
      </c>
      <c r="O610" t="str">
        <f>TRIM(tbl_HR_Data[[#This Row],[Position]])</f>
        <v>Analyst</v>
      </c>
      <c r="P610" t="str">
        <f>IFERROR(_xlfn.XLOOKUP(tbl_HR_Data[[#This Row],[Email]], Mapping[Email_Discarded], Mapping[Email_Correction]), LOWER(TRIM(tbl_HR_Data[[#This Row],[Email]])))</f>
        <v>name@company.org</v>
      </c>
      <c r="Q61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10" t="str" cm="1">
        <f t="array" ref="R610">_xlfn.REDUCE(Q610, {"-","/","_","\","(",")"}, _xlfn.LAMBDA(_xlpm.txt,_xlpm.itm, SUBSTITUTE(_xlpm.txt, _xlpm.itm, "")))</f>
        <v>Not Provided</v>
      </c>
      <c r="S610" s="3">
        <f>IFERROR(_xlfn.XLOOKUP(tbl_HR_Data[[#This Row],[Joining Date]], Mapping[Joining_Discarded], Mapping[Joining_Correction]), VALUE(tbl_HR_Data[[#This Row],[Joining Date]]))</f>
        <v>43845</v>
      </c>
      <c r="T610" t="str">
        <f>TEXT(tbl_HR_Data[[#This Row],[Joining Date]], "mmm")</f>
        <v>Jan</v>
      </c>
      <c r="U610" t="str">
        <f>TEXT(tbl_HR_Data[[#This Row],[Joining Date]], "ddd")</f>
        <v>Wed</v>
      </c>
    </row>
    <row r="611" spans="1:21" x14ac:dyDescent="0.35">
      <c r="A611" t="s">
        <v>108</v>
      </c>
      <c r="B611">
        <v>0</v>
      </c>
      <c r="C611">
        <v>55000</v>
      </c>
      <c r="D611" t="s">
        <v>18</v>
      </c>
      <c r="E611" t="s">
        <v>19</v>
      </c>
      <c r="F611" t="s">
        <v>43</v>
      </c>
      <c r="G611" s="3">
        <v>43845</v>
      </c>
      <c r="H611" t="str">
        <f>TEXT(tbl_HR_Data[[#This Row],[Joining Date]], "mmm")</f>
        <v>Jan</v>
      </c>
      <c r="I611" t="s">
        <v>95</v>
      </c>
      <c r="J611" t="s">
        <v>31</v>
      </c>
      <c r="K611" t="s">
        <v>77</v>
      </c>
      <c r="L611" t="s">
        <v>77</v>
      </c>
      <c r="M611">
        <f>IFERROR( _xlfn.XLOOKUP(TRIM(tbl_HR_Data[[#This Row],[Age]]),#REF!,#REF!), VALUE(TRIM(tbl_HR_Data[[#This Row],[Age]])))</f>
        <v>0</v>
      </c>
      <c r="N611" t="str">
        <f>IFERROR(_xlfn.XLOOKUP(tbl_HR_Data[[#This Row],[Gender]], Mapping[Gender _Discarded], Mapping[Gender_Correction]), PROPER(TRIM(tbl_HR_Data[[#This Row],[Gender]])))</f>
        <v>Female</v>
      </c>
      <c r="O611" t="str">
        <f>TRIM(tbl_HR_Data[[#This Row],[Position]])</f>
        <v>Assistant</v>
      </c>
      <c r="P611" t="str">
        <f>IFERROR(_xlfn.XLOOKUP(tbl_HR_Data[[#This Row],[Email]], Mapping[Email_Discarded], Mapping[Email_Correction]), LOWER(TRIM(tbl_HR_Data[[#This Row],[Email]])))</f>
        <v>not provided</v>
      </c>
      <c r="Q61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11" t="str" cm="1">
        <f t="array" ref="R611">_xlfn.REDUCE(Q611, {"-","/","_","\","(",")"}, _xlfn.LAMBDA(_xlpm.txt,_xlpm.itm, SUBSTITUTE(_xlpm.txt, _xlpm.itm, "")))</f>
        <v>Not Provided</v>
      </c>
      <c r="S611" s="3">
        <f>IFERROR(_xlfn.XLOOKUP(tbl_HR_Data[[#This Row],[Joining Date]], Mapping[Joining_Discarded], Mapping[Joining_Correction]), VALUE(tbl_HR_Data[[#This Row],[Joining Date]]))</f>
        <v>43845</v>
      </c>
      <c r="T611" t="str">
        <f>TEXT(tbl_HR_Data[[#This Row],[Joining Date]], "mmm")</f>
        <v>Jan</v>
      </c>
      <c r="U611" t="str">
        <f>TEXT(tbl_HR_Data[[#This Row],[Joining Date]], "ddd")</f>
        <v>Wed</v>
      </c>
    </row>
    <row r="612" spans="1:21" x14ac:dyDescent="0.35">
      <c r="A612" t="s">
        <v>105</v>
      </c>
      <c r="B612">
        <v>25</v>
      </c>
      <c r="C612">
        <v>65000</v>
      </c>
      <c r="D612" t="s">
        <v>11</v>
      </c>
      <c r="E612" t="s">
        <v>37</v>
      </c>
      <c r="F612" t="s">
        <v>44</v>
      </c>
      <c r="G612" s="3">
        <v>43845</v>
      </c>
      <c r="H612" t="str">
        <f>TEXT(tbl_HR_Data[[#This Row],[Joining Date]], "mmm")</f>
        <v>Jan</v>
      </c>
      <c r="I612" t="s">
        <v>95</v>
      </c>
      <c r="J612" t="s">
        <v>31</v>
      </c>
      <c r="K612" t="s">
        <v>77</v>
      </c>
      <c r="L612" t="s">
        <v>77</v>
      </c>
      <c r="M612">
        <f>IFERROR( _xlfn.XLOOKUP(TRIM(tbl_HR_Data[[#This Row],[Age]]),#REF!,#REF!), VALUE(TRIM(tbl_HR_Data[[#This Row],[Age]])))</f>
        <v>25</v>
      </c>
      <c r="N612" t="str">
        <f>IFERROR(_xlfn.XLOOKUP(tbl_HR_Data[[#This Row],[Gender]], Mapping[Gender _Discarded], Mapping[Gender_Correction]), PROPER(TRIM(tbl_HR_Data[[#This Row],[Gender]])))</f>
        <v>Male</v>
      </c>
      <c r="O612" t="str">
        <f>TRIM(tbl_HR_Data[[#This Row],[Position]])</f>
        <v>Analyst</v>
      </c>
      <c r="P612" t="str">
        <f>IFERROR(_xlfn.XLOOKUP(tbl_HR_Data[[#This Row],[Email]], Mapping[Email_Discarded], Mapping[Email_Correction]), LOWER(TRIM(tbl_HR_Data[[#This Row],[Email]])))</f>
        <v>not provided</v>
      </c>
      <c r="Q61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12" t="str" cm="1">
        <f t="array" ref="R612">_xlfn.REDUCE(Q612, {"-","/","_","\","(",")"}, _xlfn.LAMBDA(_xlpm.txt,_xlpm.itm, SUBSTITUTE(_xlpm.txt, _xlpm.itm, "")))</f>
        <v>Not Provided</v>
      </c>
      <c r="S612" s="3">
        <f>IFERROR(_xlfn.XLOOKUP(tbl_HR_Data[[#This Row],[Joining Date]], Mapping[Joining_Discarded], Mapping[Joining_Correction]), VALUE(tbl_HR_Data[[#This Row],[Joining Date]]))</f>
        <v>43845</v>
      </c>
      <c r="T612" t="str">
        <f>TEXT(tbl_HR_Data[[#This Row],[Joining Date]], "mmm")</f>
        <v>Jan</v>
      </c>
      <c r="U612" t="str">
        <f>TEXT(tbl_HR_Data[[#This Row],[Joining Date]], "ddd")</f>
        <v>Wed</v>
      </c>
    </row>
    <row r="613" spans="1:21" x14ac:dyDescent="0.35">
      <c r="A613" t="s">
        <v>100</v>
      </c>
      <c r="B613">
        <v>50</v>
      </c>
      <c r="C613">
        <v>50000</v>
      </c>
      <c r="D613" t="s">
        <v>11</v>
      </c>
      <c r="E613" t="s">
        <v>26</v>
      </c>
      <c r="F613" t="s">
        <v>13</v>
      </c>
      <c r="G613" s="3">
        <v>43845</v>
      </c>
      <c r="H613" t="str">
        <f>TEXT(tbl_HR_Data[[#This Row],[Joining Date]], "mmm")</f>
        <v>Jan</v>
      </c>
      <c r="I613" t="s">
        <v>95</v>
      </c>
      <c r="J613" t="s">
        <v>41</v>
      </c>
      <c r="K613" t="s">
        <v>32</v>
      </c>
      <c r="L613" t="s">
        <v>88</v>
      </c>
      <c r="M613">
        <f>IFERROR( _xlfn.XLOOKUP(TRIM(tbl_HR_Data[[#This Row],[Age]]),#REF!,#REF!), VALUE(TRIM(tbl_HR_Data[[#This Row],[Age]])))</f>
        <v>50</v>
      </c>
      <c r="N613" t="str">
        <f>IFERROR(_xlfn.XLOOKUP(tbl_HR_Data[[#This Row],[Gender]], Mapping[Gender _Discarded], Mapping[Gender_Correction]), PROPER(TRIM(tbl_HR_Data[[#This Row],[Gender]])))</f>
        <v>Male</v>
      </c>
      <c r="O613" t="str">
        <f>TRIM(tbl_HR_Data[[#This Row],[Position]])</f>
        <v>Manager</v>
      </c>
      <c r="P613" t="str">
        <f>IFERROR(_xlfn.XLOOKUP(tbl_HR_Data[[#This Row],[Email]], Mapping[Email_Discarded], Mapping[Email_Correction]), LOWER(TRIM(tbl_HR_Data[[#This Row],[Email]])))</f>
        <v>name@company.org</v>
      </c>
      <c r="Q61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613" t="str" cm="1">
        <f t="array" ref="R613">_xlfn.REDUCE(Q613, {"-","/","_","\","(",")"}, _xlfn.LAMBDA(_xlpm.txt,_xlpm.itm, SUBSTITUTE(_xlpm.txt, _xlpm.itm, "")))</f>
        <v>0987654321</v>
      </c>
      <c r="S613" s="3">
        <f>IFERROR(_xlfn.XLOOKUP(tbl_HR_Data[[#This Row],[Joining Date]], Mapping[Joining_Discarded], Mapping[Joining_Correction]), VALUE(tbl_HR_Data[[#This Row],[Joining Date]]))</f>
        <v>43845</v>
      </c>
      <c r="T613" t="str">
        <f>TEXT(tbl_HR_Data[[#This Row],[Joining Date]], "mmm")</f>
        <v>Jan</v>
      </c>
      <c r="U613" t="str">
        <f>TEXT(tbl_HR_Data[[#This Row],[Joining Date]], "ddd")</f>
        <v>Wed</v>
      </c>
    </row>
    <row r="614" spans="1:21" x14ac:dyDescent="0.35">
      <c r="A614" t="s">
        <v>106</v>
      </c>
      <c r="B614">
        <v>50</v>
      </c>
      <c r="C614">
        <v>50000</v>
      </c>
      <c r="D614" t="s">
        <v>36</v>
      </c>
      <c r="E614" t="s">
        <v>30</v>
      </c>
      <c r="F614" t="s">
        <v>43</v>
      </c>
      <c r="G614" s="3">
        <v>43845</v>
      </c>
      <c r="H614" t="str">
        <f>TEXT(tbl_HR_Data[[#This Row],[Joining Date]], "mmm")</f>
        <v>Jan</v>
      </c>
      <c r="I614" t="s">
        <v>95</v>
      </c>
      <c r="J614" t="s">
        <v>27</v>
      </c>
      <c r="K614" t="s">
        <v>77</v>
      </c>
      <c r="L614" t="s">
        <v>77</v>
      </c>
      <c r="M614">
        <f>IFERROR( _xlfn.XLOOKUP(TRIM(tbl_HR_Data[[#This Row],[Age]]),#REF!,#REF!), VALUE(TRIM(tbl_HR_Data[[#This Row],[Age]])))</f>
        <v>50</v>
      </c>
      <c r="N614" t="str">
        <f>IFERROR(_xlfn.XLOOKUP(tbl_HR_Data[[#This Row],[Gender]], Mapping[Gender _Discarded], Mapping[Gender_Correction]), PROPER(TRIM(tbl_HR_Data[[#This Row],[Gender]])))</f>
        <v>Other</v>
      </c>
      <c r="O614" t="str">
        <f>TRIM(tbl_HR_Data[[#This Row],[Position]])</f>
        <v>Assistant</v>
      </c>
      <c r="P614" t="str">
        <f>IFERROR(_xlfn.XLOOKUP(tbl_HR_Data[[#This Row],[Email]], Mapping[Email_Discarded], Mapping[Email_Correction]), LOWER(TRIM(tbl_HR_Data[[#This Row],[Email]])))</f>
        <v>not provided</v>
      </c>
      <c r="Q61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14" t="str" cm="1">
        <f t="array" ref="R614">_xlfn.REDUCE(Q614, {"-","/","_","\","(",")"}, _xlfn.LAMBDA(_xlpm.txt,_xlpm.itm, SUBSTITUTE(_xlpm.txt, _xlpm.itm, "")))</f>
        <v>Not Provided</v>
      </c>
      <c r="S614" s="3">
        <f>IFERROR(_xlfn.XLOOKUP(tbl_HR_Data[[#This Row],[Joining Date]], Mapping[Joining_Discarded], Mapping[Joining_Correction]), VALUE(tbl_HR_Data[[#This Row],[Joining Date]]))</f>
        <v>43845</v>
      </c>
      <c r="T614" t="str">
        <f>TEXT(tbl_HR_Data[[#This Row],[Joining Date]], "mmm")</f>
        <v>Jan</v>
      </c>
      <c r="U614" t="str">
        <f>TEXT(tbl_HR_Data[[#This Row],[Joining Date]], "ddd")</f>
        <v>Wed</v>
      </c>
    </row>
    <row r="615" spans="1:21" x14ac:dyDescent="0.35">
      <c r="A615" t="s">
        <v>99</v>
      </c>
      <c r="B615">
        <v>35</v>
      </c>
      <c r="C615">
        <v>60000</v>
      </c>
      <c r="D615" t="s">
        <v>18</v>
      </c>
      <c r="E615" t="s">
        <v>12</v>
      </c>
      <c r="F615" t="s">
        <v>43</v>
      </c>
      <c r="G615" s="3">
        <v>43845</v>
      </c>
      <c r="H615" t="str">
        <f>TEXT(tbl_HR_Data[[#This Row],[Joining Date]], "mmm")</f>
        <v>Jan</v>
      </c>
      <c r="I615" t="s">
        <v>95</v>
      </c>
      <c r="J615" t="s">
        <v>21</v>
      </c>
      <c r="K615" t="s">
        <v>77</v>
      </c>
      <c r="L615" t="s">
        <v>89</v>
      </c>
      <c r="M615">
        <f>IFERROR( _xlfn.XLOOKUP(TRIM(tbl_HR_Data[[#This Row],[Age]]),#REF!,#REF!), VALUE(TRIM(tbl_HR_Data[[#This Row],[Age]])))</f>
        <v>35</v>
      </c>
      <c r="N615" t="str">
        <f>IFERROR(_xlfn.XLOOKUP(tbl_HR_Data[[#This Row],[Gender]], Mapping[Gender _Discarded], Mapping[Gender_Correction]), PROPER(TRIM(tbl_HR_Data[[#This Row],[Gender]])))</f>
        <v>Female</v>
      </c>
      <c r="O615" t="str">
        <f>TRIM(tbl_HR_Data[[#This Row],[Position]])</f>
        <v>Assistant</v>
      </c>
      <c r="P615" t="str">
        <f>IFERROR(_xlfn.XLOOKUP(tbl_HR_Data[[#This Row],[Email]], Mapping[Email_Discarded], Mapping[Email_Correction]), LOWER(TRIM(tbl_HR_Data[[#This Row],[Email]])))</f>
        <v>not provided</v>
      </c>
      <c r="Q61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615" t="str" cm="1">
        <f t="array" ref="R615">_xlfn.REDUCE(Q615, {"-","/","_","\","(",")"}, _xlfn.LAMBDA(_xlpm.txt,_xlpm.itm, SUBSTITUTE(_xlpm.txt, _xlpm.itm, "")))</f>
        <v>5555555555</v>
      </c>
      <c r="S615" s="3">
        <f>IFERROR(_xlfn.XLOOKUP(tbl_HR_Data[[#This Row],[Joining Date]], Mapping[Joining_Discarded], Mapping[Joining_Correction]), VALUE(tbl_HR_Data[[#This Row],[Joining Date]]))</f>
        <v>43845</v>
      </c>
      <c r="T615" t="str">
        <f>TEXT(tbl_HR_Data[[#This Row],[Joining Date]], "mmm")</f>
        <v>Jan</v>
      </c>
      <c r="U615" t="str">
        <f>TEXT(tbl_HR_Data[[#This Row],[Joining Date]], "ddd")</f>
        <v>Wed</v>
      </c>
    </row>
    <row r="616" spans="1:21" x14ac:dyDescent="0.35">
      <c r="A616" t="s">
        <v>102</v>
      </c>
      <c r="B616">
        <v>50</v>
      </c>
      <c r="C616">
        <v>60000</v>
      </c>
      <c r="D616" t="s">
        <v>36</v>
      </c>
      <c r="E616" t="s">
        <v>19</v>
      </c>
      <c r="F616" t="s">
        <v>44</v>
      </c>
      <c r="G616" s="3">
        <v>43845</v>
      </c>
      <c r="H616" t="str">
        <f>TEXT(tbl_HR_Data[[#This Row],[Joining Date]], "mmm")</f>
        <v>Jan</v>
      </c>
      <c r="I616" t="s">
        <v>95</v>
      </c>
      <c r="J616" t="s">
        <v>31</v>
      </c>
      <c r="K616" t="s">
        <v>22</v>
      </c>
      <c r="L616" t="s">
        <v>77</v>
      </c>
      <c r="M616">
        <f>IFERROR( _xlfn.XLOOKUP(TRIM(tbl_HR_Data[[#This Row],[Age]]),#REF!,#REF!), VALUE(TRIM(tbl_HR_Data[[#This Row],[Age]])))</f>
        <v>50</v>
      </c>
      <c r="N616" t="str">
        <f>IFERROR(_xlfn.XLOOKUP(tbl_HR_Data[[#This Row],[Gender]], Mapping[Gender _Discarded], Mapping[Gender_Correction]), PROPER(TRIM(tbl_HR_Data[[#This Row],[Gender]])))</f>
        <v>Other</v>
      </c>
      <c r="O616" t="str">
        <f>TRIM(tbl_HR_Data[[#This Row],[Position]])</f>
        <v>Analyst</v>
      </c>
      <c r="P616" t="str">
        <f>IFERROR(_xlfn.XLOOKUP(tbl_HR_Data[[#This Row],[Email]], Mapping[Email_Discarded], Mapping[Email_Correction]), LOWER(TRIM(tbl_HR_Data[[#This Row],[Email]])))</f>
        <v>user@domain.com</v>
      </c>
      <c r="Q61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16" t="str" cm="1">
        <f t="array" ref="R616">_xlfn.REDUCE(Q616, {"-","/","_","\","(",")"}, _xlfn.LAMBDA(_xlpm.txt,_xlpm.itm, SUBSTITUTE(_xlpm.txt, _xlpm.itm, "")))</f>
        <v>Not Provided</v>
      </c>
      <c r="S616" s="3">
        <f>IFERROR(_xlfn.XLOOKUP(tbl_HR_Data[[#This Row],[Joining Date]], Mapping[Joining_Discarded], Mapping[Joining_Correction]), VALUE(tbl_HR_Data[[#This Row],[Joining Date]]))</f>
        <v>43845</v>
      </c>
      <c r="T616" t="str">
        <f>TEXT(tbl_HR_Data[[#This Row],[Joining Date]], "mmm")</f>
        <v>Jan</v>
      </c>
      <c r="U616" t="str">
        <f>TEXT(tbl_HR_Data[[#This Row],[Joining Date]], "ddd")</f>
        <v>Wed</v>
      </c>
    </row>
    <row r="617" spans="1:21" x14ac:dyDescent="0.35">
      <c r="A617" t="s">
        <v>105</v>
      </c>
      <c r="B617">
        <v>40</v>
      </c>
      <c r="C617">
        <v>55000</v>
      </c>
      <c r="D617" t="s">
        <v>11</v>
      </c>
      <c r="E617" t="s">
        <v>19</v>
      </c>
      <c r="F617" t="s">
        <v>43</v>
      </c>
      <c r="G617" s="3">
        <v>43845</v>
      </c>
      <c r="H617" t="str">
        <f>TEXT(tbl_HR_Data[[#This Row],[Joining Date]], "mmm")</f>
        <v>Jan</v>
      </c>
      <c r="I617" t="s">
        <v>95</v>
      </c>
      <c r="J617" t="s">
        <v>41</v>
      </c>
      <c r="K617" t="s">
        <v>32</v>
      </c>
      <c r="L617" t="s">
        <v>87</v>
      </c>
      <c r="M617">
        <f>IFERROR( _xlfn.XLOOKUP(TRIM(tbl_HR_Data[[#This Row],[Age]]),#REF!,#REF!), VALUE(TRIM(tbl_HR_Data[[#This Row],[Age]])))</f>
        <v>40</v>
      </c>
      <c r="N617" t="str">
        <f>IFERROR(_xlfn.XLOOKUP(tbl_HR_Data[[#This Row],[Gender]], Mapping[Gender _Discarded], Mapping[Gender_Correction]), PROPER(TRIM(tbl_HR_Data[[#This Row],[Gender]])))</f>
        <v>Male</v>
      </c>
      <c r="O617" t="str">
        <f>TRIM(tbl_HR_Data[[#This Row],[Position]])</f>
        <v>Assistant</v>
      </c>
      <c r="P617" t="str">
        <f>IFERROR(_xlfn.XLOOKUP(tbl_HR_Data[[#This Row],[Email]], Mapping[Email_Discarded], Mapping[Email_Correction]), LOWER(TRIM(tbl_HR_Data[[#This Row],[Email]])))</f>
        <v>name@company.org</v>
      </c>
      <c r="Q61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617" t="str" cm="1">
        <f t="array" ref="R617">_xlfn.REDUCE(Q617, {"-","/","_","\","(",")"}, _xlfn.LAMBDA(_xlpm.txt,_xlpm.itm, SUBSTITUTE(_xlpm.txt, _xlpm.itm, "")))</f>
        <v>1234567890</v>
      </c>
      <c r="S617" s="3">
        <f>IFERROR(_xlfn.XLOOKUP(tbl_HR_Data[[#This Row],[Joining Date]], Mapping[Joining_Discarded], Mapping[Joining_Correction]), VALUE(tbl_HR_Data[[#This Row],[Joining Date]]))</f>
        <v>43845</v>
      </c>
      <c r="T617" t="str">
        <f>TEXT(tbl_HR_Data[[#This Row],[Joining Date]], "mmm")</f>
        <v>Jan</v>
      </c>
      <c r="U617" t="str">
        <f>TEXT(tbl_HR_Data[[#This Row],[Joining Date]], "ddd")</f>
        <v>Wed</v>
      </c>
    </row>
    <row r="618" spans="1:21" x14ac:dyDescent="0.35">
      <c r="A618" t="s">
        <v>105</v>
      </c>
      <c r="B618">
        <v>40</v>
      </c>
      <c r="C618">
        <v>70000</v>
      </c>
      <c r="D618" t="s">
        <v>36</v>
      </c>
      <c r="E618" t="s">
        <v>12</v>
      </c>
      <c r="F618" t="s">
        <v>20</v>
      </c>
      <c r="G618" s="3">
        <v>43845</v>
      </c>
      <c r="H618" t="str">
        <f>TEXT(tbl_HR_Data[[#This Row],[Joining Date]], "mmm")</f>
        <v>Jan</v>
      </c>
      <c r="I618" t="s">
        <v>95</v>
      </c>
      <c r="J618" t="s">
        <v>27</v>
      </c>
      <c r="K618" t="s">
        <v>32</v>
      </c>
      <c r="L618" t="s">
        <v>89</v>
      </c>
      <c r="M618">
        <f>IFERROR( _xlfn.XLOOKUP(TRIM(tbl_HR_Data[[#This Row],[Age]]),#REF!,#REF!), VALUE(TRIM(tbl_HR_Data[[#This Row],[Age]])))</f>
        <v>40</v>
      </c>
      <c r="N618" t="str">
        <f>IFERROR(_xlfn.XLOOKUP(tbl_HR_Data[[#This Row],[Gender]], Mapping[Gender _Discarded], Mapping[Gender_Correction]), PROPER(TRIM(tbl_HR_Data[[#This Row],[Gender]])))</f>
        <v>Other</v>
      </c>
      <c r="O618" t="str">
        <f>TRIM(tbl_HR_Data[[#This Row],[Position]])</f>
        <v>Director</v>
      </c>
      <c r="P618" t="str">
        <f>IFERROR(_xlfn.XLOOKUP(tbl_HR_Data[[#This Row],[Email]], Mapping[Email_Discarded], Mapping[Email_Correction]), LOWER(TRIM(tbl_HR_Data[[#This Row],[Email]])))</f>
        <v>name@company.org</v>
      </c>
      <c r="Q61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618" t="str" cm="1">
        <f t="array" ref="R618">_xlfn.REDUCE(Q618, {"-","/","_","\","(",")"}, _xlfn.LAMBDA(_xlpm.txt,_xlpm.itm, SUBSTITUTE(_xlpm.txt, _xlpm.itm, "")))</f>
        <v>5555555555</v>
      </c>
      <c r="S618" s="3">
        <f>IFERROR(_xlfn.XLOOKUP(tbl_HR_Data[[#This Row],[Joining Date]], Mapping[Joining_Discarded], Mapping[Joining_Correction]), VALUE(tbl_HR_Data[[#This Row],[Joining Date]]))</f>
        <v>43845</v>
      </c>
      <c r="T618" t="str">
        <f>TEXT(tbl_HR_Data[[#This Row],[Joining Date]], "mmm")</f>
        <v>Jan</v>
      </c>
      <c r="U618" t="str">
        <f>TEXT(tbl_HR_Data[[#This Row],[Joining Date]], "ddd")</f>
        <v>Wed</v>
      </c>
    </row>
    <row r="619" spans="1:21" x14ac:dyDescent="0.35">
      <c r="A619" t="s">
        <v>108</v>
      </c>
      <c r="B619">
        <v>30</v>
      </c>
      <c r="C619">
        <v>70000</v>
      </c>
      <c r="D619" t="s">
        <v>11</v>
      </c>
      <c r="E619" t="s">
        <v>12</v>
      </c>
      <c r="F619" t="s">
        <v>43</v>
      </c>
      <c r="G619" s="3">
        <v>43845</v>
      </c>
      <c r="H619" t="str">
        <f>TEXT(tbl_HR_Data[[#This Row],[Joining Date]], "mmm")</f>
        <v>Jan</v>
      </c>
      <c r="I619" t="s">
        <v>95</v>
      </c>
      <c r="J619" t="s">
        <v>14</v>
      </c>
      <c r="K619" t="s">
        <v>77</v>
      </c>
      <c r="L619" t="s">
        <v>89</v>
      </c>
      <c r="M619">
        <f>IFERROR( _xlfn.XLOOKUP(TRIM(tbl_HR_Data[[#This Row],[Age]]),#REF!,#REF!), VALUE(TRIM(tbl_HR_Data[[#This Row],[Age]])))</f>
        <v>30</v>
      </c>
      <c r="N619" t="str">
        <f>IFERROR(_xlfn.XLOOKUP(tbl_HR_Data[[#This Row],[Gender]], Mapping[Gender _Discarded], Mapping[Gender_Correction]), PROPER(TRIM(tbl_HR_Data[[#This Row],[Gender]])))</f>
        <v>Male</v>
      </c>
      <c r="O619" t="str">
        <f>TRIM(tbl_HR_Data[[#This Row],[Position]])</f>
        <v>Assistant</v>
      </c>
      <c r="P619" t="str">
        <f>IFERROR(_xlfn.XLOOKUP(tbl_HR_Data[[#This Row],[Email]], Mapping[Email_Discarded], Mapping[Email_Correction]), LOWER(TRIM(tbl_HR_Data[[#This Row],[Email]])))</f>
        <v>not provided</v>
      </c>
      <c r="Q61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619" t="str" cm="1">
        <f t="array" ref="R619">_xlfn.REDUCE(Q619, {"-","/","_","\","(",")"}, _xlfn.LAMBDA(_xlpm.txt,_xlpm.itm, SUBSTITUTE(_xlpm.txt, _xlpm.itm, "")))</f>
        <v>5555555555</v>
      </c>
      <c r="S619" s="3">
        <f>IFERROR(_xlfn.XLOOKUP(tbl_HR_Data[[#This Row],[Joining Date]], Mapping[Joining_Discarded], Mapping[Joining_Correction]), VALUE(tbl_HR_Data[[#This Row],[Joining Date]]))</f>
        <v>43845</v>
      </c>
      <c r="T619" t="str">
        <f>TEXT(tbl_HR_Data[[#This Row],[Joining Date]], "mmm")</f>
        <v>Jan</v>
      </c>
      <c r="U619" t="str">
        <f>TEXT(tbl_HR_Data[[#This Row],[Joining Date]], "ddd")</f>
        <v>Wed</v>
      </c>
    </row>
    <row r="620" spans="1:21" x14ac:dyDescent="0.35">
      <c r="A620" t="s">
        <v>108</v>
      </c>
      <c r="B620">
        <v>35</v>
      </c>
      <c r="C620">
        <v>65000</v>
      </c>
      <c r="D620" t="s">
        <v>18</v>
      </c>
      <c r="E620" t="s">
        <v>19</v>
      </c>
      <c r="F620" t="s">
        <v>44</v>
      </c>
      <c r="G620" s="3">
        <v>43845</v>
      </c>
      <c r="H620" t="str">
        <f>TEXT(tbl_HR_Data[[#This Row],[Joining Date]], "mmm")</f>
        <v>Jan</v>
      </c>
      <c r="I620" t="s">
        <v>95</v>
      </c>
      <c r="J620" t="s">
        <v>14</v>
      </c>
      <c r="K620" t="s">
        <v>15</v>
      </c>
      <c r="L620" t="s">
        <v>88</v>
      </c>
      <c r="M620">
        <f>IFERROR( _xlfn.XLOOKUP(TRIM(tbl_HR_Data[[#This Row],[Age]]),#REF!,#REF!), VALUE(TRIM(tbl_HR_Data[[#This Row],[Age]])))</f>
        <v>35</v>
      </c>
      <c r="N620" t="str">
        <f>IFERROR(_xlfn.XLOOKUP(tbl_HR_Data[[#This Row],[Gender]], Mapping[Gender _Discarded], Mapping[Gender_Correction]), PROPER(TRIM(tbl_HR_Data[[#This Row],[Gender]])))</f>
        <v>Female</v>
      </c>
      <c r="O620" t="str">
        <f>TRIM(tbl_HR_Data[[#This Row],[Position]])</f>
        <v>Analyst</v>
      </c>
      <c r="P620" t="str">
        <f>IFERROR(_xlfn.XLOOKUP(tbl_HR_Data[[#This Row],[Email]], Mapping[Email_Discarded], Mapping[Email_Correction]), LOWER(TRIM(tbl_HR_Data[[#This Row],[Email]])))</f>
        <v>email@example.com</v>
      </c>
      <c r="Q62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620" t="str" cm="1">
        <f t="array" ref="R620">_xlfn.REDUCE(Q620, {"-","/","_","\","(",")"}, _xlfn.LAMBDA(_xlpm.txt,_xlpm.itm, SUBSTITUTE(_xlpm.txt, _xlpm.itm, "")))</f>
        <v>0987654321</v>
      </c>
      <c r="S620" s="3">
        <f>IFERROR(_xlfn.XLOOKUP(tbl_HR_Data[[#This Row],[Joining Date]], Mapping[Joining_Discarded], Mapping[Joining_Correction]), VALUE(tbl_HR_Data[[#This Row],[Joining Date]]))</f>
        <v>43845</v>
      </c>
      <c r="T620" t="str">
        <f>TEXT(tbl_HR_Data[[#This Row],[Joining Date]], "mmm")</f>
        <v>Jan</v>
      </c>
      <c r="U620" t="str">
        <f>TEXT(tbl_HR_Data[[#This Row],[Joining Date]], "ddd")</f>
        <v>Wed</v>
      </c>
    </row>
    <row r="621" spans="1:21" x14ac:dyDescent="0.35">
      <c r="A621" t="s">
        <v>99</v>
      </c>
      <c r="B621">
        <v>25</v>
      </c>
      <c r="C621">
        <v>55000</v>
      </c>
      <c r="D621" t="s">
        <v>11</v>
      </c>
      <c r="E621" t="s">
        <v>26</v>
      </c>
      <c r="F621" t="s">
        <v>39</v>
      </c>
      <c r="G621" s="3">
        <v>43845</v>
      </c>
      <c r="H621" t="str">
        <f>TEXT(tbl_HR_Data[[#This Row],[Joining Date]], "mmm")</f>
        <v>Jan</v>
      </c>
      <c r="I621" t="s">
        <v>95</v>
      </c>
      <c r="J621" t="s">
        <v>41</v>
      </c>
      <c r="K621" t="s">
        <v>77</v>
      </c>
      <c r="L621" t="s">
        <v>77</v>
      </c>
      <c r="M621">
        <f>IFERROR( _xlfn.XLOOKUP(TRIM(tbl_HR_Data[[#This Row],[Age]]),#REF!,#REF!), VALUE(TRIM(tbl_HR_Data[[#This Row],[Age]])))</f>
        <v>25</v>
      </c>
      <c r="N621" t="str">
        <f>IFERROR(_xlfn.XLOOKUP(tbl_HR_Data[[#This Row],[Gender]], Mapping[Gender _Discarded], Mapping[Gender_Correction]), PROPER(TRIM(tbl_HR_Data[[#This Row],[Gender]])))</f>
        <v>Male</v>
      </c>
      <c r="O621" t="str">
        <f>TRIM(tbl_HR_Data[[#This Row],[Position]])</f>
        <v>Clerk</v>
      </c>
      <c r="P621" t="str">
        <f>IFERROR(_xlfn.XLOOKUP(tbl_HR_Data[[#This Row],[Email]], Mapping[Email_Discarded], Mapping[Email_Correction]), LOWER(TRIM(tbl_HR_Data[[#This Row],[Email]])))</f>
        <v>not provided</v>
      </c>
      <c r="Q62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21" t="str" cm="1">
        <f t="array" ref="R621">_xlfn.REDUCE(Q621, {"-","/","_","\","(",")"}, _xlfn.LAMBDA(_xlpm.txt,_xlpm.itm, SUBSTITUTE(_xlpm.txt, _xlpm.itm, "")))</f>
        <v>Not Provided</v>
      </c>
      <c r="S621" s="3">
        <f>IFERROR(_xlfn.XLOOKUP(tbl_HR_Data[[#This Row],[Joining Date]], Mapping[Joining_Discarded], Mapping[Joining_Correction]), VALUE(tbl_HR_Data[[#This Row],[Joining Date]]))</f>
        <v>43845</v>
      </c>
      <c r="T621" t="str">
        <f>TEXT(tbl_HR_Data[[#This Row],[Joining Date]], "mmm")</f>
        <v>Jan</v>
      </c>
      <c r="U621" t="str">
        <f>TEXT(tbl_HR_Data[[#This Row],[Joining Date]], "ddd")</f>
        <v>Wed</v>
      </c>
    </row>
    <row r="622" spans="1:21" x14ac:dyDescent="0.35">
      <c r="A622" t="s">
        <v>105</v>
      </c>
      <c r="B622">
        <v>40</v>
      </c>
      <c r="C622">
        <v>65000</v>
      </c>
      <c r="D622" t="s">
        <v>18</v>
      </c>
      <c r="E622" t="s">
        <v>26</v>
      </c>
      <c r="F622" t="s">
        <v>44</v>
      </c>
      <c r="G622" s="3">
        <v>43845</v>
      </c>
      <c r="H622" t="str">
        <f>TEXT(tbl_HR_Data[[#This Row],[Joining Date]], "mmm")</f>
        <v>Jan</v>
      </c>
      <c r="I622" t="s">
        <v>95</v>
      </c>
      <c r="J622" t="s">
        <v>21</v>
      </c>
      <c r="K622" t="s">
        <v>15</v>
      </c>
      <c r="L622" t="s">
        <v>87</v>
      </c>
      <c r="M622">
        <f>IFERROR( _xlfn.XLOOKUP(TRIM(tbl_HR_Data[[#This Row],[Age]]),#REF!,#REF!), VALUE(TRIM(tbl_HR_Data[[#This Row],[Age]])))</f>
        <v>40</v>
      </c>
      <c r="N622" t="str">
        <f>IFERROR(_xlfn.XLOOKUP(tbl_HR_Data[[#This Row],[Gender]], Mapping[Gender _Discarded], Mapping[Gender_Correction]), PROPER(TRIM(tbl_HR_Data[[#This Row],[Gender]])))</f>
        <v>Female</v>
      </c>
      <c r="O622" t="str">
        <f>TRIM(tbl_HR_Data[[#This Row],[Position]])</f>
        <v>Analyst</v>
      </c>
      <c r="P622" t="str">
        <f>IFERROR(_xlfn.XLOOKUP(tbl_HR_Data[[#This Row],[Email]], Mapping[Email_Discarded], Mapping[Email_Correction]), LOWER(TRIM(tbl_HR_Data[[#This Row],[Email]])))</f>
        <v>email@example.com</v>
      </c>
      <c r="Q62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622" t="str" cm="1">
        <f t="array" ref="R622">_xlfn.REDUCE(Q622, {"-","/","_","\","(",")"}, _xlfn.LAMBDA(_xlpm.txt,_xlpm.itm, SUBSTITUTE(_xlpm.txt, _xlpm.itm, "")))</f>
        <v>1234567890</v>
      </c>
      <c r="S622" s="3">
        <f>IFERROR(_xlfn.XLOOKUP(tbl_HR_Data[[#This Row],[Joining Date]], Mapping[Joining_Discarded], Mapping[Joining_Correction]), VALUE(tbl_HR_Data[[#This Row],[Joining Date]]))</f>
        <v>43845</v>
      </c>
      <c r="T622" t="str">
        <f>TEXT(tbl_HR_Data[[#This Row],[Joining Date]], "mmm")</f>
        <v>Jan</v>
      </c>
      <c r="U622" t="str">
        <f>TEXT(tbl_HR_Data[[#This Row],[Joining Date]], "ddd")</f>
        <v>Wed</v>
      </c>
    </row>
    <row r="623" spans="1:21" x14ac:dyDescent="0.35">
      <c r="A623" t="s">
        <v>105</v>
      </c>
      <c r="B623">
        <v>35</v>
      </c>
      <c r="C623">
        <v>0</v>
      </c>
      <c r="D623" t="s">
        <v>11</v>
      </c>
      <c r="E623" t="s">
        <v>37</v>
      </c>
      <c r="F623" t="s">
        <v>43</v>
      </c>
      <c r="G623" s="3">
        <v>43845</v>
      </c>
      <c r="H623" t="str">
        <f>TEXT(tbl_HR_Data[[#This Row],[Joining Date]], "mmm")</f>
        <v>Jan</v>
      </c>
      <c r="I623" t="s">
        <v>95</v>
      </c>
      <c r="J623" t="s">
        <v>14</v>
      </c>
      <c r="K623" t="s">
        <v>77</v>
      </c>
      <c r="L623" t="s">
        <v>89</v>
      </c>
      <c r="M623">
        <f>IFERROR( _xlfn.XLOOKUP(TRIM(tbl_HR_Data[[#This Row],[Age]]),#REF!,#REF!), VALUE(TRIM(tbl_HR_Data[[#This Row],[Age]])))</f>
        <v>35</v>
      </c>
      <c r="N623" t="str">
        <f>IFERROR(_xlfn.XLOOKUP(tbl_HR_Data[[#This Row],[Gender]], Mapping[Gender _Discarded], Mapping[Gender_Correction]), PROPER(TRIM(tbl_HR_Data[[#This Row],[Gender]])))</f>
        <v>Male</v>
      </c>
      <c r="O623" t="str">
        <f>TRIM(tbl_HR_Data[[#This Row],[Position]])</f>
        <v>Assistant</v>
      </c>
      <c r="P623" t="str">
        <f>IFERROR(_xlfn.XLOOKUP(tbl_HR_Data[[#This Row],[Email]], Mapping[Email_Discarded], Mapping[Email_Correction]), LOWER(TRIM(tbl_HR_Data[[#This Row],[Email]])))</f>
        <v>not provided</v>
      </c>
      <c r="Q62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623" t="str" cm="1">
        <f t="array" ref="R623">_xlfn.REDUCE(Q623, {"-","/","_","\","(",")"}, _xlfn.LAMBDA(_xlpm.txt,_xlpm.itm, SUBSTITUTE(_xlpm.txt, _xlpm.itm, "")))</f>
        <v>5555555555</v>
      </c>
      <c r="S623" s="3">
        <f>IFERROR(_xlfn.XLOOKUP(tbl_HR_Data[[#This Row],[Joining Date]], Mapping[Joining_Discarded], Mapping[Joining_Correction]), VALUE(tbl_HR_Data[[#This Row],[Joining Date]]))</f>
        <v>43845</v>
      </c>
      <c r="T623" t="str">
        <f>TEXT(tbl_HR_Data[[#This Row],[Joining Date]], "mmm")</f>
        <v>Jan</v>
      </c>
      <c r="U623" t="str">
        <f>TEXT(tbl_HR_Data[[#This Row],[Joining Date]], "ddd")</f>
        <v>Wed</v>
      </c>
    </row>
    <row r="624" spans="1:21" x14ac:dyDescent="0.35">
      <c r="A624" t="s">
        <v>105</v>
      </c>
      <c r="B624">
        <v>40</v>
      </c>
      <c r="C624">
        <v>60000</v>
      </c>
      <c r="D624" t="s">
        <v>18</v>
      </c>
      <c r="E624" t="s">
        <v>30</v>
      </c>
      <c r="F624" t="s">
        <v>44</v>
      </c>
      <c r="G624" s="3">
        <v>43845</v>
      </c>
      <c r="H624" t="str">
        <f>TEXT(tbl_HR_Data[[#This Row],[Joining Date]], "mmm")</f>
        <v>Jan</v>
      </c>
      <c r="I624" t="s">
        <v>95</v>
      </c>
      <c r="J624" t="s">
        <v>31</v>
      </c>
      <c r="K624" t="s">
        <v>32</v>
      </c>
      <c r="L624" t="s">
        <v>88</v>
      </c>
      <c r="M624">
        <f>IFERROR( _xlfn.XLOOKUP(TRIM(tbl_HR_Data[[#This Row],[Age]]),#REF!,#REF!), VALUE(TRIM(tbl_HR_Data[[#This Row],[Age]])))</f>
        <v>40</v>
      </c>
      <c r="N624" t="str">
        <f>IFERROR(_xlfn.XLOOKUP(tbl_HR_Data[[#This Row],[Gender]], Mapping[Gender _Discarded], Mapping[Gender_Correction]), PROPER(TRIM(tbl_HR_Data[[#This Row],[Gender]])))</f>
        <v>Female</v>
      </c>
      <c r="O624" t="str">
        <f>TRIM(tbl_HR_Data[[#This Row],[Position]])</f>
        <v>Analyst</v>
      </c>
      <c r="P624" t="str">
        <f>IFERROR(_xlfn.XLOOKUP(tbl_HR_Data[[#This Row],[Email]], Mapping[Email_Discarded], Mapping[Email_Correction]), LOWER(TRIM(tbl_HR_Data[[#This Row],[Email]])))</f>
        <v>name@company.org</v>
      </c>
      <c r="Q62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624" t="str" cm="1">
        <f t="array" ref="R624">_xlfn.REDUCE(Q624, {"-","/","_","\","(",")"}, _xlfn.LAMBDA(_xlpm.txt,_xlpm.itm, SUBSTITUTE(_xlpm.txt, _xlpm.itm, "")))</f>
        <v>0987654321</v>
      </c>
      <c r="S624" s="3">
        <f>IFERROR(_xlfn.XLOOKUP(tbl_HR_Data[[#This Row],[Joining Date]], Mapping[Joining_Discarded], Mapping[Joining_Correction]), VALUE(tbl_HR_Data[[#This Row],[Joining Date]]))</f>
        <v>43845</v>
      </c>
      <c r="T624" t="str">
        <f>TEXT(tbl_HR_Data[[#This Row],[Joining Date]], "mmm")</f>
        <v>Jan</v>
      </c>
      <c r="U624" t="str">
        <f>TEXT(tbl_HR_Data[[#This Row],[Joining Date]], "ddd")</f>
        <v>Wed</v>
      </c>
    </row>
    <row r="625" spans="1:21" x14ac:dyDescent="0.35">
      <c r="A625" t="s">
        <v>108</v>
      </c>
      <c r="B625">
        <v>35</v>
      </c>
      <c r="C625">
        <v>65000</v>
      </c>
      <c r="D625" t="s">
        <v>11</v>
      </c>
      <c r="E625" t="s">
        <v>26</v>
      </c>
      <c r="F625" t="s">
        <v>20</v>
      </c>
      <c r="G625" s="3">
        <v>43845</v>
      </c>
      <c r="H625" t="str">
        <f>TEXT(tbl_HR_Data[[#This Row],[Joining Date]], "mmm")</f>
        <v>Jan</v>
      </c>
      <c r="I625" t="s">
        <v>95</v>
      </c>
      <c r="J625" t="s">
        <v>41</v>
      </c>
      <c r="K625" t="s">
        <v>77</v>
      </c>
      <c r="L625" t="s">
        <v>89</v>
      </c>
      <c r="M625">
        <f>IFERROR( _xlfn.XLOOKUP(TRIM(tbl_HR_Data[[#This Row],[Age]]),#REF!,#REF!), VALUE(TRIM(tbl_HR_Data[[#This Row],[Age]])))</f>
        <v>35</v>
      </c>
      <c r="N625" t="str">
        <f>IFERROR(_xlfn.XLOOKUP(tbl_HR_Data[[#This Row],[Gender]], Mapping[Gender _Discarded], Mapping[Gender_Correction]), PROPER(TRIM(tbl_HR_Data[[#This Row],[Gender]])))</f>
        <v>Male</v>
      </c>
      <c r="O625" t="str">
        <f>TRIM(tbl_HR_Data[[#This Row],[Position]])</f>
        <v>Director</v>
      </c>
      <c r="P625" t="str">
        <f>IFERROR(_xlfn.XLOOKUP(tbl_HR_Data[[#This Row],[Email]], Mapping[Email_Discarded], Mapping[Email_Correction]), LOWER(TRIM(tbl_HR_Data[[#This Row],[Email]])))</f>
        <v>not provided</v>
      </c>
      <c r="Q62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625" t="str" cm="1">
        <f t="array" ref="R625">_xlfn.REDUCE(Q625, {"-","/","_","\","(",")"}, _xlfn.LAMBDA(_xlpm.txt,_xlpm.itm, SUBSTITUTE(_xlpm.txt, _xlpm.itm, "")))</f>
        <v>5555555555</v>
      </c>
      <c r="S625" s="3">
        <f>IFERROR(_xlfn.XLOOKUP(tbl_HR_Data[[#This Row],[Joining Date]], Mapping[Joining_Discarded], Mapping[Joining_Correction]), VALUE(tbl_HR_Data[[#This Row],[Joining Date]]))</f>
        <v>43845</v>
      </c>
      <c r="T625" t="str">
        <f>TEXT(tbl_HR_Data[[#This Row],[Joining Date]], "mmm")</f>
        <v>Jan</v>
      </c>
      <c r="U625" t="str">
        <f>TEXT(tbl_HR_Data[[#This Row],[Joining Date]], "ddd")</f>
        <v>Wed</v>
      </c>
    </row>
    <row r="626" spans="1:21" x14ac:dyDescent="0.35">
      <c r="A626" t="s">
        <v>104</v>
      </c>
      <c r="B626">
        <v>35</v>
      </c>
      <c r="C626">
        <v>65000</v>
      </c>
      <c r="D626" t="s">
        <v>11</v>
      </c>
      <c r="E626" t="s">
        <v>19</v>
      </c>
      <c r="F626" t="s">
        <v>13</v>
      </c>
      <c r="G626" s="3">
        <v>43845</v>
      </c>
      <c r="H626" t="str">
        <f>TEXT(tbl_HR_Data[[#This Row],[Joining Date]], "mmm")</f>
        <v>Jan</v>
      </c>
      <c r="I626" t="s">
        <v>95</v>
      </c>
      <c r="J626" t="s">
        <v>14</v>
      </c>
      <c r="K626" t="s">
        <v>22</v>
      </c>
      <c r="L626" t="s">
        <v>89</v>
      </c>
      <c r="M626">
        <f>IFERROR( _xlfn.XLOOKUP(TRIM(tbl_HR_Data[[#This Row],[Age]]),#REF!,#REF!), VALUE(TRIM(tbl_HR_Data[[#This Row],[Age]])))</f>
        <v>35</v>
      </c>
      <c r="N626" t="str">
        <f>IFERROR(_xlfn.XLOOKUP(tbl_HR_Data[[#This Row],[Gender]], Mapping[Gender _Discarded], Mapping[Gender_Correction]), PROPER(TRIM(tbl_HR_Data[[#This Row],[Gender]])))</f>
        <v>Male</v>
      </c>
      <c r="O626" t="str">
        <f>TRIM(tbl_HR_Data[[#This Row],[Position]])</f>
        <v>Manager</v>
      </c>
      <c r="P626" t="str">
        <f>IFERROR(_xlfn.XLOOKUP(tbl_HR_Data[[#This Row],[Email]], Mapping[Email_Discarded], Mapping[Email_Correction]), LOWER(TRIM(tbl_HR_Data[[#This Row],[Email]])))</f>
        <v>user@domain.com</v>
      </c>
      <c r="Q62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626" t="str" cm="1">
        <f t="array" ref="R626">_xlfn.REDUCE(Q626, {"-","/","_","\","(",")"}, _xlfn.LAMBDA(_xlpm.txt,_xlpm.itm, SUBSTITUTE(_xlpm.txt, _xlpm.itm, "")))</f>
        <v>5555555555</v>
      </c>
      <c r="S626" s="3">
        <f>IFERROR(_xlfn.XLOOKUP(tbl_HR_Data[[#This Row],[Joining Date]], Mapping[Joining_Discarded], Mapping[Joining_Correction]), VALUE(tbl_HR_Data[[#This Row],[Joining Date]]))</f>
        <v>43845</v>
      </c>
      <c r="T626" t="str">
        <f>TEXT(tbl_HR_Data[[#This Row],[Joining Date]], "mmm")</f>
        <v>Jan</v>
      </c>
      <c r="U626" t="str">
        <f>TEXT(tbl_HR_Data[[#This Row],[Joining Date]], "ddd")</f>
        <v>Wed</v>
      </c>
    </row>
    <row r="627" spans="1:21" x14ac:dyDescent="0.35">
      <c r="A627" t="s">
        <v>107</v>
      </c>
      <c r="B627">
        <v>50</v>
      </c>
      <c r="C627">
        <v>70000</v>
      </c>
      <c r="D627" t="s">
        <v>18</v>
      </c>
      <c r="E627" t="s">
        <v>12</v>
      </c>
      <c r="F627" t="s">
        <v>44</v>
      </c>
      <c r="G627" s="3">
        <v>43845</v>
      </c>
      <c r="H627" t="str">
        <f>TEXT(tbl_HR_Data[[#This Row],[Joining Date]], "mmm")</f>
        <v>Jan</v>
      </c>
      <c r="I627" t="s">
        <v>95</v>
      </c>
      <c r="J627" t="s">
        <v>31</v>
      </c>
      <c r="K627" t="s">
        <v>77</v>
      </c>
      <c r="L627" t="s">
        <v>87</v>
      </c>
      <c r="M627">
        <f>IFERROR( _xlfn.XLOOKUP(TRIM(tbl_HR_Data[[#This Row],[Age]]),#REF!,#REF!), VALUE(TRIM(tbl_HR_Data[[#This Row],[Age]])))</f>
        <v>50</v>
      </c>
      <c r="N627" t="str">
        <f>IFERROR(_xlfn.XLOOKUP(tbl_HR_Data[[#This Row],[Gender]], Mapping[Gender _Discarded], Mapping[Gender_Correction]), PROPER(TRIM(tbl_HR_Data[[#This Row],[Gender]])))</f>
        <v>Female</v>
      </c>
      <c r="O627" t="str">
        <f>TRIM(tbl_HR_Data[[#This Row],[Position]])</f>
        <v>Analyst</v>
      </c>
      <c r="P627" t="str">
        <f>IFERROR(_xlfn.XLOOKUP(tbl_HR_Data[[#This Row],[Email]], Mapping[Email_Discarded], Mapping[Email_Correction]), LOWER(TRIM(tbl_HR_Data[[#This Row],[Email]])))</f>
        <v>not provided</v>
      </c>
      <c r="Q62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627" t="str" cm="1">
        <f t="array" ref="R627">_xlfn.REDUCE(Q627, {"-","/","_","\","(",")"}, _xlfn.LAMBDA(_xlpm.txt,_xlpm.itm, SUBSTITUTE(_xlpm.txt, _xlpm.itm, "")))</f>
        <v>1234567890</v>
      </c>
      <c r="S627" s="3">
        <f>IFERROR(_xlfn.XLOOKUP(tbl_HR_Data[[#This Row],[Joining Date]], Mapping[Joining_Discarded], Mapping[Joining_Correction]), VALUE(tbl_HR_Data[[#This Row],[Joining Date]]))</f>
        <v>43845</v>
      </c>
      <c r="T627" t="str">
        <f>TEXT(tbl_HR_Data[[#This Row],[Joining Date]], "mmm")</f>
        <v>Jan</v>
      </c>
      <c r="U627" t="str">
        <f>TEXT(tbl_HR_Data[[#This Row],[Joining Date]], "ddd")</f>
        <v>Wed</v>
      </c>
    </row>
    <row r="628" spans="1:21" x14ac:dyDescent="0.35">
      <c r="A628" t="s">
        <v>101</v>
      </c>
      <c r="B628">
        <v>0</v>
      </c>
      <c r="C628">
        <v>50000</v>
      </c>
      <c r="D628" t="s">
        <v>11</v>
      </c>
      <c r="E628" t="s">
        <v>19</v>
      </c>
      <c r="F628" t="s">
        <v>20</v>
      </c>
      <c r="G628" s="3">
        <v>43845</v>
      </c>
      <c r="H628" t="str">
        <f>TEXT(tbl_HR_Data[[#This Row],[Joining Date]], "mmm")</f>
        <v>Jan</v>
      </c>
      <c r="I628" t="s">
        <v>95</v>
      </c>
      <c r="J628" t="s">
        <v>41</v>
      </c>
      <c r="K628" t="s">
        <v>22</v>
      </c>
      <c r="L628" t="s">
        <v>77</v>
      </c>
      <c r="M628">
        <f>IFERROR( _xlfn.XLOOKUP(TRIM(tbl_HR_Data[[#This Row],[Age]]),#REF!,#REF!), VALUE(TRIM(tbl_HR_Data[[#This Row],[Age]])))</f>
        <v>0</v>
      </c>
      <c r="N628" t="str">
        <f>IFERROR(_xlfn.XLOOKUP(tbl_HR_Data[[#This Row],[Gender]], Mapping[Gender _Discarded], Mapping[Gender_Correction]), PROPER(TRIM(tbl_HR_Data[[#This Row],[Gender]])))</f>
        <v>Male</v>
      </c>
      <c r="O628" t="str">
        <f>TRIM(tbl_HR_Data[[#This Row],[Position]])</f>
        <v>Director</v>
      </c>
      <c r="P628" t="str">
        <f>IFERROR(_xlfn.XLOOKUP(tbl_HR_Data[[#This Row],[Email]], Mapping[Email_Discarded], Mapping[Email_Correction]), LOWER(TRIM(tbl_HR_Data[[#This Row],[Email]])))</f>
        <v>user@domain.com</v>
      </c>
      <c r="Q62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28" t="str" cm="1">
        <f t="array" ref="R628">_xlfn.REDUCE(Q628, {"-","/","_","\","(",")"}, _xlfn.LAMBDA(_xlpm.txt,_xlpm.itm, SUBSTITUTE(_xlpm.txt, _xlpm.itm, "")))</f>
        <v>Not Provided</v>
      </c>
      <c r="S628" s="3">
        <f>IFERROR(_xlfn.XLOOKUP(tbl_HR_Data[[#This Row],[Joining Date]], Mapping[Joining_Discarded], Mapping[Joining_Correction]), VALUE(tbl_HR_Data[[#This Row],[Joining Date]]))</f>
        <v>43845</v>
      </c>
      <c r="T628" t="str">
        <f>TEXT(tbl_HR_Data[[#This Row],[Joining Date]], "mmm")</f>
        <v>Jan</v>
      </c>
      <c r="U628" t="str">
        <f>TEXT(tbl_HR_Data[[#This Row],[Joining Date]], "ddd")</f>
        <v>Wed</v>
      </c>
    </row>
    <row r="629" spans="1:21" x14ac:dyDescent="0.35">
      <c r="A629" t="s">
        <v>99</v>
      </c>
      <c r="B629">
        <v>50</v>
      </c>
      <c r="C629">
        <v>70000</v>
      </c>
      <c r="D629" t="s">
        <v>18</v>
      </c>
      <c r="E629" t="s">
        <v>30</v>
      </c>
      <c r="F629" t="s">
        <v>13</v>
      </c>
      <c r="G629" s="3">
        <v>43845</v>
      </c>
      <c r="H629" t="str">
        <f>TEXT(tbl_HR_Data[[#This Row],[Joining Date]], "mmm")</f>
        <v>Jan</v>
      </c>
      <c r="I629" t="s">
        <v>95</v>
      </c>
      <c r="J629" t="s">
        <v>14</v>
      </c>
      <c r="K629" t="s">
        <v>77</v>
      </c>
      <c r="L629" t="s">
        <v>87</v>
      </c>
      <c r="M629">
        <f>IFERROR( _xlfn.XLOOKUP(TRIM(tbl_HR_Data[[#This Row],[Age]]),#REF!,#REF!), VALUE(TRIM(tbl_HR_Data[[#This Row],[Age]])))</f>
        <v>50</v>
      </c>
      <c r="N629" t="str">
        <f>IFERROR(_xlfn.XLOOKUP(tbl_HR_Data[[#This Row],[Gender]], Mapping[Gender _Discarded], Mapping[Gender_Correction]), PROPER(TRIM(tbl_HR_Data[[#This Row],[Gender]])))</f>
        <v>Female</v>
      </c>
      <c r="O629" t="str">
        <f>TRIM(tbl_HR_Data[[#This Row],[Position]])</f>
        <v>Manager</v>
      </c>
      <c r="P629" t="str">
        <f>IFERROR(_xlfn.XLOOKUP(tbl_HR_Data[[#This Row],[Email]], Mapping[Email_Discarded], Mapping[Email_Correction]), LOWER(TRIM(tbl_HR_Data[[#This Row],[Email]])))</f>
        <v>not provided</v>
      </c>
      <c r="Q62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629" t="str" cm="1">
        <f t="array" ref="R629">_xlfn.REDUCE(Q629, {"-","/","_","\","(",")"}, _xlfn.LAMBDA(_xlpm.txt,_xlpm.itm, SUBSTITUTE(_xlpm.txt, _xlpm.itm, "")))</f>
        <v>1234567890</v>
      </c>
      <c r="S629" s="3">
        <f>IFERROR(_xlfn.XLOOKUP(tbl_HR_Data[[#This Row],[Joining Date]], Mapping[Joining_Discarded], Mapping[Joining_Correction]), VALUE(tbl_HR_Data[[#This Row],[Joining Date]]))</f>
        <v>43845</v>
      </c>
      <c r="T629" t="str">
        <f>TEXT(tbl_HR_Data[[#This Row],[Joining Date]], "mmm")</f>
        <v>Jan</v>
      </c>
      <c r="U629" t="str">
        <f>TEXT(tbl_HR_Data[[#This Row],[Joining Date]], "ddd")</f>
        <v>Wed</v>
      </c>
    </row>
    <row r="630" spans="1:21" x14ac:dyDescent="0.35">
      <c r="A630" t="s">
        <v>106</v>
      </c>
      <c r="B630">
        <v>35</v>
      </c>
      <c r="C630">
        <v>0</v>
      </c>
      <c r="D630" t="s">
        <v>11</v>
      </c>
      <c r="E630" t="s">
        <v>37</v>
      </c>
      <c r="F630" t="s">
        <v>13</v>
      </c>
      <c r="G630" s="3">
        <v>43845</v>
      </c>
      <c r="H630" t="str">
        <f>TEXT(tbl_HR_Data[[#This Row],[Joining Date]], "mmm")</f>
        <v>Jan</v>
      </c>
      <c r="I630" t="s">
        <v>95</v>
      </c>
      <c r="J630" t="s">
        <v>14</v>
      </c>
      <c r="K630" t="s">
        <v>22</v>
      </c>
      <c r="L630" t="s">
        <v>88</v>
      </c>
      <c r="M630">
        <f>IFERROR( _xlfn.XLOOKUP(TRIM(tbl_HR_Data[[#This Row],[Age]]),#REF!,#REF!), VALUE(TRIM(tbl_HR_Data[[#This Row],[Age]])))</f>
        <v>35</v>
      </c>
      <c r="N630" t="str">
        <f>IFERROR(_xlfn.XLOOKUP(tbl_HR_Data[[#This Row],[Gender]], Mapping[Gender _Discarded], Mapping[Gender_Correction]), PROPER(TRIM(tbl_HR_Data[[#This Row],[Gender]])))</f>
        <v>Male</v>
      </c>
      <c r="O630" t="str">
        <f>TRIM(tbl_HR_Data[[#This Row],[Position]])</f>
        <v>Manager</v>
      </c>
      <c r="P630" t="str">
        <f>IFERROR(_xlfn.XLOOKUP(tbl_HR_Data[[#This Row],[Email]], Mapping[Email_Discarded], Mapping[Email_Correction]), LOWER(TRIM(tbl_HR_Data[[#This Row],[Email]])))</f>
        <v>user@domain.com</v>
      </c>
      <c r="Q63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630" t="str" cm="1">
        <f t="array" ref="R630">_xlfn.REDUCE(Q630, {"-","/","_","\","(",")"}, _xlfn.LAMBDA(_xlpm.txt,_xlpm.itm, SUBSTITUTE(_xlpm.txt, _xlpm.itm, "")))</f>
        <v>0987654321</v>
      </c>
      <c r="S630" s="3">
        <f>IFERROR(_xlfn.XLOOKUP(tbl_HR_Data[[#This Row],[Joining Date]], Mapping[Joining_Discarded], Mapping[Joining_Correction]), VALUE(tbl_HR_Data[[#This Row],[Joining Date]]))</f>
        <v>43845</v>
      </c>
      <c r="T630" t="str">
        <f>TEXT(tbl_HR_Data[[#This Row],[Joining Date]], "mmm")</f>
        <v>Jan</v>
      </c>
      <c r="U630" t="str">
        <f>TEXT(tbl_HR_Data[[#This Row],[Joining Date]], "ddd")</f>
        <v>Wed</v>
      </c>
    </row>
    <row r="631" spans="1:21" x14ac:dyDescent="0.35">
      <c r="A631" t="s">
        <v>105</v>
      </c>
      <c r="B631">
        <v>30</v>
      </c>
      <c r="C631">
        <v>70000</v>
      </c>
      <c r="D631" t="s">
        <v>11</v>
      </c>
      <c r="E631" t="s">
        <v>37</v>
      </c>
      <c r="F631" t="s">
        <v>13</v>
      </c>
      <c r="G631" s="3">
        <v>43845</v>
      </c>
      <c r="H631" t="str">
        <f>TEXT(tbl_HR_Data[[#This Row],[Joining Date]], "mmm")</f>
        <v>Jan</v>
      </c>
      <c r="I631" t="s">
        <v>95</v>
      </c>
      <c r="J631" t="s">
        <v>31</v>
      </c>
      <c r="K631" t="s">
        <v>77</v>
      </c>
      <c r="L631" t="s">
        <v>88</v>
      </c>
      <c r="M631">
        <f>IFERROR( _xlfn.XLOOKUP(TRIM(tbl_HR_Data[[#This Row],[Age]]),#REF!,#REF!), VALUE(TRIM(tbl_HR_Data[[#This Row],[Age]])))</f>
        <v>30</v>
      </c>
      <c r="N631" t="str">
        <f>IFERROR(_xlfn.XLOOKUP(tbl_HR_Data[[#This Row],[Gender]], Mapping[Gender _Discarded], Mapping[Gender_Correction]), PROPER(TRIM(tbl_HR_Data[[#This Row],[Gender]])))</f>
        <v>Male</v>
      </c>
      <c r="O631" t="str">
        <f>TRIM(tbl_HR_Data[[#This Row],[Position]])</f>
        <v>Manager</v>
      </c>
      <c r="P631" t="str">
        <f>IFERROR(_xlfn.XLOOKUP(tbl_HR_Data[[#This Row],[Email]], Mapping[Email_Discarded], Mapping[Email_Correction]), LOWER(TRIM(tbl_HR_Data[[#This Row],[Email]])))</f>
        <v>not provided</v>
      </c>
      <c r="Q63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631" t="str" cm="1">
        <f t="array" ref="R631">_xlfn.REDUCE(Q631, {"-","/","_","\","(",")"}, _xlfn.LAMBDA(_xlpm.txt,_xlpm.itm, SUBSTITUTE(_xlpm.txt, _xlpm.itm, "")))</f>
        <v>0987654321</v>
      </c>
      <c r="S631" s="3">
        <f>IFERROR(_xlfn.XLOOKUP(tbl_HR_Data[[#This Row],[Joining Date]], Mapping[Joining_Discarded], Mapping[Joining_Correction]), VALUE(tbl_HR_Data[[#This Row],[Joining Date]]))</f>
        <v>43845</v>
      </c>
      <c r="T631" t="str">
        <f>TEXT(tbl_HR_Data[[#This Row],[Joining Date]], "mmm")</f>
        <v>Jan</v>
      </c>
      <c r="U631" t="str">
        <f>TEXT(tbl_HR_Data[[#This Row],[Joining Date]], "ddd")</f>
        <v>Wed</v>
      </c>
    </row>
    <row r="632" spans="1:21" x14ac:dyDescent="0.35">
      <c r="A632" t="s">
        <v>104</v>
      </c>
      <c r="B632">
        <v>30</v>
      </c>
      <c r="C632">
        <v>55000</v>
      </c>
      <c r="D632" t="s">
        <v>36</v>
      </c>
      <c r="E632" t="s">
        <v>19</v>
      </c>
      <c r="F632" t="s">
        <v>44</v>
      </c>
      <c r="G632" s="3">
        <v>43845</v>
      </c>
      <c r="H632" t="str">
        <f>TEXT(tbl_HR_Data[[#This Row],[Joining Date]], "mmm")</f>
        <v>Jan</v>
      </c>
      <c r="I632" t="s">
        <v>95</v>
      </c>
      <c r="J632" t="s">
        <v>41</v>
      </c>
      <c r="K632" t="s">
        <v>77</v>
      </c>
      <c r="L632" t="s">
        <v>77</v>
      </c>
      <c r="M632">
        <f>IFERROR( _xlfn.XLOOKUP(TRIM(tbl_HR_Data[[#This Row],[Age]]),#REF!,#REF!), VALUE(TRIM(tbl_HR_Data[[#This Row],[Age]])))</f>
        <v>30</v>
      </c>
      <c r="N632" t="str">
        <f>IFERROR(_xlfn.XLOOKUP(tbl_HR_Data[[#This Row],[Gender]], Mapping[Gender _Discarded], Mapping[Gender_Correction]), PROPER(TRIM(tbl_HR_Data[[#This Row],[Gender]])))</f>
        <v>Other</v>
      </c>
      <c r="O632" t="str">
        <f>TRIM(tbl_HR_Data[[#This Row],[Position]])</f>
        <v>Analyst</v>
      </c>
      <c r="P632" t="str">
        <f>IFERROR(_xlfn.XLOOKUP(tbl_HR_Data[[#This Row],[Email]], Mapping[Email_Discarded], Mapping[Email_Correction]), LOWER(TRIM(tbl_HR_Data[[#This Row],[Email]])))</f>
        <v>not provided</v>
      </c>
      <c r="Q63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32" t="str" cm="1">
        <f t="array" ref="R632">_xlfn.REDUCE(Q632, {"-","/","_","\","(",")"}, _xlfn.LAMBDA(_xlpm.txt,_xlpm.itm, SUBSTITUTE(_xlpm.txt, _xlpm.itm, "")))</f>
        <v>Not Provided</v>
      </c>
      <c r="S632" s="3">
        <f>IFERROR(_xlfn.XLOOKUP(tbl_HR_Data[[#This Row],[Joining Date]], Mapping[Joining_Discarded], Mapping[Joining_Correction]), VALUE(tbl_HR_Data[[#This Row],[Joining Date]]))</f>
        <v>43845</v>
      </c>
      <c r="T632" t="str">
        <f>TEXT(tbl_HR_Data[[#This Row],[Joining Date]], "mmm")</f>
        <v>Jan</v>
      </c>
      <c r="U632" t="str">
        <f>TEXT(tbl_HR_Data[[#This Row],[Joining Date]], "ddd")</f>
        <v>Wed</v>
      </c>
    </row>
    <row r="633" spans="1:21" x14ac:dyDescent="0.35">
      <c r="A633" t="s">
        <v>101</v>
      </c>
      <c r="B633">
        <v>0</v>
      </c>
      <c r="C633">
        <v>0</v>
      </c>
      <c r="D633" t="s">
        <v>11</v>
      </c>
      <c r="E633" t="s">
        <v>19</v>
      </c>
      <c r="F633" t="s">
        <v>13</v>
      </c>
      <c r="G633" s="3">
        <v>43845</v>
      </c>
      <c r="H633" t="str">
        <f>TEXT(tbl_HR_Data[[#This Row],[Joining Date]], "mmm")</f>
        <v>Jan</v>
      </c>
      <c r="I633" t="s">
        <v>95</v>
      </c>
      <c r="J633" t="s">
        <v>27</v>
      </c>
      <c r="K633" t="s">
        <v>22</v>
      </c>
      <c r="L633" t="s">
        <v>77</v>
      </c>
      <c r="M633">
        <f>IFERROR( _xlfn.XLOOKUP(TRIM(tbl_HR_Data[[#This Row],[Age]]),#REF!,#REF!), VALUE(TRIM(tbl_HR_Data[[#This Row],[Age]])))</f>
        <v>0</v>
      </c>
      <c r="N633" t="str">
        <f>IFERROR(_xlfn.XLOOKUP(tbl_HR_Data[[#This Row],[Gender]], Mapping[Gender _Discarded], Mapping[Gender_Correction]), PROPER(TRIM(tbl_HR_Data[[#This Row],[Gender]])))</f>
        <v>Male</v>
      </c>
      <c r="O633" t="str">
        <f>TRIM(tbl_HR_Data[[#This Row],[Position]])</f>
        <v>Manager</v>
      </c>
      <c r="P633" t="str">
        <f>IFERROR(_xlfn.XLOOKUP(tbl_HR_Data[[#This Row],[Email]], Mapping[Email_Discarded], Mapping[Email_Correction]), LOWER(TRIM(tbl_HR_Data[[#This Row],[Email]])))</f>
        <v>user@domain.com</v>
      </c>
      <c r="Q63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33" t="str" cm="1">
        <f t="array" ref="R633">_xlfn.REDUCE(Q633, {"-","/","_","\","(",")"}, _xlfn.LAMBDA(_xlpm.txt,_xlpm.itm, SUBSTITUTE(_xlpm.txt, _xlpm.itm, "")))</f>
        <v>Not Provided</v>
      </c>
      <c r="S633" s="3">
        <f>IFERROR(_xlfn.XLOOKUP(tbl_HR_Data[[#This Row],[Joining Date]], Mapping[Joining_Discarded], Mapping[Joining_Correction]), VALUE(tbl_HR_Data[[#This Row],[Joining Date]]))</f>
        <v>43845</v>
      </c>
      <c r="T633" t="str">
        <f>TEXT(tbl_HR_Data[[#This Row],[Joining Date]], "mmm")</f>
        <v>Jan</v>
      </c>
      <c r="U633" t="str">
        <f>TEXT(tbl_HR_Data[[#This Row],[Joining Date]], "ddd")</f>
        <v>Wed</v>
      </c>
    </row>
    <row r="634" spans="1:21" x14ac:dyDescent="0.35">
      <c r="A634" t="s">
        <v>102</v>
      </c>
      <c r="B634">
        <v>40</v>
      </c>
      <c r="C634">
        <v>55000</v>
      </c>
      <c r="D634" t="s">
        <v>11</v>
      </c>
      <c r="E634" t="s">
        <v>19</v>
      </c>
      <c r="F634" t="s">
        <v>44</v>
      </c>
      <c r="G634" s="3">
        <v>43845</v>
      </c>
      <c r="H634" t="str">
        <f>TEXT(tbl_HR_Data[[#This Row],[Joining Date]], "mmm")</f>
        <v>Jan</v>
      </c>
      <c r="I634" t="s">
        <v>95</v>
      </c>
      <c r="J634" t="s">
        <v>41</v>
      </c>
      <c r="K634" t="s">
        <v>32</v>
      </c>
      <c r="L634" t="s">
        <v>77</v>
      </c>
      <c r="M634">
        <f>IFERROR( _xlfn.XLOOKUP(TRIM(tbl_HR_Data[[#This Row],[Age]]),#REF!,#REF!), VALUE(TRIM(tbl_HR_Data[[#This Row],[Age]])))</f>
        <v>40</v>
      </c>
      <c r="N634" t="str">
        <f>IFERROR(_xlfn.XLOOKUP(tbl_HR_Data[[#This Row],[Gender]], Mapping[Gender _Discarded], Mapping[Gender_Correction]), PROPER(TRIM(tbl_HR_Data[[#This Row],[Gender]])))</f>
        <v>Male</v>
      </c>
      <c r="O634" t="str">
        <f>TRIM(tbl_HR_Data[[#This Row],[Position]])</f>
        <v>Analyst</v>
      </c>
      <c r="P634" t="str">
        <f>IFERROR(_xlfn.XLOOKUP(tbl_HR_Data[[#This Row],[Email]], Mapping[Email_Discarded], Mapping[Email_Correction]), LOWER(TRIM(tbl_HR_Data[[#This Row],[Email]])))</f>
        <v>name@company.org</v>
      </c>
      <c r="Q63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34" t="str" cm="1">
        <f t="array" ref="R634">_xlfn.REDUCE(Q634, {"-","/","_","\","(",")"}, _xlfn.LAMBDA(_xlpm.txt,_xlpm.itm, SUBSTITUTE(_xlpm.txt, _xlpm.itm, "")))</f>
        <v>Not Provided</v>
      </c>
      <c r="S634" s="3">
        <f>IFERROR(_xlfn.XLOOKUP(tbl_HR_Data[[#This Row],[Joining Date]], Mapping[Joining_Discarded], Mapping[Joining_Correction]), VALUE(tbl_HR_Data[[#This Row],[Joining Date]]))</f>
        <v>43845</v>
      </c>
      <c r="T634" t="str">
        <f>TEXT(tbl_HR_Data[[#This Row],[Joining Date]], "mmm")</f>
        <v>Jan</v>
      </c>
      <c r="U634" t="str">
        <f>TEXT(tbl_HR_Data[[#This Row],[Joining Date]], "ddd")</f>
        <v>Wed</v>
      </c>
    </row>
    <row r="635" spans="1:21" x14ac:dyDescent="0.35">
      <c r="A635" t="s">
        <v>104</v>
      </c>
      <c r="B635">
        <v>35</v>
      </c>
      <c r="C635">
        <v>50000</v>
      </c>
      <c r="D635" t="s">
        <v>18</v>
      </c>
      <c r="E635" t="s">
        <v>12</v>
      </c>
      <c r="F635" t="s">
        <v>13</v>
      </c>
      <c r="G635" s="3">
        <v>43845</v>
      </c>
      <c r="H635" t="str">
        <f>TEXT(tbl_HR_Data[[#This Row],[Joining Date]], "mmm")</f>
        <v>Jan</v>
      </c>
      <c r="I635" t="s">
        <v>95</v>
      </c>
      <c r="J635" t="s">
        <v>27</v>
      </c>
      <c r="K635" t="s">
        <v>22</v>
      </c>
      <c r="L635" t="s">
        <v>77</v>
      </c>
      <c r="M635">
        <f>IFERROR( _xlfn.XLOOKUP(TRIM(tbl_HR_Data[[#This Row],[Age]]),#REF!,#REF!), VALUE(TRIM(tbl_HR_Data[[#This Row],[Age]])))</f>
        <v>35</v>
      </c>
      <c r="N635" t="str">
        <f>IFERROR(_xlfn.XLOOKUP(tbl_HR_Data[[#This Row],[Gender]], Mapping[Gender _Discarded], Mapping[Gender_Correction]), PROPER(TRIM(tbl_HR_Data[[#This Row],[Gender]])))</f>
        <v>Female</v>
      </c>
      <c r="O635" t="str">
        <f>TRIM(tbl_HR_Data[[#This Row],[Position]])</f>
        <v>Manager</v>
      </c>
      <c r="P635" t="str">
        <f>IFERROR(_xlfn.XLOOKUP(tbl_HR_Data[[#This Row],[Email]], Mapping[Email_Discarded], Mapping[Email_Correction]), LOWER(TRIM(tbl_HR_Data[[#This Row],[Email]])))</f>
        <v>user@domain.com</v>
      </c>
      <c r="Q63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35" t="str" cm="1">
        <f t="array" ref="R635">_xlfn.REDUCE(Q635, {"-","/","_","\","(",")"}, _xlfn.LAMBDA(_xlpm.txt,_xlpm.itm, SUBSTITUTE(_xlpm.txt, _xlpm.itm, "")))</f>
        <v>Not Provided</v>
      </c>
      <c r="S635" s="3">
        <f>IFERROR(_xlfn.XLOOKUP(tbl_HR_Data[[#This Row],[Joining Date]], Mapping[Joining_Discarded], Mapping[Joining_Correction]), VALUE(tbl_HR_Data[[#This Row],[Joining Date]]))</f>
        <v>43845</v>
      </c>
      <c r="T635" t="str">
        <f>TEXT(tbl_HR_Data[[#This Row],[Joining Date]], "mmm")</f>
        <v>Jan</v>
      </c>
      <c r="U635" t="str">
        <f>TEXT(tbl_HR_Data[[#This Row],[Joining Date]], "ddd")</f>
        <v>Wed</v>
      </c>
    </row>
    <row r="636" spans="1:21" x14ac:dyDescent="0.35">
      <c r="A636" t="s">
        <v>101</v>
      </c>
      <c r="B636">
        <v>25</v>
      </c>
      <c r="C636">
        <v>0</v>
      </c>
      <c r="D636" t="s">
        <v>36</v>
      </c>
      <c r="E636" t="s">
        <v>37</v>
      </c>
      <c r="F636" t="s">
        <v>43</v>
      </c>
      <c r="G636" s="3">
        <v>43845</v>
      </c>
      <c r="H636" t="str">
        <f>TEXT(tbl_HR_Data[[#This Row],[Joining Date]], "mmm")</f>
        <v>Jan</v>
      </c>
      <c r="I636" t="s">
        <v>95</v>
      </c>
      <c r="J636" t="s">
        <v>21</v>
      </c>
      <c r="K636" t="s">
        <v>32</v>
      </c>
      <c r="L636" t="s">
        <v>77</v>
      </c>
      <c r="M636">
        <f>IFERROR( _xlfn.XLOOKUP(TRIM(tbl_HR_Data[[#This Row],[Age]]),#REF!,#REF!), VALUE(TRIM(tbl_HR_Data[[#This Row],[Age]])))</f>
        <v>25</v>
      </c>
      <c r="N636" t="str">
        <f>IFERROR(_xlfn.XLOOKUP(tbl_HR_Data[[#This Row],[Gender]], Mapping[Gender _Discarded], Mapping[Gender_Correction]), PROPER(TRIM(tbl_HR_Data[[#This Row],[Gender]])))</f>
        <v>Other</v>
      </c>
      <c r="O636" t="str">
        <f>TRIM(tbl_HR_Data[[#This Row],[Position]])</f>
        <v>Assistant</v>
      </c>
      <c r="P636" t="str">
        <f>IFERROR(_xlfn.XLOOKUP(tbl_HR_Data[[#This Row],[Email]], Mapping[Email_Discarded], Mapping[Email_Correction]), LOWER(TRIM(tbl_HR_Data[[#This Row],[Email]])))</f>
        <v>name@company.org</v>
      </c>
      <c r="Q63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36" t="str" cm="1">
        <f t="array" ref="R636">_xlfn.REDUCE(Q636, {"-","/","_","\","(",")"}, _xlfn.LAMBDA(_xlpm.txt,_xlpm.itm, SUBSTITUTE(_xlpm.txt, _xlpm.itm, "")))</f>
        <v>Not Provided</v>
      </c>
      <c r="S636" s="3">
        <f>IFERROR(_xlfn.XLOOKUP(tbl_HR_Data[[#This Row],[Joining Date]], Mapping[Joining_Discarded], Mapping[Joining_Correction]), VALUE(tbl_HR_Data[[#This Row],[Joining Date]]))</f>
        <v>43845</v>
      </c>
      <c r="T636" t="str">
        <f>TEXT(tbl_HR_Data[[#This Row],[Joining Date]], "mmm")</f>
        <v>Jan</v>
      </c>
      <c r="U636" t="str">
        <f>TEXT(tbl_HR_Data[[#This Row],[Joining Date]], "ddd")</f>
        <v>Wed</v>
      </c>
    </row>
    <row r="637" spans="1:21" x14ac:dyDescent="0.35">
      <c r="A637" t="s">
        <v>99</v>
      </c>
      <c r="B637">
        <v>35</v>
      </c>
      <c r="C637">
        <v>0</v>
      </c>
      <c r="D637" t="s">
        <v>36</v>
      </c>
      <c r="E637" t="s">
        <v>19</v>
      </c>
      <c r="F637" t="s">
        <v>39</v>
      </c>
      <c r="G637" s="3">
        <v>43845</v>
      </c>
      <c r="H637" t="str">
        <f>TEXT(tbl_HR_Data[[#This Row],[Joining Date]], "mmm")</f>
        <v>Jan</v>
      </c>
      <c r="I637" t="s">
        <v>95</v>
      </c>
      <c r="J637" t="s">
        <v>27</v>
      </c>
      <c r="K637" t="s">
        <v>32</v>
      </c>
      <c r="L637" t="s">
        <v>77</v>
      </c>
      <c r="M637">
        <f>IFERROR( _xlfn.XLOOKUP(TRIM(tbl_HR_Data[[#This Row],[Age]]),#REF!,#REF!), VALUE(TRIM(tbl_HR_Data[[#This Row],[Age]])))</f>
        <v>35</v>
      </c>
      <c r="N637" t="str">
        <f>IFERROR(_xlfn.XLOOKUP(tbl_HR_Data[[#This Row],[Gender]], Mapping[Gender _Discarded], Mapping[Gender_Correction]), PROPER(TRIM(tbl_HR_Data[[#This Row],[Gender]])))</f>
        <v>Other</v>
      </c>
      <c r="O637" t="str">
        <f>TRIM(tbl_HR_Data[[#This Row],[Position]])</f>
        <v>Clerk</v>
      </c>
      <c r="P637" t="str">
        <f>IFERROR(_xlfn.XLOOKUP(tbl_HR_Data[[#This Row],[Email]], Mapping[Email_Discarded], Mapping[Email_Correction]), LOWER(TRIM(tbl_HR_Data[[#This Row],[Email]])))</f>
        <v>name@company.org</v>
      </c>
      <c r="Q63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37" t="str" cm="1">
        <f t="array" ref="R637">_xlfn.REDUCE(Q637, {"-","/","_","\","(",")"}, _xlfn.LAMBDA(_xlpm.txt,_xlpm.itm, SUBSTITUTE(_xlpm.txt, _xlpm.itm, "")))</f>
        <v>Not Provided</v>
      </c>
      <c r="S637" s="3">
        <f>IFERROR(_xlfn.XLOOKUP(tbl_HR_Data[[#This Row],[Joining Date]], Mapping[Joining_Discarded], Mapping[Joining_Correction]), VALUE(tbl_HR_Data[[#This Row],[Joining Date]]))</f>
        <v>43845</v>
      </c>
      <c r="T637" t="str">
        <f>TEXT(tbl_HR_Data[[#This Row],[Joining Date]], "mmm")</f>
        <v>Jan</v>
      </c>
      <c r="U637" t="str">
        <f>TEXT(tbl_HR_Data[[#This Row],[Joining Date]], "ddd")</f>
        <v>Wed</v>
      </c>
    </row>
    <row r="638" spans="1:21" x14ac:dyDescent="0.35">
      <c r="A638" t="s">
        <v>103</v>
      </c>
      <c r="B638">
        <v>25</v>
      </c>
      <c r="C638">
        <v>0</v>
      </c>
      <c r="D638" t="s">
        <v>36</v>
      </c>
      <c r="E638" t="s">
        <v>37</v>
      </c>
      <c r="F638" t="s">
        <v>43</v>
      </c>
      <c r="G638" s="3">
        <v>43845</v>
      </c>
      <c r="H638" t="str">
        <f>TEXT(tbl_HR_Data[[#This Row],[Joining Date]], "mmm")</f>
        <v>Jan</v>
      </c>
      <c r="I638" t="s">
        <v>95</v>
      </c>
      <c r="J638" t="s">
        <v>27</v>
      </c>
      <c r="K638" t="s">
        <v>15</v>
      </c>
      <c r="L638" t="s">
        <v>89</v>
      </c>
      <c r="M638">
        <f>IFERROR( _xlfn.XLOOKUP(TRIM(tbl_HR_Data[[#This Row],[Age]]),#REF!,#REF!), VALUE(TRIM(tbl_HR_Data[[#This Row],[Age]])))</f>
        <v>25</v>
      </c>
      <c r="N638" t="str">
        <f>IFERROR(_xlfn.XLOOKUP(tbl_HR_Data[[#This Row],[Gender]], Mapping[Gender _Discarded], Mapping[Gender_Correction]), PROPER(TRIM(tbl_HR_Data[[#This Row],[Gender]])))</f>
        <v>Other</v>
      </c>
      <c r="O638" t="str">
        <f>TRIM(tbl_HR_Data[[#This Row],[Position]])</f>
        <v>Assistant</v>
      </c>
      <c r="P638" t="str">
        <f>IFERROR(_xlfn.XLOOKUP(tbl_HR_Data[[#This Row],[Email]], Mapping[Email_Discarded], Mapping[Email_Correction]), LOWER(TRIM(tbl_HR_Data[[#This Row],[Email]])))</f>
        <v>email@example.com</v>
      </c>
      <c r="Q63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638" t="str" cm="1">
        <f t="array" ref="R638">_xlfn.REDUCE(Q638, {"-","/","_","\","(",")"}, _xlfn.LAMBDA(_xlpm.txt,_xlpm.itm, SUBSTITUTE(_xlpm.txt, _xlpm.itm, "")))</f>
        <v>5555555555</v>
      </c>
      <c r="S638" s="3">
        <f>IFERROR(_xlfn.XLOOKUP(tbl_HR_Data[[#This Row],[Joining Date]], Mapping[Joining_Discarded], Mapping[Joining_Correction]), VALUE(tbl_HR_Data[[#This Row],[Joining Date]]))</f>
        <v>43845</v>
      </c>
      <c r="T638" t="str">
        <f>TEXT(tbl_HR_Data[[#This Row],[Joining Date]], "mmm")</f>
        <v>Jan</v>
      </c>
      <c r="U638" t="str">
        <f>TEXT(tbl_HR_Data[[#This Row],[Joining Date]], "ddd")</f>
        <v>Wed</v>
      </c>
    </row>
    <row r="639" spans="1:21" x14ac:dyDescent="0.35">
      <c r="A639" t="s">
        <v>103</v>
      </c>
      <c r="B639">
        <v>30</v>
      </c>
      <c r="C639">
        <v>55000</v>
      </c>
      <c r="D639" t="s">
        <v>36</v>
      </c>
      <c r="E639" t="s">
        <v>12</v>
      </c>
      <c r="F639" t="s">
        <v>13</v>
      </c>
      <c r="G639" s="3">
        <v>43845</v>
      </c>
      <c r="H639" t="str">
        <f>TEXT(tbl_HR_Data[[#This Row],[Joining Date]], "mmm")</f>
        <v>Jan</v>
      </c>
      <c r="I639" t="s">
        <v>95</v>
      </c>
      <c r="J639" t="s">
        <v>21</v>
      </c>
      <c r="K639" t="s">
        <v>15</v>
      </c>
      <c r="L639" t="s">
        <v>87</v>
      </c>
      <c r="M639">
        <f>IFERROR( _xlfn.XLOOKUP(TRIM(tbl_HR_Data[[#This Row],[Age]]),#REF!,#REF!), VALUE(TRIM(tbl_HR_Data[[#This Row],[Age]])))</f>
        <v>30</v>
      </c>
      <c r="N639" t="str">
        <f>IFERROR(_xlfn.XLOOKUP(tbl_HR_Data[[#This Row],[Gender]], Mapping[Gender _Discarded], Mapping[Gender_Correction]), PROPER(TRIM(tbl_HR_Data[[#This Row],[Gender]])))</f>
        <v>Other</v>
      </c>
      <c r="O639" t="str">
        <f>TRIM(tbl_HR_Data[[#This Row],[Position]])</f>
        <v>Manager</v>
      </c>
      <c r="P639" t="str">
        <f>IFERROR(_xlfn.XLOOKUP(tbl_HR_Data[[#This Row],[Email]], Mapping[Email_Discarded], Mapping[Email_Correction]), LOWER(TRIM(tbl_HR_Data[[#This Row],[Email]])))</f>
        <v>email@example.com</v>
      </c>
      <c r="Q63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639" t="str" cm="1">
        <f t="array" ref="R639">_xlfn.REDUCE(Q639, {"-","/","_","\","(",")"}, _xlfn.LAMBDA(_xlpm.txt,_xlpm.itm, SUBSTITUTE(_xlpm.txt, _xlpm.itm, "")))</f>
        <v>1234567890</v>
      </c>
      <c r="S639" s="3">
        <f>IFERROR(_xlfn.XLOOKUP(tbl_HR_Data[[#This Row],[Joining Date]], Mapping[Joining_Discarded], Mapping[Joining_Correction]), VALUE(tbl_HR_Data[[#This Row],[Joining Date]]))</f>
        <v>43845</v>
      </c>
      <c r="T639" t="str">
        <f>TEXT(tbl_HR_Data[[#This Row],[Joining Date]], "mmm")</f>
        <v>Jan</v>
      </c>
      <c r="U639" t="str">
        <f>TEXT(tbl_HR_Data[[#This Row],[Joining Date]], "ddd")</f>
        <v>Wed</v>
      </c>
    </row>
    <row r="640" spans="1:21" x14ac:dyDescent="0.35">
      <c r="A640" t="s">
        <v>107</v>
      </c>
      <c r="B640">
        <v>40</v>
      </c>
      <c r="C640">
        <v>65000</v>
      </c>
      <c r="D640" t="s">
        <v>11</v>
      </c>
      <c r="E640" t="s">
        <v>12</v>
      </c>
      <c r="F640" t="s">
        <v>44</v>
      </c>
      <c r="G640" s="3">
        <v>43845</v>
      </c>
      <c r="H640" t="str">
        <f>TEXT(tbl_HR_Data[[#This Row],[Joining Date]], "mmm")</f>
        <v>Jan</v>
      </c>
      <c r="I640" t="s">
        <v>95</v>
      </c>
      <c r="J640" t="s">
        <v>14</v>
      </c>
      <c r="K640" t="s">
        <v>22</v>
      </c>
      <c r="L640" t="s">
        <v>87</v>
      </c>
      <c r="M640">
        <f>IFERROR( _xlfn.XLOOKUP(TRIM(tbl_HR_Data[[#This Row],[Age]]),#REF!,#REF!), VALUE(TRIM(tbl_HR_Data[[#This Row],[Age]])))</f>
        <v>40</v>
      </c>
      <c r="N640" t="str">
        <f>IFERROR(_xlfn.XLOOKUP(tbl_HR_Data[[#This Row],[Gender]], Mapping[Gender _Discarded], Mapping[Gender_Correction]), PROPER(TRIM(tbl_HR_Data[[#This Row],[Gender]])))</f>
        <v>Male</v>
      </c>
      <c r="O640" t="str">
        <f>TRIM(tbl_HR_Data[[#This Row],[Position]])</f>
        <v>Analyst</v>
      </c>
      <c r="P640" t="str">
        <f>IFERROR(_xlfn.XLOOKUP(tbl_HR_Data[[#This Row],[Email]], Mapping[Email_Discarded], Mapping[Email_Correction]), LOWER(TRIM(tbl_HR_Data[[#This Row],[Email]])))</f>
        <v>user@domain.com</v>
      </c>
      <c r="Q64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640" t="str" cm="1">
        <f t="array" ref="R640">_xlfn.REDUCE(Q640, {"-","/","_","\","(",")"}, _xlfn.LAMBDA(_xlpm.txt,_xlpm.itm, SUBSTITUTE(_xlpm.txt, _xlpm.itm, "")))</f>
        <v>1234567890</v>
      </c>
      <c r="S640" s="3">
        <f>IFERROR(_xlfn.XLOOKUP(tbl_HR_Data[[#This Row],[Joining Date]], Mapping[Joining_Discarded], Mapping[Joining_Correction]), VALUE(tbl_HR_Data[[#This Row],[Joining Date]]))</f>
        <v>43845</v>
      </c>
      <c r="T640" t="str">
        <f>TEXT(tbl_HR_Data[[#This Row],[Joining Date]], "mmm")</f>
        <v>Jan</v>
      </c>
      <c r="U640" t="str">
        <f>TEXT(tbl_HR_Data[[#This Row],[Joining Date]], "ddd")</f>
        <v>Wed</v>
      </c>
    </row>
    <row r="641" spans="1:21" x14ac:dyDescent="0.35">
      <c r="A641" t="s">
        <v>99</v>
      </c>
      <c r="B641">
        <v>35</v>
      </c>
      <c r="C641">
        <v>60000</v>
      </c>
      <c r="D641" t="s">
        <v>36</v>
      </c>
      <c r="E641" t="s">
        <v>19</v>
      </c>
      <c r="F641" t="s">
        <v>39</v>
      </c>
      <c r="G641" s="3">
        <v>43845</v>
      </c>
      <c r="H641" t="str">
        <f>TEXT(tbl_HR_Data[[#This Row],[Joining Date]], "mmm")</f>
        <v>Jan</v>
      </c>
      <c r="I641" t="s">
        <v>95</v>
      </c>
      <c r="J641" t="s">
        <v>27</v>
      </c>
      <c r="K641" t="s">
        <v>15</v>
      </c>
      <c r="L641" t="s">
        <v>88</v>
      </c>
      <c r="M641">
        <f>IFERROR( _xlfn.XLOOKUP(TRIM(tbl_HR_Data[[#This Row],[Age]]),#REF!,#REF!), VALUE(TRIM(tbl_HR_Data[[#This Row],[Age]])))</f>
        <v>35</v>
      </c>
      <c r="N641" t="str">
        <f>IFERROR(_xlfn.XLOOKUP(tbl_HR_Data[[#This Row],[Gender]], Mapping[Gender _Discarded], Mapping[Gender_Correction]), PROPER(TRIM(tbl_HR_Data[[#This Row],[Gender]])))</f>
        <v>Other</v>
      </c>
      <c r="O641" t="str">
        <f>TRIM(tbl_HR_Data[[#This Row],[Position]])</f>
        <v>Clerk</v>
      </c>
      <c r="P641" t="str">
        <f>IFERROR(_xlfn.XLOOKUP(tbl_HR_Data[[#This Row],[Email]], Mapping[Email_Discarded], Mapping[Email_Correction]), LOWER(TRIM(tbl_HR_Data[[#This Row],[Email]])))</f>
        <v>email@example.com</v>
      </c>
      <c r="Q64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641" t="str" cm="1">
        <f t="array" ref="R641">_xlfn.REDUCE(Q641, {"-","/","_","\","(",")"}, _xlfn.LAMBDA(_xlpm.txt,_xlpm.itm, SUBSTITUTE(_xlpm.txt, _xlpm.itm, "")))</f>
        <v>0987654321</v>
      </c>
      <c r="S641" s="3">
        <f>IFERROR(_xlfn.XLOOKUP(tbl_HR_Data[[#This Row],[Joining Date]], Mapping[Joining_Discarded], Mapping[Joining_Correction]), VALUE(tbl_HR_Data[[#This Row],[Joining Date]]))</f>
        <v>43845</v>
      </c>
      <c r="T641" t="str">
        <f>TEXT(tbl_HR_Data[[#This Row],[Joining Date]], "mmm")</f>
        <v>Jan</v>
      </c>
      <c r="U641" t="str">
        <f>TEXT(tbl_HR_Data[[#This Row],[Joining Date]], "ddd")</f>
        <v>Wed</v>
      </c>
    </row>
    <row r="642" spans="1:21" x14ac:dyDescent="0.35">
      <c r="A642" t="s">
        <v>108</v>
      </c>
      <c r="B642">
        <v>30</v>
      </c>
      <c r="C642">
        <v>60000</v>
      </c>
      <c r="D642" t="s">
        <v>11</v>
      </c>
      <c r="E642" t="s">
        <v>30</v>
      </c>
      <c r="F642" t="s">
        <v>13</v>
      </c>
      <c r="G642" s="3">
        <v>43845</v>
      </c>
      <c r="H642" t="str">
        <f>TEXT(tbl_HR_Data[[#This Row],[Joining Date]], "mmm")</f>
        <v>Jan</v>
      </c>
      <c r="I642" t="s">
        <v>95</v>
      </c>
      <c r="J642" t="s">
        <v>41</v>
      </c>
      <c r="K642" t="s">
        <v>32</v>
      </c>
      <c r="L642" t="s">
        <v>77</v>
      </c>
      <c r="M642">
        <f>IFERROR( _xlfn.XLOOKUP(TRIM(tbl_HR_Data[[#This Row],[Age]]),#REF!,#REF!), VALUE(TRIM(tbl_HR_Data[[#This Row],[Age]])))</f>
        <v>30</v>
      </c>
      <c r="N642" t="str">
        <f>IFERROR(_xlfn.XLOOKUP(tbl_HR_Data[[#This Row],[Gender]], Mapping[Gender _Discarded], Mapping[Gender_Correction]), PROPER(TRIM(tbl_HR_Data[[#This Row],[Gender]])))</f>
        <v>Male</v>
      </c>
      <c r="O642" t="str">
        <f>TRIM(tbl_HR_Data[[#This Row],[Position]])</f>
        <v>Manager</v>
      </c>
      <c r="P642" t="str">
        <f>IFERROR(_xlfn.XLOOKUP(tbl_HR_Data[[#This Row],[Email]], Mapping[Email_Discarded], Mapping[Email_Correction]), LOWER(TRIM(tbl_HR_Data[[#This Row],[Email]])))</f>
        <v>name@company.org</v>
      </c>
      <c r="Q64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42" t="str" cm="1">
        <f t="array" ref="R642">_xlfn.REDUCE(Q642, {"-","/","_","\","(",")"}, _xlfn.LAMBDA(_xlpm.txt,_xlpm.itm, SUBSTITUTE(_xlpm.txt, _xlpm.itm, "")))</f>
        <v>Not Provided</v>
      </c>
      <c r="S642" s="3">
        <f>IFERROR(_xlfn.XLOOKUP(tbl_HR_Data[[#This Row],[Joining Date]], Mapping[Joining_Discarded], Mapping[Joining_Correction]), VALUE(tbl_HR_Data[[#This Row],[Joining Date]]))</f>
        <v>43845</v>
      </c>
      <c r="T642" t="str">
        <f>TEXT(tbl_HR_Data[[#This Row],[Joining Date]], "mmm")</f>
        <v>Jan</v>
      </c>
      <c r="U642" t="str">
        <f>TEXT(tbl_HR_Data[[#This Row],[Joining Date]], "ddd")</f>
        <v>Wed</v>
      </c>
    </row>
    <row r="643" spans="1:21" x14ac:dyDescent="0.35">
      <c r="A643" t="s">
        <v>105</v>
      </c>
      <c r="B643">
        <v>35</v>
      </c>
      <c r="C643">
        <v>55000</v>
      </c>
      <c r="D643" t="s">
        <v>18</v>
      </c>
      <c r="E643" t="s">
        <v>19</v>
      </c>
      <c r="F643" t="s">
        <v>43</v>
      </c>
      <c r="G643" s="3">
        <v>43845</v>
      </c>
      <c r="H643" t="str">
        <f>TEXT(tbl_HR_Data[[#This Row],[Joining Date]], "mmm")</f>
        <v>Jan</v>
      </c>
      <c r="I643" t="s">
        <v>95</v>
      </c>
      <c r="J643" t="s">
        <v>27</v>
      </c>
      <c r="K643" t="s">
        <v>32</v>
      </c>
      <c r="L643" t="s">
        <v>88</v>
      </c>
      <c r="M643">
        <f>IFERROR( _xlfn.XLOOKUP(TRIM(tbl_HR_Data[[#This Row],[Age]]),#REF!,#REF!), VALUE(TRIM(tbl_HR_Data[[#This Row],[Age]])))</f>
        <v>35</v>
      </c>
      <c r="N643" t="str">
        <f>IFERROR(_xlfn.XLOOKUP(tbl_HR_Data[[#This Row],[Gender]], Mapping[Gender _Discarded], Mapping[Gender_Correction]), PROPER(TRIM(tbl_HR_Data[[#This Row],[Gender]])))</f>
        <v>Female</v>
      </c>
      <c r="O643" t="str">
        <f>TRIM(tbl_HR_Data[[#This Row],[Position]])</f>
        <v>Assistant</v>
      </c>
      <c r="P643" t="str">
        <f>IFERROR(_xlfn.XLOOKUP(tbl_HR_Data[[#This Row],[Email]], Mapping[Email_Discarded], Mapping[Email_Correction]), LOWER(TRIM(tbl_HR_Data[[#This Row],[Email]])))</f>
        <v>name@company.org</v>
      </c>
      <c r="Q64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643" t="str" cm="1">
        <f t="array" ref="R643">_xlfn.REDUCE(Q643, {"-","/","_","\","(",")"}, _xlfn.LAMBDA(_xlpm.txt,_xlpm.itm, SUBSTITUTE(_xlpm.txt, _xlpm.itm, "")))</f>
        <v>0987654321</v>
      </c>
      <c r="S643" s="3">
        <f>IFERROR(_xlfn.XLOOKUP(tbl_HR_Data[[#This Row],[Joining Date]], Mapping[Joining_Discarded], Mapping[Joining_Correction]), VALUE(tbl_HR_Data[[#This Row],[Joining Date]]))</f>
        <v>43845</v>
      </c>
      <c r="T643" t="str">
        <f>TEXT(tbl_HR_Data[[#This Row],[Joining Date]], "mmm")</f>
        <v>Jan</v>
      </c>
      <c r="U643" t="str">
        <f>TEXT(tbl_HR_Data[[#This Row],[Joining Date]], "ddd")</f>
        <v>Wed</v>
      </c>
    </row>
    <row r="644" spans="1:21" x14ac:dyDescent="0.35">
      <c r="A644" t="s">
        <v>106</v>
      </c>
      <c r="B644">
        <v>35</v>
      </c>
      <c r="C644">
        <v>55000</v>
      </c>
      <c r="D644" t="s">
        <v>36</v>
      </c>
      <c r="E644" t="s">
        <v>19</v>
      </c>
      <c r="F644" t="s">
        <v>44</v>
      </c>
      <c r="G644" s="3">
        <v>43845</v>
      </c>
      <c r="H644" t="str">
        <f>TEXT(tbl_HR_Data[[#This Row],[Joining Date]], "mmm")</f>
        <v>Jan</v>
      </c>
      <c r="I644" t="s">
        <v>95</v>
      </c>
      <c r="J644" t="s">
        <v>21</v>
      </c>
      <c r="K644" t="s">
        <v>15</v>
      </c>
      <c r="L644" t="s">
        <v>77</v>
      </c>
      <c r="M644">
        <f>IFERROR( _xlfn.XLOOKUP(TRIM(tbl_HR_Data[[#This Row],[Age]]),#REF!,#REF!), VALUE(TRIM(tbl_HR_Data[[#This Row],[Age]])))</f>
        <v>35</v>
      </c>
      <c r="N644" t="str">
        <f>IFERROR(_xlfn.XLOOKUP(tbl_HR_Data[[#This Row],[Gender]], Mapping[Gender _Discarded], Mapping[Gender_Correction]), PROPER(TRIM(tbl_HR_Data[[#This Row],[Gender]])))</f>
        <v>Other</v>
      </c>
      <c r="O644" t="str">
        <f>TRIM(tbl_HR_Data[[#This Row],[Position]])</f>
        <v>Analyst</v>
      </c>
      <c r="P644" t="str">
        <f>IFERROR(_xlfn.XLOOKUP(tbl_HR_Data[[#This Row],[Email]], Mapping[Email_Discarded], Mapping[Email_Correction]), LOWER(TRIM(tbl_HR_Data[[#This Row],[Email]])))</f>
        <v>email@example.com</v>
      </c>
      <c r="Q64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44" t="str" cm="1">
        <f t="array" ref="R644">_xlfn.REDUCE(Q644, {"-","/","_","\","(",")"}, _xlfn.LAMBDA(_xlpm.txt,_xlpm.itm, SUBSTITUTE(_xlpm.txt, _xlpm.itm, "")))</f>
        <v>Not Provided</v>
      </c>
      <c r="S644" s="3">
        <f>IFERROR(_xlfn.XLOOKUP(tbl_HR_Data[[#This Row],[Joining Date]], Mapping[Joining_Discarded], Mapping[Joining_Correction]), VALUE(tbl_HR_Data[[#This Row],[Joining Date]]))</f>
        <v>43845</v>
      </c>
      <c r="T644" t="str">
        <f>TEXT(tbl_HR_Data[[#This Row],[Joining Date]], "mmm")</f>
        <v>Jan</v>
      </c>
      <c r="U644" t="str">
        <f>TEXT(tbl_HR_Data[[#This Row],[Joining Date]], "ddd")</f>
        <v>Wed</v>
      </c>
    </row>
    <row r="645" spans="1:21" x14ac:dyDescent="0.35">
      <c r="A645" t="s">
        <v>103</v>
      </c>
      <c r="B645">
        <v>40</v>
      </c>
      <c r="C645">
        <v>0</v>
      </c>
      <c r="D645" t="s">
        <v>11</v>
      </c>
      <c r="E645" t="s">
        <v>19</v>
      </c>
      <c r="F645" t="s">
        <v>20</v>
      </c>
      <c r="G645" s="3">
        <v>43845</v>
      </c>
      <c r="H645" t="str">
        <f>TEXT(tbl_HR_Data[[#This Row],[Joining Date]], "mmm")</f>
        <v>Jan</v>
      </c>
      <c r="I645" t="s">
        <v>95</v>
      </c>
      <c r="J645" t="s">
        <v>21</v>
      </c>
      <c r="K645" t="s">
        <v>15</v>
      </c>
      <c r="L645" t="s">
        <v>77</v>
      </c>
      <c r="M645">
        <f>IFERROR( _xlfn.XLOOKUP(TRIM(tbl_HR_Data[[#This Row],[Age]]),#REF!,#REF!), VALUE(TRIM(tbl_HR_Data[[#This Row],[Age]])))</f>
        <v>40</v>
      </c>
      <c r="N645" t="str">
        <f>IFERROR(_xlfn.XLOOKUP(tbl_HR_Data[[#This Row],[Gender]], Mapping[Gender _Discarded], Mapping[Gender_Correction]), PROPER(TRIM(tbl_HR_Data[[#This Row],[Gender]])))</f>
        <v>Male</v>
      </c>
      <c r="O645" t="str">
        <f>TRIM(tbl_HR_Data[[#This Row],[Position]])</f>
        <v>Director</v>
      </c>
      <c r="P645" t="str">
        <f>IFERROR(_xlfn.XLOOKUP(tbl_HR_Data[[#This Row],[Email]], Mapping[Email_Discarded], Mapping[Email_Correction]), LOWER(TRIM(tbl_HR_Data[[#This Row],[Email]])))</f>
        <v>email@example.com</v>
      </c>
      <c r="Q64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45" t="str" cm="1">
        <f t="array" ref="R645">_xlfn.REDUCE(Q645, {"-","/","_","\","(",")"}, _xlfn.LAMBDA(_xlpm.txt,_xlpm.itm, SUBSTITUTE(_xlpm.txt, _xlpm.itm, "")))</f>
        <v>Not Provided</v>
      </c>
      <c r="S645" s="3">
        <f>IFERROR(_xlfn.XLOOKUP(tbl_HR_Data[[#This Row],[Joining Date]], Mapping[Joining_Discarded], Mapping[Joining_Correction]), VALUE(tbl_HR_Data[[#This Row],[Joining Date]]))</f>
        <v>43845</v>
      </c>
      <c r="T645" t="str">
        <f>TEXT(tbl_HR_Data[[#This Row],[Joining Date]], "mmm")</f>
        <v>Jan</v>
      </c>
      <c r="U645" t="str">
        <f>TEXT(tbl_HR_Data[[#This Row],[Joining Date]], "ddd")</f>
        <v>Wed</v>
      </c>
    </row>
    <row r="646" spans="1:21" x14ac:dyDescent="0.35">
      <c r="A646" t="s">
        <v>106</v>
      </c>
      <c r="B646">
        <v>35</v>
      </c>
      <c r="C646">
        <v>65000</v>
      </c>
      <c r="D646" t="s">
        <v>11</v>
      </c>
      <c r="E646" t="s">
        <v>37</v>
      </c>
      <c r="F646" t="s">
        <v>20</v>
      </c>
      <c r="G646" s="3">
        <v>43845</v>
      </c>
      <c r="H646" t="str">
        <f>TEXT(tbl_HR_Data[[#This Row],[Joining Date]], "mmm")</f>
        <v>Jan</v>
      </c>
      <c r="I646" t="s">
        <v>95</v>
      </c>
      <c r="J646" t="s">
        <v>14</v>
      </c>
      <c r="K646" t="s">
        <v>22</v>
      </c>
      <c r="L646" t="s">
        <v>77</v>
      </c>
      <c r="M646">
        <f>IFERROR( _xlfn.XLOOKUP(TRIM(tbl_HR_Data[[#This Row],[Age]]),#REF!,#REF!), VALUE(TRIM(tbl_HR_Data[[#This Row],[Age]])))</f>
        <v>35</v>
      </c>
      <c r="N646" t="str">
        <f>IFERROR(_xlfn.XLOOKUP(tbl_HR_Data[[#This Row],[Gender]], Mapping[Gender _Discarded], Mapping[Gender_Correction]), PROPER(TRIM(tbl_HR_Data[[#This Row],[Gender]])))</f>
        <v>Male</v>
      </c>
      <c r="O646" t="str">
        <f>TRIM(tbl_HR_Data[[#This Row],[Position]])</f>
        <v>Director</v>
      </c>
      <c r="P646" t="str">
        <f>IFERROR(_xlfn.XLOOKUP(tbl_HR_Data[[#This Row],[Email]], Mapping[Email_Discarded], Mapping[Email_Correction]), LOWER(TRIM(tbl_HR_Data[[#This Row],[Email]])))</f>
        <v>user@domain.com</v>
      </c>
      <c r="Q64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46" t="str" cm="1">
        <f t="array" ref="R646">_xlfn.REDUCE(Q646, {"-","/","_","\","(",")"}, _xlfn.LAMBDA(_xlpm.txt,_xlpm.itm, SUBSTITUTE(_xlpm.txt, _xlpm.itm, "")))</f>
        <v>Not Provided</v>
      </c>
      <c r="S646" s="3">
        <f>IFERROR(_xlfn.XLOOKUP(tbl_HR_Data[[#This Row],[Joining Date]], Mapping[Joining_Discarded], Mapping[Joining_Correction]), VALUE(tbl_HR_Data[[#This Row],[Joining Date]]))</f>
        <v>43845</v>
      </c>
      <c r="T646" t="str">
        <f>TEXT(tbl_HR_Data[[#This Row],[Joining Date]], "mmm")</f>
        <v>Jan</v>
      </c>
      <c r="U646" t="str">
        <f>TEXT(tbl_HR_Data[[#This Row],[Joining Date]], "ddd")</f>
        <v>Wed</v>
      </c>
    </row>
    <row r="647" spans="1:21" x14ac:dyDescent="0.35">
      <c r="A647" t="s">
        <v>105</v>
      </c>
      <c r="B647">
        <v>40</v>
      </c>
      <c r="C647">
        <v>50000</v>
      </c>
      <c r="D647" t="s">
        <v>11</v>
      </c>
      <c r="E647" t="s">
        <v>30</v>
      </c>
      <c r="F647" t="s">
        <v>20</v>
      </c>
      <c r="G647" s="3">
        <v>43845</v>
      </c>
      <c r="H647" t="str">
        <f>TEXT(tbl_HR_Data[[#This Row],[Joining Date]], "mmm")</f>
        <v>Jan</v>
      </c>
      <c r="I647" t="s">
        <v>95</v>
      </c>
      <c r="J647" t="s">
        <v>27</v>
      </c>
      <c r="K647" t="s">
        <v>32</v>
      </c>
      <c r="L647" t="s">
        <v>89</v>
      </c>
      <c r="M647">
        <f>IFERROR( _xlfn.XLOOKUP(TRIM(tbl_HR_Data[[#This Row],[Age]]),#REF!,#REF!), VALUE(TRIM(tbl_HR_Data[[#This Row],[Age]])))</f>
        <v>40</v>
      </c>
      <c r="N647" t="str">
        <f>IFERROR(_xlfn.XLOOKUP(tbl_HR_Data[[#This Row],[Gender]], Mapping[Gender _Discarded], Mapping[Gender_Correction]), PROPER(TRIM(tbl_HR_Data[[#This Row],[Gender]])))</f>
        <v>Male</v>
      </c>
      <c r="O647" t="str">
        <f>TRIM(tbl_HR_Data[[#This Row],[Position]])</f>
        <v>Director</v>
      </c>
      <c r="P647" t="str">
        <f>IFERROR(_xlfn.XLOOKUP(tbl_HR_Data[[#This Row],[Email]], Mapping[Email_Discarded], Mapping[Email_Correction]), LOWER(TRIM(tbl_HR_Data[[#This Row],[Email]])))</f>
        <v>name@company.org</v>
      </c>
      <c r="Q64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647" t="str" cm="1">
        <f t="array" ref="R647">_xlfn.REDUCE(Q647, {"-","/","_","\","(",")"}, _xlfn.LAMBDA(_xlpm.txt,_xlpm.itm, SUBSTITUTE(_xlpm.txt, _xlpm.itm, "")))</f>
        <v>5555555555</v>
      </c>
      <c r="S647" s="3">
        <f>IFERROR(_xlfn.XLOOKUP(tbl_HR_Data[[#This Row],[Joining Date]], Mapping[Joining_Discarded], Mapping[Joining_Correction]), VALUE(tbl_HR_Data[[#This Row],[Joining Date]]))</f>
        <v>43845</v>
      </c>
      <c r="T647" t="str">
        <f>TEXT(tbl_HR_Data[[#This Row],[Joining Date]], "mmm")</f>
        <v>Jan</v>
      </c>
      <c r="U647" t="str">
        <f>TEXT(tbl_HR_Data[[#This Row],[Joining Date]], "ddd")</f>
        <v>Wed</v>
      </c>
    </row>
    <row r="648" spans="1:21" x14ac:dyDescent="0.35">
      <c r="A648" t="s">
        <v>101</v>
      </c>
      <c r="B648">
        <v>25</v>
      </c>
      <c r="C648">
        <v>50000</v>
      </c>
      <c r="D648" t="s">
        <v>11</v>
      </c>
      <c r="E648" t="s">
        <v>12</v>
      </c>
      <c r="F648" t="s">
        <v>44</v>
      </c>
      <c r="G648" s="3">
        <v>43845</v>
      </c>
      <c r="H648" t="str">
        <f>TEXT(tbl_HR_Data[[#This Row],[Joining Date]], "mmm")</f>
        <v>Jan</v>
      </c>
      <c r="I648" t="s">
        <v>95</v>
      </c>
      <c r="J648" t="s">
        <v>41</v>
      </c>
      <c r="K648" t="s">
        <v>15</v>
      </c>
      <c r="L648" t="s">
        <v>89</v>
      </c>
      <c r="M648">
        <f>IFERROR( _xlfn.XLOOKUP(TRIM(tbl_HR_Data[[#This Row],[Age]]),#REF!,#REF!), VALUE(TRIM(tbl_HR_Data[[#This Row],[Age]])))</f>
        <v>25</v>
      </c>
      <c r="N648" t="str">
        <f>IFERROR(_xlfn.XLOOKUP(tbl_HR_Data[[#This Row],[Gender]], Mapping[Gender _Discarded], Mapping[Gender_Correction]), PROPER(TRIM(tbl_HR_Data[[#This Row],[Gender]])))</f>
        <v>Male</v>
      </c>
      <c r="O648" t="str">
        <f>TRIM(tbl_HR_Data[[#This Row],[Position]])</f>
        <v>Analyst</v>
      </c>
      <c r="P648" t="str">
        <f>IFERROR(_xlfn.XLOOKUP(tbl_HR_Data[[#This Row],[Email]], Mapping[Email_Discarded], Mapping[Email_Correction]), LOWER(TRIM(tbl_HR_Data[[#This Row],[Email]])))</f>
        <v>email@example.com</v>
      </c>
      <c r="Q64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648" t="str" cm="1">
        <f t="array" ref="R648">_xlfn.REDUCE(Q648, {"-","/","_","\","(",")"}, _xlfn.LAMBDA(_xlpm.txt,_xlpm.itm, SUBSTITUTE(_xlpm.txt, _xlpm.itm, "")))</f>
        <v>5555555555</v>
      </c>
      <c r="S648" s="3">
        <f>IFERROR(_xlfn.XLOOKUP(tbl_HR_Data[[#This Row],[Joining Date]], Mapping[Joining_Discarded], Mapping[Joining_Correction]), VALUE(tbl_HR_Data[[#This Row],[Joining Date]]))</f>
        <v>43845</v>
      </c>
      <c r="T648" t="str">
        <f>TEXT(tbl_HR_Data[[#This Row],[Joining Date]], "mmm")</f>
        <v>Jan</v>
      </c>
      <c r="U648" t="str">
        <f>TEXT(tbl_HR_Data[[#This Row],[Joining Date]], "ddd")</f>
        <v>Wed</v>
      </c>
    </row>
    <row r="649" spans="1:21" x14ac:dyDescent="0.35">
      <c r="A649" t="s">
        <v>101</v>
      </c>
      <c r="B649">
        <v>35</v>
      </c>
      <c r="C649">
        <v>65000</v>
      </c>
      <c r="D649" t="s">
        <v>11</v>
      </c>
      <c r="E649" t="s">
        <v>30</v>
      </c>
      <c r="F649" t="s">
        <v>39</v>
      </c>
      <c r="G649" s="3">
        <v>43845</v>
      </c>
      <c r="H649" t="str">
        <f>TEXT(tbl_HR_Data[[#This Row],[Joining Date]], "mmm")</f>
        <v>Jan</v>
      </c>
      <c r="I649" t="s">
        <v>95</v>
      </c>
      <c r="J649" t="s">
        <v>21</v>
      </c>
      <c r="K649" t="s">
        <v>15</v>
      </c>
      <c r="L649" t="s">
        <v>87</v>
      </c>
      <c r="M649">
        <f>IFERROR( _xlfn.XLOOKUP(TRIM(tbl_HR_Data[[#This Row],[Age]]),#REF!,#REF!), VALUE(TRIM(tbl_HR_Data[[#This Row],[Age]])))</f>
        <v>35</v>
      </c>
      <c r="N649" t="str">
        <f>IFERROR(_xlfn.XLOOKUP(tbl_HR_Data[[#This Row],[Gender]], Mapping[Gender _Discarded], Mapping[Gender_Correction]), PROPER(TRIM(tbl_HR_Data[[#This Row],[Gender]])))</f>
        <v>Male</v>
      </c>
      <c r="O649" t="str">
        <f>TRIM(tbl_HR_Data[[#This Row],[Position]])</f>
        <v>Clerk</v>
      </c>
      <c r="P649" t="str">
        <f>IFERROR(_xlfn.XLOOKUP(tbl_HR_Data[[#This Row],[Email]], Mapping[Email_Discarded], Mapping[Email_Correction]), LOWER(TRIM(tbl_HR_Data[[#This Row],[Email]])))</f>
        <v>email@example.com</v>
      </c>
      <c r="Q64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649" t="str" cm="1">
        <f t="array" ref="R649">_xlfn.REDUCE(Q649, {"-","/","_","\","(",")"}, _xlfn.LAMBDA(_xlpm.txt,_xlpm.itm, SUBSTITUTE(_xlpm.txt, _xlpm.itm, "")))</f>
        <v>1234567890</v>
      </c>
      <c r="S649" s="3">
        <f>IFERROR(_xlfn.XLOOKUP(tbl_HR_Data[[#This Row],[Joining Date]], Mapping[Joining_Discarded], Mapping[Joining_Correction]), VALUE(tbl_HR_Data[[#This Row],[Joining Date]]))</f>
        <v>43845</v>
      </c>
      <c r="T649" t="str">
        <f>TEXT(tbl_HR_Data[[#This Row],[Joining Date]], "mmm")</f>
        <v>Jan</v>
      </c>
      <c r="U649" t="str">
        <f>TEXT(tbl_HR_Data[[#This Row],[Joining Date]], "ddd")</f>
        <v>Wed</v>
      </c>
    </row>
    <row r="650" spans="1:21" x14ac:dyDescent="0.35">
      <c r="A650" t="s">
        <v>105</v>
      </c>
      <c r="B650">
        <v>30</v>
      </c>
      <c r="C650">
        <v>50000</v>
      </c>
      <c r="D650" t="s">
        <v>36</v>
      </c>
      <c r="E650" t="s">
        <v>26</v>
      </c>
      <c r="F650" t="s">
        <v>39</v>
      </c>
      <c r="G650" s="3">
        <v>43845</v>
      </c>
      <c r="H650" t="str">
        <f>TEXT(tbl_HR_Data[[#This Row],[Joining Date]], "mmm")</f>
        <v>Jan</v>
      </c>
      <c r="I650" t="s">
        <v>95</v>
      </c>
      <c r="J650" t="s">
        <v>21</v>
      </c>
      <c r="K650" t="s">
        <v>32</v>
      </c>
      <c r="L650" t="s">
        <v>77</v>
      </c>
      <c r="M650">
        <f>IFERROR( _xlfn.XLOOKUP(TRIM(tbl_HR_Data[[#This Row],[Age]]),#REF!,#REF!), VALUE(TRIM(tbl_HR_Data[[#This Row],[Age]])))</f>
        <v>30</v>
      </c>
      <c r="N650" t="str">
        <f>IFERROR(_xlfn.XLOOKUP(tbl_HR_Data[[#This Row],[Gender]], Mapping[Gender _Discarded], Mapping[Gender_Correction]), PROPER(TRIM(tbl_HR_Data[[#This Row],[Gender]])))</f>
        <v>Other</v>
      </c>
      <c r="O650" t="str">
        <f>TRIM(tbl_HR_Data[[#This Row],[Position]])</f>
        <v>Clerk</v>
      </c>
      <c r="P650" t="str">
        <f>IFERROR(_xlfn.XLOOKUP(tbl_HR_Data[[#This Row],[Email]], Mapping[Email_Discarded], Mapping[Email_Correction]), LOWER(TRIM(tbl_HR_Data[[#This Row],[Email]])))</f>
        <v>name@company.org</v>
      </c>
      <c r="Q65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50" t="str" cm="1">
        <f t="array" ref="R650">_xlfn.REDUCE(Q650, {"-","/","_","\","(",")"}, _xlfn.LAMBDA(_xlpm.txt,_xlpm.itm, SUBSTITUTE(_xlpm.txt, _xlpm.itm, "")))</f>
        <v>Not Provided</v>
      </c>
      <c r="S650" s="3">
        <f>IFERROR(_xlfn.XLOOKUP(tbl_HR_Data[[#This Row],[Joining Date]], Mapping[Joining_Discarded], Mapping[Joining_Correction]), VALUE(tbl_HR_Data[[#This Row],[Joining Date]]))</f>
        <v>43845</v>
      </c>
      <c r="T650" t="str">
        <f>TEXT(tbl_HR_Data[[#This Row],[Joining Date]], "mmm")</f>
        <v>Jan</v>
      </c>
      <c r="U650" t="str">
        <f>TEXT(tbl_HR_Data[[#This Row],[Joining Date]], "ddd")</f>
        <v>Wed</v>
      </c>
    </row>
    <row r="651" spans="1:21" x14ac:dyDescent="0.35">
      <c r="A651" t="s">
        <v>103</v>
      </c>
      <c r="B651">
        <v>40</v>
      </c>
      <c r="C651">
        <v>65000</v>
      </c>
      <c r="D651" t="s">
        <v>18</v>
      </c>
      <c r="E651" t="s">
        <v>12</v>
      </c>
      <c r="F651" t="s">
        <v>43</v>
      </c>
      <c r="G651" s="3">
        <v>43845</v>
      </c>
      <c r="H651" t="str">
        <f>TEXT(tbl_HR_Data[[#This Row],[Joining Date]], "mmm")</f>
        <v>Jan</v>
      </c>
      <c r="I651" t="s">
        <v>95</v>
      </c>
      <c r="J651" t="s">
        <v>41</v>
      </c>
      <c r="K651" t="s">
        <v>15</v>
      </c>
      <c r="L651" t="s">
        <v>88</v>
      </c>
      <c r="M651">
        <f>IFERROR( _xlfn.XLOOKUP(TRIM(tbl_HR_Data[[#This Row],[Age]]),#REF!,#REF!), VALUE(TRIM(tbl_HR_Data[[#This Row],[Age]])))</f>
        <v>40</v>
      </c>
      <c r="N651" t="str">
        <f>IFERROR(_xlfn.XLOOKUP(tbl_HR_Data[[#This Row],[Gender]], Mapping[Gender _Discarded], Mapping[Gender_Correction]), PROPER(TRIM(tbl_HR_Data[[#This Row],[Gender]])))</f>
        <v>Female</v>
      </c>
      <c r="O651" t="str">
        <f>TRIM(tbl_HR_Data[[#This Row],[Position]])</f>
        <v>Assistant</v>
      </c>
      <c r="P651" t="str">
        <f>IFERROR(_xlfn.XLOOKUP(tbl_HR_Data[[#This Row],[Email]], Mapping[Email_Discarded], Mapping[Email_Correction]), LOWER(TRIM(tbl_HR_Data[[#This Row],[Email]])))</f>
        <v>email@example.com</v>
      </c>
      <c r="Q65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651" t="str" cm="1">
        <f t="array" ref="R651">_xlfn.REDUCE(Q651, {"-","/","_","\","(",")"}, _xlfn.LAMBDA(_xlpm.txt,_xlpm.itm, SUBSTITUTE(_xlpm.txt, _xlpm.itm, "")))</f>
        <v>0987654321</v>
      </c>
      <c r="S651" s="3">
        <f>IFERROR(_xlfn.XLOOKUP(tbl_HR_Data[[#This Row],[Joining Date]], Mapping[Joining_Discarded], Mapping[Joining_Correction]), VALUE(tbl_HR_Data[[#This Row],[Joining Date]]))</f>
        <v>43845</v>
      </c>
      <c r="T651" t="str">
        <f>TEXT(tbl_HR_Data[[#This Row],[Joining Date]], "mmm")</f>
        <v>Jan</v>
      </c>
      <c r="U651" t="str">
        <f>TEXT(tbl_HR_Data[[#This Row],[Joining Date]], "ddd")</f>
        <v>Wed</v>
      </c>
    </row>
    <row r="652" spans="1:21" x14ac:dyDescent="0.35">
      <c r="A652" t="s">
        <v>99</v>
      </c>
      <c r="B652">
        <v>35</v>
      </c>
      <c r="C652">
        <v>0</v>
      </c>
      <c r="D652" t="s">
        <v>18</v>
      </c>
      <c r="E652" t="s">
        <v>26</v>
      </c>
      <c r="F652" t="s">
        <v>13</v>
      </c>
      <c r="G652" s="3">
        <v>43845</v>
      </c>
      <c r="H652" t="str">
        <f>TEXT(tbl_HR_Data[[#This Row],[Joining Date]], "mmm")</f>
        <v>Jan</v>
      </c>
      <c r="I652" t="s">
        <v>95</v>
      </c>
      <c r="J652" t="s">
        <v>31</v>
      </c>
      <c r="K652" t="s">
        <v>77</v>
      </c>
      <c r="L652" t="s">
        <v>77</v>
      </c>
      <c r="M652">
        <f>IFERROR( _xlfn.XLOOKUP(TRIM(tbl_HR_Data[[#This Row],[Age]]),#REF!,#REF!), VALUE(TRIM(tbl_HR_Data[[#This Row],[Age]])))</f>
        <v>35</v>
      </c>
      <c r="N652" t="str">
        <f>IFERROR(_xlfn.XLOOKUP(tbl_HR_Data[[#This Row],[Gender]], Mapping[Gender _Discarded], Mapping[Gender_Correction]), PROPER(TRIM(tbl_HR_Data[[#This Row],[Gender]])))</f>
        <v>Female</v>
      </c>
      <c r="O652" t="str">
        <f>TRIM(tbl_HR_Data[[#This Row],[Position]])</f>
        <v>Manager</v>
      </c>
      <c r="P652" t="str">
        <f>IFERROR(_xlfn.XLOOKUP(tbl_HR_Data[[#This Row],[Email]], Mapping[Email_Discarded], Mapping[Email_Correction]), LOWER(TRIM(tbl_HR_Data[[#This Row],[Email]])))</f>
        <v>not provided</v>
      </c>
      <c r="Q65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52" t="str" cm="1">
        <f t="array" ref="R652">_xlfn.REDUCE(Q652, {"-","/","_","\","(",")"}, _xlfn.LAMBDA(_xlpm.txt,_xlpm.itm, SUBSTITUTE(_xlpm.txt, _xlpm.itm, "")))</f>
        <v>Not Provided</v>
      </c>
      <c r="S652" s="3">
        <f>IFERROR(_xlfn.XLOOKUP(tbl_HR_Data[[#This Row],[Joining Date]], Mapping[Joining_Discarded], Mapping[Joining_Correction]), VALUE(tbl_HR_Data[[#This Row],[Joining Date]]))</f>
        <v>43845</v>
      </c>
      <c r="T652" t="str">
        <f>TEXT(tbl_HR_Data[[#This Row],[Joining Date]], "mmm")</f>
        <v>Jan</v>
      </c>
      <c r="U652" t="str">
        <f>TEXT(tbl_HR_Data[[#This Row],[Joining Date]], "ddd")</f>
        <v>Wed</v>
      </c>
    </row>
    <row r="653" spans="1:21" x14ac:dyDescent="0.35">
      <c r="A653" t="s">
        <v>102</v>
      </c>
      <c r="B653">
        <v>0</v>
      </c>
      <c r="C653">
        <v>70000</v>
      </c>
      <c r="D653" t="s">
        <v>36</v>
      </c>
      <c r="E653" t="s">
        <v>26</v>
      </c>
      <c r="F653" t="s">
        <v>20</v>
      </c>
      <c r="G653" s="3">
        <v>43845</v>
      </c>
      <c r="H653" t="str">
        <f>TEXT(tbl_HR_Data[[#This Row],[Joining Date]], "mmm")</f>
        <v>Jan</v>
      </c>
      <c r="I653" t="s">
        <v>95</v>
      </c>
      <c r="J653" t="s">
        <v>21</v>
      </c>
      <c r="K653" t="s">
        <v>32</v>
      </c>
      <c r="L653" t="s">
        <v>77</v>
      </c>
      <c r="M653">
        <f>IFERROR( _xlfn.XLOOKUP(TRIM(tbl_HR_Data[[#This Row],[Age]]),#REF!,#REF!), VALUE(TRIM(tbl_HR_Data[[#This Row],[Age]])))</f>
        <v>0</v>
      </c>
      <c r="N653" t="str">
        <f>IFERROR(_xlfn.XLOOKUP(tbl_HR_Data[[#This Row],[Gender]], Mapping[Gender _Discarded], Mapping[Gender_Correction]), PROPER(TRIM(tbl_HR_Data[[#This Row],[Gender]])))</f>
        <v>Other</v>
      </c>
      <c r="O653" t="str">
        <f>TRIM(tbl_HR_Data[[#This Row],[Position]])</f>
        <v>Director</v>
      </c>
      <c r="P653" t="str">
        <f>IFERROR(_xlfn.XLOOKUP(tbl_HR_Data[[#This Row],[Email]], Mapping[Email_Discarded], Mapping[Email_Correction]), LOWER(TRIM(tbl_HR_Data[[#This Row],[Email]])))</f>
        <v>name@company.org</v>
      </c>
      <c r="Q65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53" t="str" cm="1">
        <f t="array" ref="R653">_xlfn.REDUCE(Q653, {"-","/","_","\","(",")"}, _xlfn.LAMBDA(_xlpm.txt,_xlpm.itm, SUBSTITUTE(_xlpm.txt, _xlpm.itm, "")))</f>
        <v>Not Provided</v>
      </c>
      <c r="S653" s="3">
        <f>IFERROR(_xlfn.XLOOKUP(tbl_HR_Data[[#This Row],[Joining Date]], Mapping[Joining_Discarded], Mapping[Joining_Correction]), VALUE(tbl_HR_Data[[#This Row],[Joining Date]]))</f>
        <v>43845</v>
      </c>
      <c r="T653" t="str">
        <f>TEXT(tbl_HR_Data[[#This Row],[Joining Date]], "mmm")</f>
        <v>Jan</v>
      </c>
      <c r="U653" t="str">
        <f>TEXT(tbl_HR_Data[[#This Row],[Joining Date]], "ddd")</f>
        <v>Wed</v>
      </c>
    </row>
    <row r="654" spans="1:21" x14ac:dyDescent="0.35">
      <c r="A654" t="s">
        <v>103</v>
      </c>
      <c r="B654">
        <v>50</v>
      </c>
      <c r="C654">
        <v>0</v>
      </c>
      <c r="D654" t="s">
        <v>36</v>
      </c>
      <c r="E654" t="s">
        <v>37</v>
      </c>
      <c r="F654" t="s">
        <v>13</v>
      </c>
      <c r="G654" s="3">
        <v>43845</v>
      </c>
      <c r="H654" t="str">
        <f>TEXT(tbl_HR_Data[[#This Row],[Joining Date]], "mmm")</f>
        <v>Jan</v>
      </c>
      <c r="I654" t="s">
        <v>95</v>
      </c>
      <c r="J654" t="s">
        <v>21</v>
      </c>
      <c r="K654" t="s">
        <v>15</v>
      </c>
      <c r="L654" t="s">
        <v>77</v>
      </c>
      <c r="M654">
        <f>IFERROR( _xlfn.XLOOKUP(TRIM(tbl_HR_Data[[#This Row],[Age]]),#REF!,#REF!), VALUE(TRIM(tbl_HR_Data[[#This Row],[Age]])))</f>
        <v>50</v>
      </c>
      <c r="N654" t="str">
        <f>IFERROR(_xlfn.XLOOKUP(tbl_HR_Data[[#This Row],[Gender]], Mapping[Gender _Discarded], Mapping[Gender_Correction]), PROPER(TRIM(tbl_HR_Data[[#This Row],[Gender]])))</f>
        <v>Other</v>
      </c>
      <c r="O654" t="str">
        <f>TRIM(tbl_HR_Data[[#This Row],[Position]])</f>
        <v>Manager</v>
      </c>
      <c r="P654" t="str">
        <f>IFERROR(_xlfn.XLOOKUP(tbl_HR_Data[[#This Row],[Email]], Mapping[Email_Discarded], Mapping[Email_Correction]), LOWER(TRIM(tbl_HR_Data[[#This Row],[Email]])))</f>
        <v>email@example.com</v>
      </c>
      <c r="Q65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54" t="str" cm="1">
        <f t="array" ref="R654">_xlfn.REDUCE(Q654, {"-","/","_","\","(",")"}, _xlfn.LAMBDA(_xlpm.txt,_xlpm.itm, SUBSTITUTE(_xlpm.txt, _xlpm.itm, "")))</f>
        <v>Not Provided</v>
      </c>
      <c r="S654" s="3">
        <f>IFERROR(_xlfn.XLOOKUP(tbl_HR_Data[[#This Row],[Joining Date]], Mapping[Joining_Discarded], Mapping[Joining_Correction]), VALUE(tbl_HR_Data[[#This Row],[Joining Date]]))</f>
        <v>43845</v>
      </c>
      <c r="T654" t="str">
        <f>TEXT(tbl_HR_Data[[#This Row],[Joining Date]], "mmm")</f>
        <v>Jan</v>
      </c>
      <c r="U654" t="str">
        <f>TEXT(tbl_HR_Data[[#This Row],[Joining Date]], "ddd")</f>
        <v>Wed</v>
      </c>
    </row>
    <row r="655" spans="1:21" x14ac:dyDescent="0.35">
      <c r="A655" t="s">
        <v>100</v>
      </c>
      <c r="B655">
        <v>25</v>
      </c>
      <c r="C655">
        <v>60000</v>
      </c>
      <c r="D655" t="s">
        <v>18</v>
      </c>
      <c r="E655" t="s">
        <v>12</v>
      </c>
      <c r="F655" t="s">
        <v>39</v>
      </c>
      <c r="G655" s="3">
        <v>43845</v>
      </c>
      <c r="H655" t="str">
        <f>TEXT(tbl_HR_Data[[#This Row],[Joining Date]], "mmm")</f>
        <v>Jan</v>
      </c>
      <c r="I655" t="s">
        <v>95</v>
      </c>
      <c r="J655" t="s">
        <v>31</v>
      </c>
      <c r="K655" t="s">
        <v>15</v>
      </c>
      <c r="L655" t="s">
        <v>88</v>
      </c>
      <c r="M655">
        <f>IFERROR( _xlfn.XLOOKUP(TRIM(tbl_HR_Data[[#This Row],[Age]]),#REF!,#REF!), VALUE(TRIM(tbl_HR_Data[[#This Row],[Age]])))</f>
        <v>25</v>
      </c>
      <c r="N655" t="str">
        <f>IFERROR(_xlfn.XLOOKUP(tbl_HR_Data[[#This Row],[Gender]], Mapping[Gender _Discarded], Mapping[Gender_Correction]), PROPER(TRIM(tbl_HR_Data[[#This Row],[Gender]])))</f>
        <v>Female</v>
      </c>
      <c r="O655" t="str">
        <f>TRIM(tbl_HR_Data[[#This Row],[Position]])</f>
        <v>Clerk</v>
      </c>
      <c r="P655" t="str">
        <f>IFERROR(_xlfn.XLOOKUP(tbl_HR_Data[[#This Row],[Email]], Mapping[Email_Discarded], Mapping[Email_Correction]), LOWER(TRIM(tbl_HR_Data[[#This Row],[Email]])))</f>
        <v>email@example.com</v>
      </c>
      <c r="Q65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655" t="str" cm="1">
        <f t="array" ref="R655">_xlfn.REDUCE(Q655, {"-","/","_","\","(",")"}, _xlfn.LAMBDA(_xlpm.txt,_xlpm.itm, SUBSTITUTE(_xlpm.txt, _xlpm.itm, "")))</f>
        <v>0987654321</v>
      </c>
      <c r="S655" s="3">
        <f>IFERROR(_xlfn.XLOOKUP(tbl_HR_Data[[#This Row],[Joining Date]], Mapping[Joining_Discarded], Mapping[Joining_Correction]), VALUE(tbl_HR_Data[[#This Row],[Joining Date]]))</f>
        <v>43845</v>
      </c>
      <c r="T655" t="str">
        <f>TEXT(tbl_HR_Data[[#This Row],[Joining Date]], "mmm")</f>
        <v>Jan</v>
      </c>
      <c r="U655" t="str">
        <f>TEXT(tbl_HR_Data[[#This Row],[Joining Date]], "ddd")</f>
        <v>Wed</v>
      </c>
    </row>
    <row r="656" spans="1:21" x14ac:dyDescent="0.35">
      <c r="A656" t="s">
        <v>99</v>
      </c>
      <c r="B656">
        <v>25</v>
      </c>
      <c r="C656">
        <v>70000</v>
      </c>
      <c r="D656" t="s">
        <v>36</v>
      </c>
      <c r="E656" t="s">
        <v>37</v>
      </c>
      <c r="F656" t="s">
        <v>43</v>
      </c>
      <c r="G656" s="3">
        <v>43845</v>
      </c>
      <c r="H656" t="str">
        <f>TEXT(tbl_HR_Data[[#This Row],[Joining Date]], "mmm")</f>
        <v>Jan</v>
      </c>
      <c r="I656" t="s">
        <v>95</v>
      </c>
      <c r="J656" t="s">
        <v>21</v>
      </c>
      <c r="K656" t="s">
        <v>77</v>
      </c>
      <c r="L656" t="s">
        <v>77</v>
      </c>
      <c r="M656">
        <f>IFERROR( _xlfn.XLOOKUP(TRIM(tbl_HR_Data[[#This Row],[Age]]),#REF!,#REF!), VALUE(TRIM(tbl_HR_Data[[#This Row],[Age]])))</f>
        <v>25</v>
      </c>
      <c r="N656" t="str">
        <f>IFERROR(_xlfn.XLOOKUP(tbl_HR_Data[[#This Row],[Gender]], Mapping[Gender _Discarded], Mapping[Gender_Correction]), PROPER(TRIM(tbl_HR_Data[[#This Row],[Gender]])))</f>
        <v>Other</v>
      </c>
      <c r="O656" t="str">
        <f>TRIM(tbl_HR_Data[[#This Row],[Position]])</f>
        <v>Assistant</v>
      </c>
      <c r="P656" t="str">
        <f>IFERROR(_xlfn.XLOOKUP(tbl_HR_Data[[#This Row],[Email]], Mapping[Email_Discarded], Mapping[Email_Correction]), LOWER(TRIM(tbl_HR_Data[[#This Row],[Email]])))</f>
        <v>not provided</v>
      </c>
      <c r="Q65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56" t="str" cm="1">
        <f t="array" ref="R656">_xlfn.REDUCE(Q656, {"-","/","_","\","(",")"}, _xlfn.LAMBDA(_xlpm.txt,_xlpm.itm, SUBSTITUTE(_xlpm.txt, _xlpm.itm, "")))</f>
        <v>Not Provided</v>
      </c>
      <c r="S656" s="3">
        <f>IFERROR(_xlfn.XLOOKUP(tbl_HR_Data[[#This Row],[Joining Date]], Mapping[Joining_Discarded], Mapping[Joining_Correction]), VALUE(tbl_HR_Data[[#This Row],[Joining Date]]))</f>
        <v>43845</v>
      </c>
      <c r="T656" t="str">
        <f>TEXT(tbl_HR_Data[[#This Row],[Joining Date]], "mmm")</f>
        <v>Jan</v>
      </c>
      <c r="U656" t="str">
        <f>TEXT(tbl_HR_Data[[#This Row],[Joining Date]], "ddd")</f>
        <v>Wed</v>
      </c>
    </row>
    <row r="657" spans="1:21" x14ac:dyDescent="0.35">
      <c r="A657" t="s">
        <v>100</v>
      </c>
      <c r="B657">
        <v>30</v>
      </c>
      <c r="C657">
        <v>60000</v>
      </c>
      <c r="D657" t="s">
        <v>36</v>
      </c>
      <c r="E657" t="s">
        <v>12</v>
      </c>
      <c r="F657" t="s">
        <v>43</v>
      </c>
      <c r="G657" s="3">
        <v>43845</v>
      </c>
      <c r="H657" t="str">
        <f>TEXT(tbl_HR_Data[[#This Row],[Joining Date]], "mmm")</f>
        <v>Jan</v>
      </c>
      <c r="I657" t="s">
        <v>95</v>
      </c>
      <c r="J657" t="s">
        <v>31</v>
      </c>
      <c r="K657" t="s">
        <v>77</v>
      </c>
      <c r="L657" t="s">
        <v>77</v>
      </c>
      <c r="M657">
        <f>IFERROR( _xlfn.XLOOKUP(TRIM(tbl_HR_Data[[#This Row],[Age]]),#REF!,#REF!), VALUE(TRIM(tbl_HR_Data[[#This Row],[Age]])))</f>
        <v>30</v>
      </c>
      <c r="N657" t="str">
        <f>IFERROR(_xlfn.XLOOKUP(tbl_HR_Data[[#This Row],[Gender]], Mapping[Gender _Discarded], Mapping[Gender_Correction]), PROPER(TRIM(tbl_HR_Data[[#This Row],[Gender]])))</f>
        <v>Other</v>
      </c>
      <c r="O657" t="str">
        <f>TRIM(tbl_HR_Data[[#This Row],[Position]])</f>
        <v>Assistant</v>
      </c>
      <c r="P657" t="str">
        <f>IFERROR(_xlfn.XLOOKUP(tbl_HR_Data[[#This Row],[Email]], Mapping[Email_Discarded], Mapping[Email_Correction]), LOWER(TRIM(tbl_HR_Data[[#This Row],[Email]])))</f>
        <v>not provided</v>
      </c>
      <c r="Q65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57" t="str" cm="1">
        <f t="array" ref="R657">_xlfn.REDUCE(Q657, {"-","/","_","\","(",")"}, _xlfn.LAMBDA(_xlpm.txt,_xlpm.itm, SUBSTITUTE(_xlpm.txt, _xlpm.itm, "")))</f>
        <v>Not Provided</v>
      </c>
      <c r="S657" s="3">
        <f>IFERROR(_xlfn.XLOOKUP(tbl_HR_Data[[#This Row],[Joining Date]], Mapping[Joining_Discarded], Mapping[Joining_Correction]), VALUE(tbl_HR_Data[[#This Row],[Joining Date]]))</f>
        <v>43845</v>
      </c>
      <c r="T657" t="str">
        <f>TEXT(tbl_HR_Data[[#This Row],[Joining Date]], "mmm")</f>
        <v>Jan</v>
      </c>
      <c r="U657" t="str">
        <f>TEXT(tbl_HR_Data[[#This Row],[Joining Date]], "ddd")</f>
        <v>Wed</v>
      </c>
    </row>
    <row r="658" spans="1:21" x14ac:dyDescent="0.35">
      <c r="A658" t="s">
        <v>106</v>
      </c>
      <c r="B658">
        <v>50</v>
      </c>
      <c r="C658">
        <v>55000</v>
      </c>
      <c r="D658" t="s">
        <v>11</v>
      </c>
      <c r="E658" t="s">
        <v>12</v>
      </c>
      <c r="F658" t="s">
        <v>13</v>
      </c>
      <c r="G658" s="3">
        <v>43845</v>
      </c>
      <c r="H658" t="str">
        <f>TEXT(tbl_HR_Data[[#This Row],[Joining Date]], "mmm")</f>
        <v>Jan</v>
      </c>
      <c r="I658" t="s">
        <v>95</v>
      </c>
      <c r="J658" t="s">
        <v>14</v>
      </c>
      <c r="K658" t="s">
        <v>15</v>
      </c>
      <c r="L658" t="s">
        <v>89</v>
      </c>
      <c r="M658">
        <f>IFERROR( _xlfn.XLOOKUP(TRIM(tbl_HR_Data[[#This Row],[Age]]),#REF!,#REF!), VALUE(TRIM(tbl_HR_Data[[#This Row],[Age]])))</f>
        <v>50</v>
      </c>
      <c r="N658" t="str">
        <f>IFERROR(_xlfn.XLOOKUP(tbl_HR_Data[[#This Row],[Gender]], Mapping[Gender _Discarded], Mapping[Gender_Correction]), PROPER(TRIM(tbl_HR_Data[[#This Row],[Gender]])))</f>
        <v>Male</v>
      </c>
      <c r="O658" t="str">
        <f>TRIM(tbl_HR_Data[[#This Row],[Position]])</f>
        <v>Manager</v>
      </c>
      <c r="P658" t="str">
        <f>IFERROR(_xlfn.XLOOKUP(tbl_HR_Data[[#This Row],[Email]], Mapping[Email_Discarded], Mapping[Email_Correction]), LOWER(TRIM(tbl_HR_Data[[#This Row],[Email]])))</f>
        <v>email@example.com</v>
      </c>
      <c r="Q65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658" t="str" cm="1">
        <f t="array" ref="R658">_xlfn.REDUCE(Q658, {"-","/","_","\","(",")"}, _xlfn.LAMBDA(_xlpm.txt,_xlpm.itm, SUBSTITUTE(_xlpm.txt, _xlpm.itm, "")))</f>
        <v>5555555555</v>
      </c>
      <c r="S658" s="3">
        <f>IFERROR(_xlfn.XLOOKUP(tbl_HR_Data[[#This Row],[Joining Date]], Mapping[Joining_Discarded], Mapping[Joining_Correction]), VALUE(tbl_HR_Data[[#This Row],[Joining Date]]))</f>
        <v>43845</v>
      </c>
      <c r="T658" t="str">
        <f>TEXT(tbl_HR_Data[[#This Row],[Joining Date]], "mmm")</f>
        <v>Jan</v>
      </c>
      <c r="U658" t="str">
        <f>TEXT(tbl_HR_Data[[#This Row],[Joining Date]], "ddd")</f>
        <v>Wed</v>
      </c>
    </row>
    <row r="659" spans="1:21" x14ac:dyDescent="0.35">
      <c r="A659" t="s">
        <v>100</v>
      </c>
      <c r="B659">
        <v>40</v>
      </c>
      <c r="C659">
        <v>50000</v>
      </c>
      <c r="D659" t="s">
        <v>11</v>
      </c>
      <c r="E659" t="s">
        <v>30</v>
      </c>
      <c r="F659" t="s">
        <v>20</v>
      </c>
      <c r="G659" s="3">
        <v>43845</v>
      </c>
      <c r="H659" t="str">
        <f>TEXT(tbl_HR_Data[[#This Row],[Joining Date]], "mmm")</f>
        <v>Jan</v>
      </c>
      <c r="I659" t="s">
        <v>95</v>
      </c>
      <c r="J659" t="s">
        <v>41</v>
      </c>
      <c r="K659" t="s">
        <v>77</v>
      </c>
      <c r="L659" t="s">
        <v>87</v>
      </c>
      <c r="M659">
        <f>IFERROR( _xlfn.XLOOKUP(TRIM(tbl_HR_Data[[#This Row],[Age]]),#REF!,#REF!), VALUE(TRIM(tbl_HR_Data[[#This Row],[Age]])))</f>
        <v>40</v>
      </c>
      <c r="N659" t="str">
        <f>IFERROR(_xlfn.XLOOKUP(tbl_HR_Data[[#This Row],[Gender]], Mapping[Gender _Discarded], Mapping[Gender_Correction]), PROPER(TRIM(tbl_HR_Data[[#This Row],[Gender]])))</f>
        <v>Male</v>
      </c>
      <c r="O659" t="str">
        <f>TRIM(tbl_HR_Data[[#This Row],[Position]])</f>
        <v>Director</v>
      </c>
      <c r="P659" t="str">
        <f>IFERROR(_xlfn.XLOOKUP(tbl_HR_Data[[#This Row],[Email]], Mapping[Email_Discarded], Mapping[Email_Correction]), LOWER(TRIM(tbl_HR_Data[[#This Row],[Email]])))</f>
        <v>not provided</v>
      </c>
      <c r="Q65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659" t="str" cm="1">
        <f t="array" ref="R659">_xlfn.REDUCE(Q659, {"-","/","_","\","(",")"}, _xlfn.LAMBDA(_xlpm.txt,_xlpm.itm, SUBSTITUTE(_xlpm.txt, _xlpm.itm, "")))</f>
        <v>1234567890</v>
      </c>
      <c r="S659" s="3">
        <f>IFERROR(_xlfn.XLOOKUP(tbl_HR_Data[[#This Row],[Joining Date]], Mapping[Joining_Discarded], Mapping[Joining_Correction]), VALUE(tbl_HR_Data[[#This Row],[Joining Date]]))</f>
        <v>43845</v>
      </c>
      <c r="T659" t="str">
        <f>TEXT(tbl_HR_Data[[#This Row],[Joining Date]], "mmm")</f>
        <v>Jan</v>
      </c>
      <c r="U659" t="str">
        <f>TEXT(tbl_HR_Data[[#This Row],[Joining Date]], "ddd")</f>
        <v>Wed</v>
      </c>
    </row>
    <row r="660" spans="1:21" x14ac:dyDescent="0.35">
      <c r="A660" t="s">
        <v>100</v>
      </c>
      <c r="B660">
        <v>30</v>
      </c>
      <c r="C660">
        <v>60000</v>
      </c>
      <c r="D660" t="s">
        <v>11</v>
      </c>
      <c r="E660" t="s">
        <v>30</v>
      </c>
      <c r="F660" t="s">
        <v>13</v>
      </c>
      <c r="G660" s="3">
        <v>43845</v>
      </c>
      <c r="H660" t="str">
        <f>TEXT(tbl_HR_Data[[#This Row],[Joining Date]], "mmm")</f>
        <v>Jan</v>
      </c>
      <c r="I660" t="s">
        <v>95</v>
      </c>
      <c r="J660" t="s">
        <v>14</v>
      </c>
      <c r="K660" t="s">
        <v>32</v>
      </c>
      <c r="L660" t="s">
        <v>77</v>
      </c>
      <c r="M660">
        <f>IFERROR( _xlfn.XLOOKUP(TRIM(tbl_HR_Data[[#This Row],[Age]]),#REF!,#REF!), VALUE(TRIM(tbl_HR_Data[[#This Row],[Age]])))</f>
        <v>30</v>
      </c>
      <c r="N660" t="str">
        <f>IFERROR(_xlfn.XLOOKUP(tbl_HR_Data[[#This Row],[Gender]], Mapping[Gender _Discarded], Mapping[Gender_Correction]), PROPER(TRIM(tbl_HR_Data[[#This Row],[Gender]])))</f>
        <v>Male</v>
      </c>
      <c r="O660" t="str">
        <f>TRIM(tbl_HR_Data[[#This Row],[Position]])</f>
        <v>Manager</v>
      </c>
      <c r="P660" t="str">
        <f>IFERROR(_xlfn.XLOOKUP(tbl_HR_Data[[#This Row],[Email]], Mapping[Email_Discarded], Mapping[Email_Correction]), LOWER(TRIM(tbl_HR_Data[[#This Row],[Email]])))</f>
        <v>name@company.org</v>
      </c>
      <c r="Q66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60" t="str" cm="1">
        <f t="array" ref="R660">_xlfn.REDUCE(Q660, {"-","/","_","\","(",")"}, _xlfn.LAMBDA(_xlpm.txt,_xlpm.itm, SUBSTITUTE(_xlpm.txt, _xlpm.itm, "")))</f>
        <v>Not Provided</v>
      </c>
      <c r="S660" s="3">
        <f>IFERROR(_xlfn.XLOOKUP(tbl_HR_Data[[#This Row],[Joining Date]], Mapping[Joining_Discarded], Mapping[Joining_Correction]), VALUE(tbl_HR_Data[[#This Row],[Joining Date]]))</f>
        <v>43845</v>
      </c>
      <c r="T660" t="str">
        <f>TEXT(tbl_HR_Data[[#This Row],[Joining Date]], "mmm")</f>
        <v>Jan</v>
      </c>
      <c r="U660" t="str">
        <f>TEXT(tbl_HR_Data[[#This Row],[Joining Date]], "ddd")</f>
        <v>Wed</v>
      </c>
    </row>
    <row r="661" spans="1:21" x14ac:dyDescent="0.35">
      <c r="A661" t="s">
        <v>102</v>
      </c>
      <c r="B661">
        <v>25</v>
      </c>
      <c r="C661">
        <v>60000</v>
      </c>
      <c r="D661" t="s">
        <v>36</v>
      </c>
      <c r="E661" t="s">
        <v>26</v>
      </c>
      <c r="F661" t="s">
        <v>44</v>
      </c>
      <c r="G661" s="3">
        <v>43845</v>
      </c>
      <c r="H661" t="str">
        <f>TEXT(tbl_HR_Data[[#This Row],[Joining Date]], "mmm")</f>
        <v>Jan</v>
      </c>
      <c r="I661" t="s">
        <v>95</v>
      </c>
      <c r="J661" t="s">
        <v>41</v>
      </c>
      <c r="K661" t="s">
        <v>22</v>
      </c>
      <c r="L661" t="s">
        <v>88</v>
      </c>
      <c r="M661">
        <f>IFERROR( _xlfn.XLOOKUP(TRIM(tbl_HR_Data[[#This Row],[Age]]),#REF!,#REF!), VALUE(TRIM(tbl_HR_Data[[#This Row],[Age]])))</f>
        <v>25</v>
      </c>
      <c r="N661" t="str">
        <f>IFERROR(_xlfn.XLOOKUP(tbl_HR_Data[[#This Row],[Gender]], Mapping[Gender _Discarded], Mapping[Gender_Correction]), PROPER(TRIM(tbl_HR_Data[[#This Row],[Gender]])))</f>
        <v>Other</v>
      </c>
      <c r="O661" t="str">
        <f>TRIM(tbl_HR_Data[[#This Row],[Position]])</f>
        <v>Analyst</v>
      </c>
      <c r="P661" t="str">
        <f>IFERROR(_xlfn.XLOOKUP(tbl_HR_Data[[#This Row],[Email]], Mapping[Email_Discarded], Mapping[Email_Correction]), LOWER(TRIM(tbl_HR_Data[[#This Row],[Email]])))</f>
        <v>user@domain.com</v>
      </c>
      <c r="Q66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661" t="str" cm="1">
        <f t="array" ref="R661">_xlfn.REDUCE(Q661, {"-","/","_","\","(",")"}, _xlfn.LAMBDA(_xlpm.txt,_xlpm.itm, SUBSTITUTE(_xlpm.txt, _xlpm.itm, "")))</f>
        <v>0987654321</v>
      </c>
      <c r="S661" s="3">
        <f>IFERROR(_xlfn.XLOOKUP(tbl_HR_Data[[#This Row],[Joining Date]], Mapping[Joining_Discarded], Mapping[Joining_Correction]), VALUE(tbl_HR_Data[[#This Row],[Joining Date]]))</f>
        <v>43845</v>
      </c>
      <c r="T661" t="str">
        <f>TEXT(tbl_HR_Data[[#This Row],[Joining Date]], "mmm")</f>
        <v>Jan</v>
      </c>
      <c r="U661" t="str">
        <f>TEXT(tbl_HR_Data[[#This Row],[Joining Date]], "ddd")</f>
        <v>Wed</v>
      </c>
    </row>
    <row r="662" spans="1:21" x14ac:dyDescent="0.35">
      <c r="A662" t="s">
        <v>103</v>
      </c>
      <c r="B662">
        <v>25</v>
      </c>
      <c r="C662">
        <v>65000</v>
      </c>
      <c r="D662" t="s">
        <v>36</v>
      </c>
      <c r="E662" t="s">
        <v>26</v>
      </c>
      <c r="F662" t="s">
        <v>13</v>
      </c>
      <c r="G662" s="3">
        <v>43845</v>
      </c>
      <c r="H662" t="str">
        <f>TEXT(tbl_HR_Data[[#This Row],[Joining Date]], "mmm")</f>
        <v>Jan</v>
      </c>
      <c r="I662" t="s">
        <v>95</v>
      </c>
      <c r="J662" t="s">
        <v>21</v>
      </c>
      <c r="K662" t="s">
        <v>32</v>
      </c>
      <c r="L662" t="s">
        <v>88</v>
      </c>
      <c r="M662">
        <f>IFERROR( _xlfn.XLOOKUP(TRIM(tbl_HR_Data[[#This Row],[Age]]),#REF!,#REF!), VALUE(TRIM(tbl_HR_Data[[#This Row],[Age]])))</f>
        <v>25</v>
      </c>
      <c r="N662" t="str">
        <f>IFERROR(_xlfn.XLOOKUP(tbl_HR_Data[[#This Row],[Gender]], Mapping[Gender _Discarded], Mapping[Gender_Correction]), PROPER(TRIM(tbl_HR_Data[[#This Row],[Gender]])))</f>
        <v>Other</v>
      </c>
      <c r="O662" t="str">
        <f>TRIM(tbl_HR_Data[[#This Row],[Position]])</f>
        <v>Manager</v>
      </c>
      <c r="P662" t="str">
        <f>IFERROR(_xlfn.XLOOKUP(tbl_HR_Data[[#This Row],[Email]], Mapping[Email_Discarded], Mapping[Email_Correction]), LOWER(TRIM(tbl_HR_Data[[#This Row],[Email]])))</f>
        <v>name@company.org</v>
      </c>
      <c r="Q66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662" t="str" cm="1">
        <f t="array" ref="R662">_xlfn.REDUCE(Q662, {"-","/","_","\","(",")"}, _xlfn.LAMBDA(_xlpm.txt,_xlpm.itm, SUBSTITUTE(_xlpm.txt, _xlpm.itm, "")))</f>
        <v>0987654321</v>
      </c>
      <c r="S662" s="3">
        <f>IFERROR(_xlfn.XLOOKUP(tbl_HR_Data[[#This Row],[Joining Date]], Mapping[Joining_Discarded], Mapping[Joining_Correction]), VALUE(tbl_HR_Data[[#This Row],[Joining Date]]))</f>
        <v>43845</v>
      </c>
      <c r="T662" t="str">
        <f>TEXT(tbl_HR_Data[[#This Row],[Joining Date]], "mmm")</f>
        <v>Jan</v>
      </c>
      <c r="U662" t="str">
        <f>TEXT(tbl_HR_Data[[#This Row],[Joining Date]], "ddd")</f>
        <v>Wed</v>
      </c>
    </row>
    <row r="663" spans="1:21" x14ac:dyDescent="0.35">
      <c r="A663" t="s">
        <v>107</v>
      </c>
      <c r="B663">
        <v>30</v>
      </c>
      <c r="C663">
        <v>70000</v>
      </c>
      <c r="D663" t="s">
        <v>18</v>
      </c>
      <c r="E663" t="s">
        <v>19</v>
      </c>
      <c r="F663" t="s">
        <v>39</v>
      </c>
      <c r="G663" s="3">
        <v>43845</v>
      </c>
      <c r="H663" t="str">
        <f>TEXT(tbl_HR_Data[[#This Row],[Joining Date]], "mmm")</f>
        <v>Jan</v>
      </c>
      <c r="I663" t="s">
        <v>95</v>
      </c>
      <c r="J663" t="s">
        <v>21</v>
      </c>
      <c r="K663" t="s">
        <v>15</v>
      </c>
      <c r="L663" t="s">
        <v>88</v>
      </c>
      <c r="M663">
        <f>IFERROR( _xlfn.XLOOKUP(TRIM(tbl_HR_Data[[#This Row],[Age]]),#REF!,#REF!), VALUE(TRIM(tbl_HR_Data[[#This Row],[Age]])))</f>
        <v>30</v>
      </c>
      <c r="N663" t="str">
        <f>IFERROR(_xlfn.XLOOKUP(tbl_HR_Data[[#This Row],[Gender]], Mapping[Gender _Discarded], Mapping[Gender_Correction]), PROPER(TRIM(tbl_HR_Data[[#This Row],[Gender]])))</f>
        <v>Female</v>
      </c>
      <c r="O663" t="str">
        <f>TRIM(tbl_HR_Data[[#This Row],[Position]])</f>
        <v>Clerk</v>
      </c>
      <c r="P663" t="str">
        <f>IFERROR(_xlfn.XLOOKUP(tbl_HR_Data[[#This Row],[Email]], Mapping[Email_Discarded], Mapping[Email_Correction]), LOWER(TRIM(tbl_HR_Data[[#This Row],[Email]])))</f>
        <v>email@example.com</v>
      </c>
      <c r="Q66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663" t="str" cm="1">
        <f t="array" ref="R663">_xlfn.REDUCE(Q663, {"-","/","_","\","(",")"}, _xlfn.LAMBDA(_xlpm.txt,_xlpm.itm, SUBSTITUTE(_xlpm.txt, _xlpm.itm, "")))</f>
        <v>0987654321</v>
      </c>
      <c r="S663" s="3">
        <f>IFERROR(_xlfn.XLOOKUP(tbl_HR_Data[[#This Row],[Joining Date]], Mapping[Joining_Discarded], Mapping[Joining_Correction]), VALUE(tbl_HR_Data[[#This Row],[Joining Date]]))</f>
        <v>43845</v>
      </c>
      <c r="T663" t="str">
        <f>TEXT(tbl_HR_Data[[#This Row],[Joining Date]], "mmm")</f>
        <v>Jan</v>
      </c>
      <c r="U663" t="str">
        <f>TEXT(tbl_HR_Data[[#This Row],[Joining Date]], "ddd")</f>
        <v>Wed</v>
      </c>
    </row>
    <row r="664" spans="1:21" x14ac:dyDescent="0.35">
      <c r="A664" t="s">
        <v>108</v>
      </c>
      <c r="B664">
        <v>30</v>
      </c>
      <c r="C664">
        <v>60000</v>
      </c>
      <c r="D664" t="s">
        <v>11</v>
      </c>
      <c r="E664" t="s">
        <v>26</v>
      </c>
      <c r="F664" t="s">
        <v>44</v>
      </c>
      <c r="G664" s="3">
        <v>43845</v>
      </c>
      <c r="H664" t="str">
        <f>TEXT(tbl_HR_Data[[#This Row],[Joining Date]], "mmm")</f>
        <v>Jan</v>
      </c>
      <c r="I664" t="s">
        <v>95</v>
      </c>
      <c r="J664" t="s">
        <v>41</v>
      </c>
      <c r="K664" t="s">
        <v>32</v>
      </c>
      <c r="L664" t="s">
        <v>77</v>
      </c>
      <c r="M664">
        <f>IFERROR( _xlfn.XLOOKUP(TRIM(tbl_HR_Data[[#This Row],[Age]]),#REF!,#REF!), VALUE(TRIM(tbl_HR_Data[[#This Row],[Age]])))</f>
        <v>30</v>
      </c>
      <c r="N664" t="str">
        <f>IFERROR(_xlfn.XLOOKUP(tbl_HR_Data[[#This Row],[Gender]], Mapping[Gender _Discarded], Mapping[Gender_Correction]), PROPER(TRIM(tbl_HR_Data[[#This Row],[Gender]])))</f>
        <v>Male</v>
      </c>
      <c r="O664" t="str">
        <f>TRIM(tbl_HR_Data[[#This Row],[Position]])</f>
        <v>Analyst</v>
      </c>
      <c r="P664" t="str">
        <f>IFERROR(_xlfn.XLOOKUP(tbl_HR_Data[[#This Row],[Email]], Mapping[Email_Discarded], Mapping[Email_Correction]), LOWER(TRIM(tbl_HR_Data[[#This Row],[Email]])))</f>
        <v>name@company.org</v>
      </c>
      <c r="Q66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64" t="str" cm="1">
        <f t="array" ref="R664">_xlfn.REDUCE(Q664, {"-","/","_","\","(",")"}, _xlfn.LAMBDA(_xlpm.txt,_xlpm.itm, SUBSTITUTE(_xlpm.txt, _xlpm.itm, "")))</f>
        <v>Not Provided</v>
      </c>
      <c r="S664" s="3">
        <f>IFERROR(_xlfn.XLOOKUP(tbl_HR_Data[[#This Row],[Joining Date]], Mapping[Joining_Discarded], Mapping[Joining_Correction]), VALUE(tbl_HR_Data[[#This Row],[Joining Date]]))</f>
        <v>43845</v>
      </c>
      <c r="T664" t="str">
        <f>TEXT(tbl_HR_Data[[#This Row],[Joining Date]], "mmm")</f>
        <v>Jan</v>
      </c>
      <c r="U664" t="str">
        <f>TEXT(tbl_HR_Data[[#This Row],[Joining Date]], "ddd")</f>
        <v>Wed</v>
      </c>
    </row>
    <row r="665" spans="1:21" x14ac:dyDescent="0.35">
      <c r="A665" t="s">
        <v>107</v>
      </c>
      <c r="B665">
        <v>0</v>
      </c>
      <c r="C665">
        <v>0</v>
      </c>
      <c r="D665" t="s">
        <v>11</v>
      </c>
      <c r="E665" t="s">
        <v>12</v>
      </c>
      <c r="F665" t="s">
        <v>39</v>
      </c>
      <c r="G665" s="3">
        <v>43845</v>
      </c>
      <c r="H665" t="str">
        <f>TEXT(tbl_HR_Data[[#This Row],[Joining Date]], "mmm")</f>
        <v>Jan</v>
      </c>
      <c r="I665" t="s">
        <v>95</v>
      </c>
      <c r="J665" t="s">
        <v>41</v>
      </c>
      <c r="K665" t="s">
        <v>77</v>
      </c>
      <c r="L665" t="s">
        <v>88</v>
      </c>
      <c r="M665">
        <f>IFERROR( _xlfn.XLOOKUP(TRIM(tbl_HR_Data[[#This Row],[Age]]),#REF!,#REF!), VALUE(TRIM(tbl_HR_Data[[#This Row],[Age]])))</f>
        <v>0</v>
      </c>
      <c r="N665" t="str">
        <f>IFERROR(_xlfn.XLOOKUP(tbl_HR_Data[[#This Row],[Gender]], Mapping[Gender _Discarded], Mapping[Gender_Correction]), PROPER(TRIM(tbl_HR_Data[[#This Row],[Gender]])))</f>
        <v>Male</v>
      </c>
      <c r="O665" t="str">
        <f>TRIM(tbl_HR_Data[[#This Row],[Position]])</f>
        <v>Clerk</v>
      </c>
      <c r="P665" t="str">
        <f>IFERROR(_xlfn.XLOOKUP(tbl_HR_Data[[#This Row],[Email]], Mapping[Email_Discarded], Mapping[Email_Correction]), LOWER(TRIM(tbl_HR_Data[[#This Row],[Email]])))</f>
        <v>not provided</v>
      </c>
      <c r="Q66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665" t="str" cm="1">
        <f t="array" ref="R665">_xlfn.REDUCE(Q665, {"-","/","_","\","(",")"}, _xlfn.LAMBDA(_xlpm.txt,_xlpm.itm, SUBSTITUTE(_xlpm.txt, _xlpm.itm, "")))</f>
        <v>0987654321</v>
      </c>
      <c r="S665" s="3">
        <f>IFERROR(_xlfn.XLOOKUP(tbl_HR_Data[[#This Row],[Joining Date]], Mapping[Joining_Discarded], Mapping[Joining_Correction]), VALUE(tbl_HR_Data[[#This Row],[Joining Date]]))</f>
        <v>43845</v>
      </c>
      <c r="T665" t="str">
        <f>TEXT(tbl_HR_Data[[#This Row],[Joining Date]], "mmm")</f>
        <v>Jan</v>
      </c>
      <c r="U665" t="str">
        <f>TEXT(tbl_HR_Data[[#This Row],[Joining Date]], "ddd")</f>
        <v>Wed</v>
      </c>
    </row>
    <row r="666" spans="1:21" x14ac:dyDescent="0.35">
      <c r="A666" t="s">
        <v>100</v>
      </c>
      <c r="B666">
        <v>35</v>
      </c>
      <c r="C666">
        <v>55000</v>
      </c>
      <c r="D666" t="s">
        <v>36</v>
      </c>
      <c r="E666" t="s">
        <v>30</v>
      </c>
      <c r="F666" t="s">
        <v>44</v>
      </c>
      <c r="G666" s="3">
        <v>43845</v>
      </c>
      <c r="H666" t="str">
        <f>TEXT(tbl_HR_Data[[#This Row],[Joining Date]], "mmm")</f>
        <v>Jan</v>
      </c>
      <c r="I666" t="s">
        <v>95</v>
      </c>
      <c r="J666" t="s">
        <v>14</v>
      </c>
      <c r="K666" t="s">
        <v>22</v>
      </c>
      <c r="L666" t="s">
        <v>89</v>
      </c>
      <c r="M666">
        <f>IFERROR( _xlfn.XLOOKUP(TRIM(tbl_HR_Data[[#This Row],[Age]]),#REF!,#REF!), VALUE(TRIM(tbl_HR_Data[[#This Row],[Age]])))</f>
        <v>35</v>
      </c>
      <c r="N666" t="str">
        <f>IFERROR(_xlfn.XLOOKUP(tbl_HR_Data[[#This Row],[Gender]], Mapping[Gender _Discarded], Mapping[Gender_Correction]), PROPER(TRIM(tbl_HR_Data[[#This Row],[Gender]])))</f>
        <v>Other</v>
      </c>
      <c r="O666" t="str">
        <f>TRIM(tbl_HR_Data[[#This Row],[Position]])</f>
        <v>Analyst</v>
      </c>
      <c r="P666" t="str">
        <f>IFERROR(_xlfn.XLOOKUP(tbl_HR_Data[[#This Row],[Email]], Mapping[Email_Discarded], Mapping[Email_Correction]), LOWER(TRIM(tbl_HR_Data[[#This Row],[Email]])))</f>
        <v>user@domain.com</v>
      </c>
      <c r="Q66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666" t="str" cm="1">
        <f t="array" ref="R666">_xlfn.REDUCE(Q666, {"-","/","_","\","(",")"}, _xlfn.LAMBDA(_xlpm.txt,_xlpm.itm, SUBSTITUTE(_xlpm.txt, _xlpm.itm, "")))</f>
        <v>5555555555</v>
      </c>
      <c r="S666" s="3">
        <f>IFERROR(_xlfn.XLOOKUP(tbl_HR_Data[[#This Row],[Joining Date]], Mapping[Joining_Discarded], Mapping[Joining_Correction]), VALUE(tbl_HR_Data[[#This Row],[Joining Date]]))</f>
        <v>43845</v>
      </c>
      <c r="T666" t="str">
        <f>TEXT(tbl_HR_Data[[#This Row],[Joining Date]], "mmm")</f>
        <v>Jan</v>
      </c>
      <c r="U666" t="str">
        <f>TEXT(tbl_HR_Data[[#This Row],[Joining Date]], "ddd")</f>
        <v>Wed</v>
      </c>
    </row>
    <row r="667" spans="1:21" x14ac:dyDescent="0.35">
      <c r="A667" t="s">
        <v>108</v>
      </c>
      <c r="B667">
        <v>25</v>
      </c>
      <c r="C667">
        <v>55000</v>
      </c>
      <c r="D667" t="s">
        <v>18</v>
      </c>
      <c r="E667" t="s">
        <v>19</v>
      </c>
      <c r="F667" t="s">
        <v>43</v>
      </c>
      <c r="G667" s="3">
        <v>43845</v>
      </c>
      <c r="H667" t="str">
        <f>TEXT(tbl_HR_Data[[#This Row],[Joining Date]], "mmm")</f>
        <v>Jan</v>
      </c>
      <c r="I667" t="s">
        <v>95</v>
      </c>
      <c r="J667" t="s">
        <v>27</v>
      </c>
      <c r="K667" t="s">
        <v>15</v>
      </c>
      <c r="L667" t="s">
        <v>87</v>
      </c>
      <c r="M667">
        <f>IFERROR( _xlfn.XLOOKUP(TRIM(tbl_HR_Data[[#This Row],[Age]]),#REF!,#REF!), VALUE(TRIM(tbl_HR_Data[[#This Row],[Age]])))</f>
        <v>25</v>
      </c>
      <c r="N667" t="str">
        <f>IFERROR(_xlfn.XLOOKUP(tbl_HR_Data[[#This Row],[Gender]], Mapping[Gender _Discarded], Mapping[Gender_Correction]), PROPER(TRIM(tbl_HR_Data[[#This Row],[Gender]])))</f>
        <v>Female</v>
      </c>
      <c r="O667" t="str">
        <f>TRIM(tbl_HR_Data[[#This Row],[Position]])</f>
        <v>Assistant</v>
      </c>
      <c r="P667" t="str">
        <f>IFERROR(_xlfn.XLOOKUP(tbl_HR_Data[[#This Row],[Email]], Mapping[Email_Discarded], Mapping[Email_Correction]), LOWER(TRIM(tbl_HR_Data[[#This Row],[Email]])))</f>
        <v>email@example.com</v>
      </c>
      <c r="Q66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667" t="str" cm="1">
        <f t="array" ref="R667">_xlfn.REDUCE(Q667, {"-","/","_","\","(",")"}, _xlfn.LAMBDA(_xlpm.txt,_xlpm.itm, SUBSTITUTE(_xlpm.txt, _xlpm.itm, "")))</f>
        <v>1234567890</v>
      </c>
      <c r="S667" s="3">
        <f>IFERROR(_xlfn.XLOOKUP(tbl_HR_Data[[#This Row],[Joining Date]], Mapping[Joining_Discarded], Mapping[Joining_Correction]), VALUE(tbl_HR_Data[[#This Row],[Joining Date]]))</f>
        <v>43845</v>
      </c>
      <c r="T667" t="str">
        <f>TEXT(tbl_HR_Data[[#This Row],[Joining Date]], "mmm")</f>
        <v>Jan</v>
      </c>
      <c r="U667" t="str">
        <f>TEXT(tbl_HR_Data[[#This Row],[Joining Date]], "ddd")</f>
        <v>Wed</v>
      </c>
    </row>
    <row r="668" spans="1:21" x14ac:dyDescent="0.35">
      <c r="A668" t="s">
        <v>105</v>
      </c>
      <c r="B668">
        <v>25</v>
      </c>
      <c r="C668">
        <v>70000</v>
      </c>
      <c r="D668" t="s">
        <v>36</v>
      </c>
      <c r="E668" t="s">
        <v>37</v>
      </c>
      <c r="F668" t="s">
        <v>44</v>
      </c>
      <c r="G668" s="3">
        <v>43845</v>
      </c>
      <c r="H668" t="str">
        <f>TEXT(tbl_HR_Data[[#This Row],[Joining Date]], "mmm")</f>
        <v>Jan</v>
      </c>
      <c r="I668" t="s">
        <v>95</v>
      </c>
      <c r="J668" t="s">
        <v>31</v>
      </c>
      <c r="K668" t="s">
        <v>22</v>
      </c>
      <c r="L668" t="s">
        <v>77</v>
      </c>
      <c r="M668">
        <f>IFERROR( _xlfn.XLOOKUP(TRIM(tbl_HR_Data[[#This Row],[Age]]),#REF!,#REF!), VALUE(TRIM(tbl_HR_Data[[#This Row],[Age]])))</f>
        <v>25</v>
      </c>
      <c r="N668" t="str">
        <f>IFERROR(_xlfn.XLOOKUP(tbl_HR_Data[[#This Row],[Gender]], Mapping[Gender _Discarded], Mapping[Gender_Correction]), PROPER(TRIM(tbl_HR_Data[[#This Row],[Gender]])))</f>
        <v>Other</v>
      </c>
      <c r="O668" t="str">
        <f>TRIM(tbl_HR_Data[[#This Row],[Position]])</f>
        <v>Analyst</v>
      </c>
      <c r="P668" t="str">
        <f>IFERROR(_xlfn.XLOOKUP(tbl_HR_Data[[#This Row],[Email]], Mapping[Email_Discarded], Mapping[Email_Correction]), LOWER(TRIM(tbl_HR_Data[[#This Row],[Email]])))</f>
        <v>user@domain.com</v>
      </c>
      <c r="Q66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68" t="str" cm="1">
        <f t="array" ref="R668">_xlfn.REDUCE(Q668, {"-","/","_","\","(",")"}, _xlfn.LAMBDA(_xlpm.txt,_xlpm.itm, SUBSTITUTE(_xlpm.txt, _xlpm.itm, "")))</f>
        <v>Not Provided</v>
      </c>
      <c r="S668" s="3">
        <f>IFERROR(_xlfn.XLOOKUP(tbl_HR_Data[[#This Row],[Joining Date]], Mapping[Joining_Discarded], Mapping[Joining_Correction]), VALUE(tbl_HR_Data[[#This Row],[Joining Date]]))</f>
        <v>43845</v>
      </c>
      <c r="T668" t="str">
        <f>TEXT(tbl_HR_Data[[#This Row],[Joining Date]], "mmm")</f>
        <v>Jan</v>
      </c>
      <c r="U668" t="str">
        <f>TEXT(tbl_HR_Data[[#This Row],[Joining Date]], "ddd")</f>
        <v>Wed</v>
      </c>
    </row>
    <row r="669" spans="1:21" x14ac:dyDescent="0.35">
      <c r="A669" t="s">
        <v>99</v>
      </c>
      <c r="B669">
        <v>30</v>
      </c>
      <c r="C669">
        <v>50000</v>
      </c>
      <c r="D669" t="s">
        <v>11</v>
      </c>
      <c r="E669" t="s">
        <v>19</v>
      </c>
      <c r="F669" t="s">
        <v>44</v>
      </c>
      <c r="G669" s="3">
        <v>43845</v>
      </c>
      <c r="H669" t="str">
        <f>TEXT(tbl_HR_Data[[#This Row],[Joining Date]], "mmm")</f>
        <v>Jan</v>
      </c>
      <c r="I669" t="s">
        <v>95</v>
      </c>
      <c r="J669" t="s">
        <v>21</v>
      </c>
      <c r="K669" t="s">
        <v>77</v>
      </c>
      <c r="L669" t="s">
        <v>77</v>
      </c>
      <c r="M669">
        <f>IFERROR( _xlfn.XLOOKUP(TRIM(tbl_HR_Data[[#This Row],[Age]]),#REF!,#REF!), VALUE(TRIM(tbl_HR_Data[[#This Row],[Age]])))</f>
        <v>30</v>
      </c>
      <c r="N669" t="str">
        <f>IFERROR(_xlfn.XLOOKUP(tbl_HR_Data[[#This Row],[Gender]], Mapping[Gender _Discarded], Mapping[Gender_Correction]), PROPER(TRIM(tbl_HR_Data[[#This Row],[Gender]])))</f>
        <v>Male</v>
      </c>
      <c r="O669" t="str">
        <f>TRIM(tbl_HR_Data[[#This Row],[Position]])</f>
        <v>Analyst</v>
      </c>
      <c r="P669" t="str">
        <f>IFERROR(_xlfn.XLOOKUP(tbl_HR_Data[[#This Row],[Email]], Mapping[Email_Discarded], Mapping[Email_Correction]), LOWER(TRIM(tbl_HR_Data[[#This Row],[Email]])))</f>
        <v>not provided</v>
      </c>
      <c r="Q66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69" t="str" cm="1">
        <f t="array" ref="R669">_xlfn.REDUCE(Q669, {"-","/","_","\","(",")"}, _xlfn.LAMBDA(_xlpm.txt,_xlpm.itm, SUBSTITUTE(_xlpm.txt, _xlpm.itm, "")))</f>
        <v>Not Provided</v>
      </c>
      <c r="S669" s="3">
        <f>IFERROR(_xlfn.XLOOKUP(tbl_HR_Data[[#This Row],[Joining Date]], Mapping[Joining_Discarded], Mapping[Joining_Correction]), VALUE(tbl_HR_Data[[#This Row],[Joining Date]]))</f>
        <v>43845</v>
      </c>
      <c r="T669" t="str">
        <f>TEXT(tbl_HR_Data[[#This Row],[Joining Date]], "mmm")</f>
        <v>Jan</v>
      </c>
      <c r="U669" t="str">
        <f>TEXT(tbl_HR_Data[[#This Row],[Joining Date]], "ddd")</f>
        <v>Wed</v>
      </c>
    </row>
    <row r="670" spans="1:21" x14ac:dyDescent="0.35">
      <c r="A670" t="s">
        <v>103</v>
      </c>
      <c r="B670">
        <v>50</v>
      </c>
      <c r="C670">
        <v>70000</v>
      </c>
      <c r="D670" t="s">
        <v>11</v>
      </c>
      <c r="E670" t="s">
        <v>19</v>
      </c>
      <c r="F670" t="s">
        <v>39</v>
      </c>
      <c r="G670" s="3">
        <v>43845</v>
      </c>
      <c r="H670" t="str">
        <f>TEXT(tbl_HR_Data[[#This Row],[Joining Date]], "mmm")</f>
        <v>Jan</v>
      </c>
      <c r="I670" t="s">
        <v>95</v>
      </c>
      <c r="J670" t="s">
        <v>27</v>
      </c>
      <c r="K670" t="s">
        <v>77</v>
      </c>
      <c r="L670" t="s">
        <v>88</v>
      </c>
      <c r="M670">
        <f>IFERROR( _xlfn.XLOOKUP(TRIM(tbl_HR_Data[[#This Row],[Age]]),#REF!,#REF!), VALUE(TRIM(tbl_HR_Data[[#This Row],[Age]])))</f>
        <v>50</v>
      </c>
      <c r="N670" t="str">
        <f>IFERROR(_xlfn.XLOOKUP(tbl_HR_Data[[#This Row],[Gender]], Mapping[Gender _Discarded], Mapping[Gender_Correction]), PROPER(TRIM(tbl_HR_Data[[#This Row],[Gender]])))</f>
        <v>Male</v>
      </c>
      <c r="O670" t="str">
        <f>TRIM(tbl_HR_Data[[#This Row],[Position]])</f>
        <v>Clerk</v>
      </c>
      <c r="P670" t="str">
        <f>IFERROR(_xlfn.XLOOKUP(tbl_HR_Data[[#This Row],[Email]], Mapping[Email_Discarded], Mapping[Email_Correction]), LOWER(TRIM(tbl_HR_Data[[#This Row],[Email]])))</f>
        <v>not provided</v>
      </c>
      <c r="Q67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670" t="str" cm="1">
        <f t="array" ref="R670">_xlfn.REDUCE(Q670, {"-","/","_","\","(",")"}, _xlfn.LAMBDA(_xlpm.txt,_xlpm.itm, SUBSTITUTE(_xlpm.txt, _xlpm.itm, "")))</f>
        <v>0987654321</v>
      </c>
      <c r="S670" s="3">
        <f>IFERROR(_xlfn.XLOOKUP(tbl_HR_Data[[#This Row],[Joining Date]], Mapping[Joining_Discarded], Mapping[Joining_Correction]), VALUE(tbl_HR_Data[[#This Row],[Joining Date]]))</f>
        <v>43845</v>
      </c>
      <c r="T670" t="str">
        <f>TEXT(tbl_HR_Data[[#This Row],[Joining Date]], "mmm")</f>
        <v>Jan</v>
      </c>
      <c r="U670" t="str">
        <f>TEXT(tbl_HR_Data[[#This Row],[Joining Date]], "ddd")</f>
        <v>Wed</v>
      </c>
    </row>
    <row r="671" spans="1:21" x14ac:dyDescent="0.35">
      <c r="A671" t="s">
        <v>99</v>
      </c>
      <c r="B671">
        <v>30</v>
      </c>
      <c r="C671">
        <v>70000</v>
      </c>
      <c r="D671" t="s">
        <v>11</v>
      </c>
      <c r="E671" t="s">
        <v>26</v>
      </c>
      <c r="F671" t="s">
        <v>13</v>
      </c>
      <c r="G671" s="3">
        <v>43845</v>
      </c>
      <c r="H671" t="str">
        <f>TEXT(tbl_HR_Data[[#This Row],[Joining Date]], "mmm")</f>
        <v>Jan</v>
      </c>
      <c r="I671" t="s">
        <v>95</v>
      </c>
      <c r="J671" t="s">
        <v>14</v>
      </c>
      <c r="K671" t="s">
        <v>77</v>
      </c>
      <c r="L671" t="s">
        <v>89</v>
      </c>
      <c r="M671">
        <f>IFERROR( _xlfn.XLOOKUP(TRIM(tbl_HR_Data[[#This Row],[Age]]),#REF!,#REF!), VALUE(TRIM(tbl_HR_Data[[#This Row],[Age]])))</f>
        <v>30</v>
      </c>
      <c r="N671" t="str">
        <f>IFERROR(_xlfn.XLOOKUP(tbl_HR_Data[[#This Row],[Gender]], Mapping[Gender _Discarded], Mapping[Gender_Correction]), PROPER(TRIM(tbl_HR_Data[[#This Row],[Gender]])))</f>
        <v>Male</v>
      </c>
      <c r="O671" t="str">
        <f>TRIM(tbl_HR_Data[[#This Row],[Position]])</f>
        <v>Manager</v>
      </c>
      <c r="P671" t="str">
        <f>IFERROR(_xlfn.XLOOKUP(tbl_HR_Data[[#This Row],[Email]], Mapping[Email_Discarded], Mapping[Email_Correction]), LOWER(TRIM(tbl_HR_Data[[#This Row],[Email]])))</f>
        <v>not provided</v>
      </c>
      <c r="Q67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671" t="str" cm="1">
        <f t="array" ref="R671">_xlfn.REDUCE(Q671, {"-","/","_","\","(",")"}, _xlfn.LAMBDA(_xlpm.txt,_xlpm.itm, SUBSTITUTE(_xlpm.txt, _xlpm.itm, "")))</f>
        <v>5555555555</v>
      </c>
      <c r="S671" s="3">
        <f>IFERROR(_xlfn.XLOOKUP(tbl_HR_Data[[#This Row],[Joining Date]], Mapping[Joining_Discarded], Mapping[Joining_Correction]), VALUE(tbl_HR_Data[[#This Row],[Joining Date]]))</f>
        <v>43845</v>
      </c>
      <c r="T671" t="str">
        <f>TEXT(tbl_HR_Data[[#This Row],[Joining Date]], "mmm")</f>
        <v>Jan</v>
      </c>
      <c r="U671" t="str">
        <f>TEXT(tbl_HR_Data[[#This Row],[Joining Date]], "ddd")</f>
        <v>Wed</v>
      </c>
    </row>
    <row r="672" spans="1:21" x14ac:dyDescent="0.35">
      <c r="A672" t="s">
        <v>100</v>
      </c>
      <c r="B672">
        <v>35</v>
      </c>
      <c r="C672">
        <v>60000</v>
      </c>
      <c r="D672" t="s">
        <v>18</v>
      </c>
      <c r="E672" t="s">
        <v>12</v>
      </c>
      <c r="F672" t="s">
        <v>20</v>
      </c>
      <c r="G672" s="3">
        <v>43845</v>
      </c>
      <c r="H672" t="str">
        <f>TEXT(tbl_HR_Data[[#This Row],[Joining Date]], "mmm")</f>
        <v>Jan</v>
      </c>
      <c r="I672" t="s">
        <v>95</v>
      </c>
      <c r="J672" t="s">
        <v>27</v>
      </c>
      <c r="K672" t="s">
        <v>15</v>
      </c>
      <c r="L672" t="s">
        <v>77</v>
      </c>
      <c r="M672">
        <f>IFERROR( _xlfn.XLOOKUP(TRIM(tbl_HR_Data[[#This Row],[Age]]),#REF!,#REF!), VALUE(TRIM(tbl_HR_Data[[#This Row],[Age]])))</f>
        <v>35</v>
      </c>
      <c r="N672" t="str">
        <f>IFERROR(_xlfn.XLOOKUP(tbl_HR_Data[[#This Row],[Gender]], Mapping[Gender _Discarded], Mapping[Gender_Correction]), PROPER(TRIM(tbl_HR_Data[[#This Row],[Gender]])))</f>
        <v>Female</v>
      </c>
      <c r="O672" t="str">
        <f>TRIM(tbl_HR_Data[[#This Row],[Position]])</f>
        <v>Director</v>
      </c>
      <c r="P672" t="str">
        <f>IFERROR(_xlfn.XLOOKUP(tbl_HR_Data[[#This Row],[Email]], Mapping[Email_Discarded], Mapping[Email_Correction]), LOWER(TRIM(tbl_HR_Data[[#This Row],[Email]])))</f>
        <v>email@example.com</v>
      </c>
      <c r="Q67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72" t="str" cm="1">
        <f t="array" ref="R672">_xlfn.REDUCE(Q672, {"-","/","_","\","(",")"}, _xlfn.LAMBDA(_xlpm.txt,_xlpm.itm, SUBSTITUTE(_xlpm.txt, _xlpm.itm, "")))</f>
        <v>Not Provided</v>
      </c>
      <c r="S672" s="3">
        <f>IFERROR(_xlfn.XLOOKUP(tbl_HR_Data[[#This Row],[Joining Date]], Mapping[Joining_Discarded], Mapping[Joining_Correction]), VALUE(tbl_HR_Data[[#This Row],[Joining Date]]))</f>
        <v>43845</v>
      </c>
      <c r="T672" t="str">
        <f>TEXT(tbl_HR_Data[[#This Row],[Joining Date]], "mmm")</f>
        <v>Jan</v>
      </c>
      <c r="U672" t="str">
        <f>TEXT(tbl_HR_Data[[#This Row],[Joining Date]], "ddd")</f>
        <v>Wed</v>
      </c>
    </row>
    <row r="673" spans="1:21" x14ac:dyDescent="0.35">
      <c r="A673" t="s">
        <v>107</v>
      </c>
      <c r="B673">
        <v>30</v>
      </c>
      <c r="C673">
        <v>60000</v>
      </c>
      <c r="D673" t="s">
        <v>11</v>
      </c>
      <c r="E673" t="s">
        <v>12</v>
      </c>
      <c r="F673" t="s">
        <v>43</v>
      </c>
      <c r="G673" s="3">
        <v>43845</v>
      </c>
      <c r="H673" t="str">
        <f>TEXT(tbl_HR_Data[[#This Row],[Joining Date]], "mmm")</f>
        <v>Jan</v>
      </c>
      <c r="I673" t="s">
        <v>95</v>
      </c>
      <c r="J673" t="s">
        <v>27</v>
      </c>
      <c r="K673" t="s">
        <v>77</v>
      </c>
      <c r="L673" t="s">
        <v>77</v>
      </c>
      <c r="M673">
        <f>IFERROR( _xlfn.XLOOKUP(TRIM(tbl_HR_Data[[#This Row],[Age]]),#REF!,#REF!), VALUE(TRIM(tbl_HR_Data[[#This Row],[Age]])))</f>
        <v>30</v>
      </c>
      <c r="N673" t="str">
        <f>IFERROR(_xlfn.XLOOKUP(tbl_HR_Data[[#This Row],[Gender]], Mapping[Gender _Discarded], Mapping[Gender_Correction]), PROPER(TRIM(tbl_HR_Data[[#This Row],[Gender]])))</f>
        <v>Male</v>
      </c>
      <c r="O673" t="str">
        <f>TRIM(tbl_HR_Data[[#This Row],[Position]])</f>
        <v>Assistant</v>
      </c>
      <c r="P673" t="str">
        <f>IFERROR(_xlfn.XLOOKUP(tbl_HR_Data[[#This Row],[Email]], Mapping[Email_Discarded], Mapping[Email_Correction]), LOWER(TRIM(tbl_HR_Data[[#This Row],[Email]])))</f>
        <v>not provided</v>
      </c>
      <c r="Q67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73" t="str" cm="1">
        <f t="array" ref="R673">_xlfn.REDUCE(Q673, {"-","/","_","\","(",")"}, _xlfn.LAMBDA(_xlpm.txt,_xlpm.itm, SUBSTITUTE(_xlpm.txt, _xlpm.itm, "")))</f>
        <v>Not Provided</v>
      </c>
      <c r="S673" s="3">
        <f>IFERROR(_xlfn.XLOOKUP(tbl_HR_Data[[#This Row],[Joining Date]], Mapping[Joining_Discarded], Mapping[Joining_Correction]), VALUE(tbl_HR_Data[[#This Row],[Joining Date]]))</f>
        <v>43845</v>
      </c>
      <c r="T673" t="str">
        <f>TEXT(tbl_HR_Data[[#This Row],[Joining Date]], "mmm")</f>
        <v>Jan</v>
      </c>
      <c r="U673" t="str">
        <f>TEXT(tbl_HR_Data[[#This Row],[Joining Date]], "ddd")</f>
        <v>Wed</v>
      </c>
    </row>
    <row r="674" spans="1:21" x14ac:dyDescent="0.35">
      <c r="A674" t="s">
        <v>104</v>
      </c>
      <c r="B674">
        <v>30</v>
      </c>
      <c r="C674">
        <v>70000</v>
      </c>
      <c r="D674" t="s">
        <v>11</v>
      </c>
      <c r="E674" t="s">
        <v>26</v>
      </c>
      <c r="F674" t="s">
        <v>20</v>
      </c>
      <c r="G674" s="3">
        <v>43845</v>
      </c>
      <c r="H674" t="str">
        <f>TEXT(tbl_HR_Data[[#This Row],[Joining Date]], "mmm")</f>
        <v>Jan</v>
      </c>
      <c r="I674" t="s">
        <v>95</v>
      </c>
      <c r="J674" t="s">
        <v>41</v>
      </c>
      <c r="K674" t="s">
        <v>77</v>
      </c>
      <c r="L674" t="s">
        <v>89</v>
      </c>
      <c r="M674">
        <f>IFERROR( _xlfn.XLOOKUP(TRIM(tbl_HR_Data[[#This Row],[Age]]),#REF!,#REF!), VALUE(TRIM(tbl_HR_Data[[#This Row],[Age]])))</f>
        <v>30</v>
      </c>
      <c r="N674" t="str">
        <f>IFERROR(_xlfn.XLOOKUP(tbl_HR_Data[[#This Row],[Gender]], Mapping[Gender _Discarded], Mapping[Gender_Correction]), PROPER(TRIM(tbl_HR_Data[[#This Row],[Gender]])))</f>
        <v>Male</v>
      </c>
      <c r="O674" t="str">
        <f>TRIM(tbl_HR_Data[[#This Row],[Position]])</f>
        <v>Director</v>
      </c>
      <c r="P674" t="str">
        <f>IFERROR(_xlfn.XLOOKUP(tbl_HR_Data[[#This Row],[Email]], Mapping[Email_Discarded], Mapping[Email_Correction]), LOWER(TRIM(tbl_HR_Data[[#This Row],[Email]])))</f>
        <v>not provided</v>
      </c>
      <c r="Q67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674" t="str" cm="1">
        <f t="array" ref="R674">_xlfn.REDUCE(Q674, {"-","/","_","\","(",")"}, _xlfn.LAMBDA(_xlpm.txt,_xlpm.itm, SUBSTITUTE(_xlpm.txt, _xlpm.itm, "")))</f>
        <v>5555555555</v>
      </c>
      <c r="S674" s="3">
        <f>IFERROR(_xlfn.XLOOKUP(tbl_HR_Data[[#This Row],[Joining Date]], Mapping[Joining_Discarded], Mapping[Joining_Correction]), VALUE(tbl_HR_Data[[#This Row],[Joining Date]]))</f>
        <v>43845</v>
      </c>
      <c r="T674" t="str">
        <f>TEXT(tbl_HR_Data[[#This Row],[Joining Date]], "mmm")</f>
        <v>Jan</v>
      </c>
      <c r="U674" t="str">
        <f>TEXT(tbl_HR_Data[[#This Row],[Joining Date]], "ddd")</f>
        <v>Wed</v>
      </c>
    </row>
    <row r="675" spans="1:21" x14ac:dyDescent="0.35">
      <c r="A675" t="s">
        <v>107</v>
      </c>
      <c r="B675">
        <v>35</v>
      </c>
      <c r="C675">
        <v>55000</v>
      </c>
      <c r="D675" t="s">
        <v>36</v>
      </c>
      <c r="E675" t="s">
        <v>19</v>
      </c>
      <c r="F675" t="s">
        <v>44</v>
      </c>
      <c r="G675" s="3">
        <v>43845</v>
      </c>
      <c r="H675" t="str">
        <f>TEXT(tbl_HR_Data[[#This Row],[Joining Date]], "mmm")</f>
        <v>Jan</v>
      </c>
      <c r="I675" t="s">
        <v>95</v>
      </c>
      <c r="J675" t="s">
        <v>21</v>
      </c>
      <c r="K675" t="s">
        <v>15</v>
      </c>
      <c r="L675" t="s">
        <v>89</v>
      </c>
      <c r="M675">
        <f>IFERROR( _xlfn.XLOOKUP(TRIM(tbl_HR_Data[[#This Row],[Age]]),#REF!,#REF!), VALUE(TRIM(tbl_HR_Data[[#This Row],[Age]])))</f>
        <v>35</v>
      </c>
      <c r="N675" t="str">
        <f>IFERROR(_xlfn.XLOOKUP(tbl_HR_Data[[#This Row],[Gender]], Mapping[Gender _Discarded], Mapping[Gender_Correction]), PROPER(TRIM(tbl_HR_Data[[#This Row],[Gender]])))</f>
        <v>Other</v>
      </c>
      <c r="O675" t="str">
        <f>TRIM(tbl_HR_Data[[#This Row],[Position]])</f>
        <v>Analyst</v>
      </c>
      <c r="P675" t="str">
        <f>IFERROR(_xlfn.XLOOKUP(tbl_HR_Data[[#This Row],[Email]], Mapping[Email_Discarded], Mapping[Email_Correction]), LOWER(TRIM(tbl_HR_Data[[#This Row],[Email]])))</f>
        <v>email@example.com</v>
      </c>
      <c r="Q67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675" t="str" cm="1">
        <f t="array" ref="R675">_xlfn.REDUCE(Q675, {"-","/","_","\","(",")"}, _xlfn.LAMBDA(_xlpm.txt,_xlpm.itm, SUBSTITUTE(_xlpm.txt, _xlpm.itm, "")))</f>
        <v>5555555555</v>
      </c>
      <c r="S675" s="3">
        <f>IFERROR(_xlfn.XLOOKUP(tbl_HR_Data[[#This Row],[Joining Date]], Mapping[Joining_Discarded], Mapping[Joining_Correction]), VALUE(tbl_HR_Data[[#This Row],[Joining Date]]))</f>
        <v>43845</v>
      </c>
      <c r="T675" t="str">
        <f>TEXT(tbl_HR_Data[[#This Row],[Joining Date]], "mmm")</f>
        <v>Jan</v>
      </c>
      <c r="U675" t="str">
        <f>TEXT(tbl_HR_Data[[#This Row],[Joining Date]], "ddd")</f>
        <v>Wed</v>
      </c>
    </row>
    <row r="676" spans="1:21" x14ac:dyDescent="0.35">
      <c r="A676" t="s">
        <v>102</v>
      </c>
      <c r="B676">
        <v>25</v>
      </c>
      <c r="C676">
        <v>55000</v>
      </c>
      <c r="D676" t="s">
        <v>11</v>
      </c>
      <c r="E676" t="s">
        <v>19</v>
      </c>
      <c r="F676" t="s">
        <v>20</v>
      </c>
      <c r="G676" s="3">
        <v>43845</v>
      </c>
      <c r="H676" t="str">
        <f>TEXT(tbl_HR_Data[[#This Row],[Joining Date]], "mmm")</f>
        <v>Jan</v>
      </c>
      <c r="I676" t="s">
        <v>95</v>
      </c>
      <c r="J676" t="s">
        <v>14</v>
      </c>
      <c r="K676" t="s">
        <v>32</v>
      </c>
      <c r="L676" t="s">
        <v>88</v>
      </c>
      <c r="M676">
        <f>IFERROR( _xlfn.XLOOKUP(TRIM(tbl_HR_Data[[#This Row],[Age]]),#REF!,#REF!), VALUE(TRIM(tbl_HR_Data[[#This Row],[Age]])))</f>
        <v>25</v>
      </c>
      <c r="N676" t="str">
        <f>IFERROR(_xlfn.XLOOKUP(tbl_HR_Data[[#This Row],[Gender]], Mapping[Gender _Discarded], Mapping[Gender_Correction]), PROPER(TRIM(tbl_HR_Data[[#This Row],[Gender]])))</f>
        <v>Male</v>
      </c>
      <c r="O676" t="str">
        <f>TRIM(tbl_HR_Data[[#This Row],[Position]])</f>
        <v>Director</v>
      </c>
      <c r="P676" t="str">
        <f>IFERROR(_xlfn.XLOOKUP(tbl_HR_Data[[#This Row],[Email]], Mapping[Email_Discarded], Mapping[Email_Correction]), LOWER(TRIM(tbl_HR_Data[[#This Row],[Email]])))</f>
        <v>name@company.org</v>
      </c>
      <c r="Q67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676" t="str" cm="1">
        <f t="array" ref="R676">_xlfn.REDUCE(Q676, {"-","/","_","\","(",")"}, _xlfn.LAMBDA(_xlpm.txt,_xlpm.itm, SUBSTITUTE(_xlpm.txt, _xlpm.itm, "")))</f>
        <v>0987654321</v>
      </c>
      <c r="S676" s="3">
        <f>IFERROR(_xlfn.XLOOKUP(tbl_HR_Data[[#This Row],[Joining Date]], Mapping[Joining_Discarded], Mapping[Joining_Correction]), VALUE(tbl_HR_Data[[#This Row],[Joining Date]]))</f>
        <v>43845</v>
      </c>
      <c r="T676" t="str">
        <f>TEXT(tbl_HR_Data[[#This Row],[Joining Date]], "mmm")</f>
        <v>Jan</v>
      </c>
      <c r="U676" t="str">
        <f>TEXT(tbl_HR_Data[[#This Row],[Joining Date]], "ddd")</f>
        <v>Wed</v>
      </c>
    </row>
    <row r="677" spans="1:21" x14ac:dyDescent="0.35">
      <c r="A677" t="s">
        <v>99</v>
      </c>
      <c r="B677">
        <v>35</v>
      </c>
      <c r="C677">
        <v>70000</v>
      </c>
      <c r="D677" t="s">
        <v>11</v>
      </c>
      <c r="E677" t="s">
        <v>37</v>
      </c>
      <c r="F677" t="s">
        <v>20</v>
      </c>
      <c r="G677" s="3">
        <v>43845</v>
      </c>
      <c r="H677" t="str">
        <f>TEXT(tbl_HR_Data[[#This Row],[Joining Date]], "mmm")</f>
        <v>Jan</v>
      </c>
      <c r="I677" t="s">
        <v>95</v>
      </c>
      <c r="J677" t="s">
        <v>14</v>
      </c>
      <c r="K677" t="s">
        <v>15</v>
      </c>
      <c r="L677" t="s">
        <v>87</v>
      </c>
      <c r="M677">
        <f>IFERROR( _xlfn.XLOOKUP(TRIM(tbl_HR_Data[[#This Row],[Age]]),#REF!,#REF!), VALUE(TRIM(tbl_HR_Data[[#This Row],[Age]])))</f>
        <v>35</v>
      </c>
      <c r="N677" t="str">
        <f>IFERROR(_xlfn.XLOOKUP(tbl_HR_Data[[#This Row],[Gender]], Mapping[Gender _Discarded], Mapping[Gender_Correction]), PROPER(TRIM(tbl_HR_Data[[#This Row],[Gender]])))</f>
        <v>Male</v>
      </c>
      <c r="O677" t="str">
        <f>TRIM(tbl_HR_Data[[#This Row],[Position]])</f>
        <v>Director</v>
      </c>
      <c r="P677" t="str">
        <f>IFERROR(_xlfn.XLOOKUP(tbl_HR_Data[[#This Row],[Email]], Mapping[Email_Discarded], Mapping[Email_Correction]), LOWER(TRIM(tbl_HR_Data[[#This Row],[Email]])))</f>
        <v>email@example.com</v>
      </c>
      <c r="Q67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677" t="str" cm="1">
        <f t="array" ref="R677">_xlfn.REDUCE(Q677, {"-","/","_","\","(",")"}, _xlfn.LAMBDA(_xlpm.txt,_xlpm.itm, SUBSTITUTE(_xlpm.txt, _xlpm.itm, "")))</f>
        <v>1234567890</v>
      </c>
      <c r="S677" s="3">
        <f>IFERROR(_xlfn.XLOOKUP(tbl_HR_Data[[#This Row],[Joining Date]], Mapping[Joining_Discarded], Mapping[Joining_Correction]), VALUE(tbl_HR_Data[[#This Row],[Joining Date]]))</f>
        <v>43845</v>
      </c>
      <c r="T677" t="str">
        <f>TEXT(tbl_HR_Data[[#This Row],[Joining Date]], "mmm")</f>
        <v>Jan</v>
      </c>
      <c r="U677" t="str">
        <f>TEXT(tbl_HR_Data[[#This Row],[Joining Date]], "ddd")</f>
        <v>Wed</v>
      </c>
    </row>
    <row r="678" spans="1:21" x14ac:dyDescent="0.35">
      <c r="A678" t="s">
        <v>99</v>
      </c>
      <c r="B678">
        <v>35</v>
      </c>
      <c r="C678">
        <v>55000</v>
      </c>
      <c r="D678" t="s">
        <v>11</v>
      </c>
      <c r="E678" t="s">
        <v>26</v>
      </c>
      <c r="F678" t="s">
        <v>20</v>
      </c>
      <c r="G678" s="3">
        <v>43845</v>
      </c>
      <c r="H678" t="str">
        <f>TEXT(tbl_HR_Data[[#This Row],[Joining Date]], "mmm")</f>
        <v>Jan</v>
      </c>
      <c r="I678" t="s">
        <v>95</v>
      </c>
      <c r="J678" t="s">
        <v>31</v>
      </c>
      <c r="K678" t="s">
        <v>32</v>
      </c>
      <c r="L678" t="s">
        <v>77</v>
      </c>
      <c r="M678">
        <f>IFERROR( _xlfn.XLOOKUP(TRIM(tbl_HR_Data[[#This Row],[Age]]),#REF!,#REF!), VALUE(TRIM(tbl_HR_Data[[#This Row],[Age]])))</f>
        <v>35</v>
      </c>
      <c r="N678" t="str">
        <f>IFERROR(_xlfn.XLOOKUP(tbl_HR_Data[[#This Row],[Gender]], Mapping[Gender _Discarded], Mapping[Gender_Correction]), PROPER(TRIM(tbl_HR_Data[[#This Row],[Gender]])))</f>
        <v>Male</v>
      </c>
      <c r="O678" t="str">
        <f>TRIM(tbl_HR_Data[[#This Row],[Position]])</f>
        <v>Director</v>
      </c>
      <c r="P678" t="str">
        <f>IFERROR(_xlfn.XLOOKUP(tbl_HR_Data[[#This Row],[Email]], Mapping[Email_Discarded], Mapping[Email_Correction]), LOWER(TRIM(tbl_HR_Data[[#This Row],[Email]])))</f>
        <v>name@company.org</v>
      </c>
      <c r="Q67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78" t="str" cm="1">
        <f t="array" ref="R678">_xlfn.REDUCE(Q678, {"-","/","_","\","(",")"}, _xlfn.LAMBDA(_xlpm.txt,_xlpm.itm, SUBSTITUTE(_xlpm.txt, _xlpm.itm, "")))</f>
        <v>Not Provided</v>
      </c>
      <c r="S678" s="3">
        <f>IFERROR(_xlfn.XLOOKUP(tbl_HR_Data[[#This Row],[Joining Date]], Mapping[Joining_Discarded], Mapping[Joining_Correction]), VALUE(tbl_HR_Data[[#This Row],[Joining Date]]))</f>
        <v>43845</v>
      </c>
      <c r="T678" t="str">
        <f>TEXT(tbl_HR_Data[[#This Row],[Joining Date]], "mmm")</f>
        <v>Jan</v>
      </c>
      <c r="U678" t="str">
        <f>TEXT(tbl_HR_Data[[#This Row],[Joining Date]], "ddd")</f>
        <v>Wed</v>
      </c>
    </row>
    <row r="679" spans="1:21" x14ac:dyDescent="0.35">
      <c r="A679" t="s">
        <v>102</v>
      </c>
      <c r="B679">
        <v>30</v>
      </c>
      <c r="C679">
        <v>50000</v>
      </c>
      <c r="D679" t="s">
        <v>18</v>
      </c>
      <c r="E679" t="s">
        <v>26</v>
      </c>
      <c r="F679" t="s">
        <v>44</v>
      </c>
      <c r="G679" s="3">
        <v>43845</v>
      </c>
      <c r="H679" t="str">
        <f>TEXT(tbl_HR_Data[[#This Row],[Joining Date]], "mmm")</f>
        <v>Jan</v>
      </c>
      <c r="I679" t="s">
        <v>95</v>
      </c>
      <c r="J679" t="s">
        <v>41</v>
      </c>
      <c r="K679" t="s">
        <v>15</v>
      </c>
      <c r="L679" t="s">
        <v>88</v>
      </c>
      <c r="M679">
        <f>IFERROR( _xlfn.XLOOKUP(TRIM(tbl_HR_Data[[#This Row],[Age]]),#REF!,#REF!), VALUE(TRIM(tbl_HR_Data[[#This Row],[Age]])))</f>
        <v>30</v>
      </c>
      <c r="N679" t="str">
        <f>IFERROR(_xlfn.XLOOKUP(tbl_HR_Data[[#This Row],[Gender]], Mapping[Gender _Discarded], Mapping[Gender_Correction]), PROPER(TRIM(tbl_HR_Data[[#This Row],[Gender]])))</f>
        <v>Female</v>
      </c>
      <c r="O679" t="str">
        <f>TRIM(tbl_HR_Data[[#This Row],[Position]])</f>
        <v>Analyst</v>
      </c>
      <c r="P679" t="str">
        <f>IFERROR(_xlfn.XLOOKUP(tbl_HR_Data[[#This Row],[Email]], Mapping[Email_Discarded], Mapping[Email_Correction]), LOWER(TRIM(tbl_HR_Data[[#This Row],[Email]])))</f>
        <v>email@example.com</v>
      </c>
      <c r="Q67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679" t="str" cm="1">
        <f t="array" ref="R679">_xlfn.REDUCE(Q679, {"-","/","_","\","(",")"}, _xlfn.LAMBDA(_xlpm.txt,_xlpm.itm, SUBSTITUTE(_xlpm.txt, _xlpm.itm, "")))</f>
        <v>0987654321</v>
      </c>
      <c r="S679" s="3">
        <f>IFERROR(_xlfn.XLOOKUP(tbl_HR_Data[[#This Row],[Joining Date]], Mapping[Joining_Discarded], Mapping[Joining_Correction]), VALUE(tbl_HR_Data[[#This Row],[Joining Date]]))</f>
        <v>43845</v>
      </c>
      <c r="T679" t="str">
        <f>TEXT(tbl_HR_Data[[#This Row],[Joining Date]], "mmm")</f>
        <v>Jan</v>
      </c>
      <c r="U679" t="str">
        <f>TEXT(tbl_HR_Data[[#This Row],[Joining Date]], "ddd")</f>
        <v>Wed</v>
      </c>
    </row>
    <row r="680" spans="1:21" x14ac:dyDescent="0.35">
      <c r="A680" t="s">
        <v>105</v>
      </c>
      <c r="B680">
        <v>35</v>
      </c>
      <c r="C680">
        <v>50000</v>
      </c>
      <c r="D680" t="s">
        <v>36</v>
      </c>
      <c r="E680" t="s">
        <v>12</v>
      </c>
      <c r="F680" t="s">
        <v>39</v>
      </c>
      <c r="G680" s="3">
        <v>43845</v>
      </c>
      <c r="H680" t="str">
        <f>TEXT(tbl_HR_Data[[#This Row],[Joining Date]], "mmm")</f>
        <v>Jan</v>
      </c>
      <c r="I680" t="s">
        <v>95</v>
      </c>
      <c r="J680" t="s">
        <v>27</v>
      </c>
      <c r="K680" t="s">
        <v>77</v>
      </c>
      <c r="L680" t="s">
        <v>88</v>
      </c>
      <c r="M680">
        <f>IFERROR( _xlfn.XLOOKUP(TRIM(tbl_HR_Data[[#This Row],[Age]]),#REF!,#REF!), VALUE(TRIM(tbl_HR_Data[[#This Row],[Age]])))</f>
        <v>35</v>
      </c>
      <c r="N680" t="str">
        <f>IFERROR(_xlfn.XLOOKUP(tbl_HR_Data[[#This Row],[Gender]], Mapping[Gender _Discarded], Mapping[Gender_Correction]), PROPER(TRIM(tbl_HR_Data[[#This Row],[Gender]])))</f>
        <v>Other</v>
      </c>
      <c r="O680" t="str">
        <f>TRIM(tbl_HR_Data[[#This Row],[Position]])</f>
        <v>Clerk</v>
      </c>
      <c r="P680" t="str">
        <f>IFERROR(_xlfn.XLOOKUP(tbl_HR_Data[[#This Row],[Email]], Mapping[Email_Discarded], Mapping[Email_Correction]), LOWER(TRIM(tbl_HR_Data[[#This Row],[Email]])))</f>
        <v>not provided</v>
      </c>
      <c r="Q68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680" t="str" cm="1">
        <f t="array" ref="R680">_xlfn.REDUCE(Q680, {"-","/","_","\","(",")"}, _xlfn.LAMBDA(_xlpm.txt,_xlpm.itm, SUBSTITUTE(_xlpm.txt, _xlpm.itm, "")))</f>
        <v>0987654321</v>
      </c>
      <c r="S680" s="3">
        <f>IFERROR(_xlfn.XLOOKUP(tbl_HR_Data[[#This Row],[Joining Date]], Mapping[Joining_Discarded], Mapping[Joining_Correction]), VALUE(tbl_HR_Data[[#This Row],[Joining Date]]))</f>
        <v>43845</v>
      </c>
      <c r="T680" t="str">
        <f>TEXT(tbl_HR_Data[[#This Row],[Joining Date]], "mmm")</f>
        <v>Jan</v>
      </c>
      <c r="U680" t="str">
        <f>TEXT(tbl_HR_Data[[#This Row],[Joining Date]], "ddd")</f>
        <v>Wed</v>
      </c>
    </row>
    <row r="681" spans="1:21" x14ac:dyDescent="0.35">
      <c r="A681" t="s">
        <v>102</v>
      </c>
      <c r="B681">
        <v>35</v>
      </c>
      <c r="C681">
        <v>55000</v>
      </c>
      <c r="D681" t="s">
        <v>11</v>
      </c>
      <c r="E681" t="s">
        <v>19</v>
      </c>
      <c r="F681" t="s">
        <v>44</v>
      </c>
      <c r="G681" s="3">
        <v>43845</v>
      </c>
      <c r="H681" t="str">
        <f>TEXT(tbl_HR_Data[[#This Row],[Joining Date]], "mmm")</f>
        <v>Jan</v>
      </c>
      <c r="I681" t="s">
        <v>95</v>
      </c>
      <c r="J681" t="s">
        <v>31</v>
      </c>
      <c r="K681" t="s">
        <v>22</v>
      </c>
      <c r="L681" t="s">
        <v>89</v>
      </c>
      <c r="M681">
        <f>IFERROR( _xlfn.XLOOKUP(TRIM(tbl_HR_Data[[#This Row],[Age]]),#REF!,#REF!), VALUE(TRIM(tbl_HR_Data[[#This Row],[Age]])))</f>
        <v>35</v>
      </c>
      <c r="N681" t="str">
        <f>IFERROR(_xlfn.XLOOKUP(tbl_HR_Data[[#This Row],[Gender]], Mapping[Gender _Discarded], Mapping[Gender_Correction]), PROPER(TRIM(tbl_HR_Data[[#This Row],[Gender]])))</f>
        <v>Male</v>
      </c>
      <c r="O681" t="str">
        <f>TRIM(tbl_HR_Data[[#This Row],[Position]])</f>
        <v>Analyst</v>
      </c>
      <c r="P681" t="str">
        <f>IFERROR(_xlfn.XLOOKUP(tbl_HR_Data[[#This Row],[Email]], Mapping[Email_Discarded], Mapping[Email_Correction]), LOWER(TRIM(tbl_HR_Data[[#This Row],[Email]])))</f>
        <v>user@domain.com</v>
      </c>
      <c r="Q68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681" t="str" cm="1">
        <f t="array" ref="R681">_xlfn.REDUCE(Q681, {"-","/","_","\","(",")"}, _xlfn.LAMBDA(_xlpm.txt,_xlpm.itm, SUBSTITUTE(_xlpm.txt, _xlpm.itm, "")))</f>
        <v>5555555555</v>
      </c>
      <c r="S681" s="3">
        <f>IFERROR(_xlfn.XLOOKUP(tbl_HR_Data[[#This Row],[Joining Date]], Mapping[Joining_Discarded], Mapping[Joining_Correction]), VALUE(tbl_HR_Data[[#This Row],[Joining Date]]))</f>
        <v>43845</v>
      </c>
      <c r="T681" t="str">
        <f>TEXT(tbl_HR_Data[[#This Row],[Joining Date]], "mmm")</f>
        <v>Jan</v>
      </c>
      <c r="U681" t="str">
        <f>TEXT(tbl_HR_Data[[#This Row],[Joining Date]], "ddd")</f>
        <v>Wed</v>
      </c>
    </row>
    <row r="682" spans="1:21" x14ac:dyDescent="0.35">
      <c r="A682" t="s">
        <v>107</v>
      </c>
      <c r="B682">
        <v>40</v>
      </c>
      <c r="C682">
        <v>70000</v>
      </c>
      <c r="D682" t="s">
        <v>11</v>
      </c>
      <c r="E682" t="s">
        <v>26</v>
      </c>
      <c r="F682" t="s">
        <v>43</v>
      </c>
      <c r="G682" s="3">
        <v>43845</v>
      </c>
      <c r="H682" t="str">
        <f>TEXT(tbl_HR_Data[[#This Row],[Joining Date]], "mmm")</f>
        <v>Jan</v>
      </c>
      <c r="I682" t="s">
        <v>95</v>
      </c>
      <c r="J682" t="s">
        <v>27</v>
      </c>
      <c r="K682" t="s">
        <v>22</v>
      </c>
      <c r="L682" t="s">
        <v>88</v>
      </c>
      <c r="M682">
        <f>IFERROR( _xlfn.XLOOKUP(TRIM(tbl_HR_Data[[#This Row],[Age]]),#REF!,#REF!), VALUE(TRIM(tbl_HR_Data[[#This Row],[Age]])))</f>
        <v>40</v>
      </c>
      <c r="N682" t="str">
        <f>IFERROR(_xlfn.XLOOKUP(tbl_HR_Data[[#This Row],[Gender]], Mapping[Gender _Discarded], Mapping[Gender_Correction]), PROPER(TRIM(tbl_HR_Data[[#This Row],[Gender]])))</f>
        <v>Male</v>
      </c>
      <c r="O682" t="str">
        <f>TRIM(tbl_HR_Data[[#This Row],[Position]])</f>
        <v>Assistant</v>
      </c>
      <c r="P682" t="str">
        <f>IFERROR(_xlfn.XLOOKUP(tbl_HR_Data[[#This Row],[Email]], Mapping[Email_Discarded], Mapping[Email_Correction]), LOWER(TRIM(tbl_HR_Data[[#This Row],[Email]])))</f>
        <v>user@domain.com</v>
      </c>
      <c r="Q68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682" t="str" cm="1">
        <f t="array" ref="R682">_xlfn.REDUCE(Q682, {"-","/","_","\","(",")"}, _xlfn.LAMBDA(_xlpm.txt,_xlpm.itm, SUBSTITUTE(_xlpm.txt, _xlpm.itm, "")))</f>
        <v>0987654321</v>
      </c>
      <c r="S682" s="3">
        <f>IFERROR(_xlfn.XLOOKUP(tbl_HR_Data[[#This Row],[Joining Date]], Mapping[Joining_Discarded], Mapping[Joining_Correction]), VALUE(tbl_HR_Data[[#This Row],[Joining Date]]))</f>
        <v>43845</v>
      </c>
      <c r="T682" t="str">
        <f>TEXT(tbl_HR_Data[[#This Row],[Joining Date]], "mmm")</f>
        <v>Jan</v>
      </c>
      <c r="U682" t="str">
        <f>TEXT(tbl_HR_Data[[#This Row],[Joining Date]], "ddd")</f>
        <v>Wed</v>
      </c>
    </row>
    <row r="683" spans="1:21" x14ac:dyDescent="0.35">
      <c r="A683" t="s">
        <v>100</v>
      </c>
      <c r="B683">
        <v>30</v>
      </c>
      <c r="C683">
        <v>65000</v>
      </c>
      <c r="D683" t="s">
        <v>18</v>
      </c>
      <c r="E683" t="s">
        <v>19</v>
      </c>
      <c r="F683" t="s">
        <v>44</v>
      </c>
      <c r="G683" s="3">
        <v>43845</v>
      </c>
      <c r="H683" t="str">
        <f>TEXT(tbl_HR_Data[[#This Row],[Joining Date]], "mmm")</f>
        <v>Jan</v>
      </c>
      <c r="I683" t="s">
        <v>95</v>
      </c>
      <c r="J683" t="s">
        <v>21</v>
      </c>
      <c r="K683" t="s">
        <v>77</v>
      </c>
      <c r="L683" t="s">
        <v>87</v>
      </c>
      <c r="M683">
        <f>IFERROR( _xlfn.XLOOKUP(TRIM(tbl_HR_Data[[#This Row],[Age]]),#REF!,#REF!), VALUE(TRIM(tbl_HR_Data[[#This Row],[Age]])))</f>
        <v>30</v>
      </c>
      <c r="N683" t="str">
        <f>IFERROR(_xlfn.XLOOKUP(tbl_HR_Data[[#This Row],[Gender]], Mapping[Gender _Discarded], Mapping[Gender_Correction]), PROPER(TRIM(tbl_HR_Data[[#This Row],[Gender]])))</f>
        <v>Female</v>
      </c>
      <c r="O683" t="str">
        <f>TRIM(tbl_HR_Data[[#This Row],[Position]])</f>
        <v>Analyst</v>
      </c>
      <c r="P683" t="str">
        <f>IFERROR(_xlfn.XLOOKUP(tbl_HR_Data[[#This Row],[Email]], Mapping[Email_Discarded], Mapping[Email_Correction]), LOWER(TRIM(tbl_HR_Data[[#This Row],[Email]])))</f>
        <v>not provided</v>
      </c>
      <c r="Q68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683" t="str" cm="1">
        <f t="array" ref="R683">_xlfn.REDUCE(Q683, {"-","/","_","\","(",")"}, _xlfn.LAMBDA(_xlpm.txt,_xlpm.itm, SUBSTITUTE(_xlpm.txt, _xlpm.itm, "")))</f>
        <v>1234567890</v>
      </c>
      <c r="S683" s="3">
        <f>IFERROR(_xlfn.XLOOKUP(tbl_HR_Data[[#This Row],[Joining Date]], Mapping[Joining_Discarded], Mapping[Joining_Correction]), VALUE(tbl_HR_Data[[#This Row],[Joining Date]]))</f>
        <v>43845</v>
      </c>
      <c r="T683" t="str">
        <f>TEXT(tbl_HR_Data[[#This Row],[Joining Date]], "mmm")</f>
        <v>Jan</v>
      </c>
      <c r="U683" t="str">
        <f>TEXT(tbl_HR_Data[[#This Row],[Joining Date]], "ddd")</f>
        <v>Wed</v>
      </c>
    </row>
    <row r="684" spans="1:21" x14ac:dyDescent="0.35">
      <c r="A684" t="s">
        <v>104</v>
      </c>
      <c r="B684">
        <v>50</v>
      </c>
      <c r="C684">
        <v>70000</v>
      </c>
      <c r="D684" t="s">
        <v>11</v>
      </c>
      <c r="E684" t="s">
        <v>26</v>
      </c>
      <c r="F684" t="s">
        <v>20</v>
      </c>
      <c r="G684" s="3">
        <v>43845</v>
      </c>
      <c r="H684" t="str">
        <f>TEXT(tbl_HR_Data[[#This Row],[Joining Date]], "mmm")</f>
        <v>Jan</v>
      </c>
      <c r="I684" t="s">
        <v>95</v>
      </c>
      <c r="J684" t="s">
        <v>21</v>
      </c>
      <c r="K684" t="s">
        <v>15</v>
      </c>
      <c r="L684" t="s">
        <v>77</v>
      </c>
      <c r="M684">
        <f>IFERROR( _xlfn.XLOOKUP(TRIM(tbl_HR_Data[[#This Row],[Age]]),#REF!,#REF!), VALUE(TRIM(tbl_HR_Data[[#This Row],[Age]])))</f>
        <v>50</v>
      </c>
      <c r="N684" t="str">
        <f>IFERROR(_xlfn.XLOOKUP(tbl_HR_Data[[#This Row],[Gender]], Mapping[Gender _Discarded], Mapping[Gender_Correction]), PROPER(TRIM(tbl_HR_Data[[#This Row],[Gender]])))</f>
        <v>Male</v>
      </c>
      <c r="O684" t="str">
        <f>TRIM(tbl_HR_Data[[#This Row],[Position]])</f>
        <v>Director</v>
      </c>
      <c r="P684" t="str">
        <f>IFERROR(_xlfn.XLOOKUP(tbl_HR_Data[[#This Row],[Email]], Mapping[Email_Discarded], Mapping[Email_Correction]), LOWER(TRIM(tbl_HR_Data[[#This Row],[Email]])))</f>
        <v>email@example.com</v>
      </c>
      <c r="Q68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84" t="str" cm="1">
        <f t="array" ref="R684">_xlfn.REDUCE(Q684, {"-","/","_","\","(",")"}, _xlfn.LAMBDA(_xlpm.txt,_xlpm.itm, SUBSTITUTE(_xlpm.txt, _xlpm.itm, "")))</f>
        <v>Not Provided</v>
      </c>
      <c r="S684" s="3">
        <f>IFERROR(_xlfn.XLOOKUP(tbl_HR_Data[[#This Row],[Joining Date]], Mapping[Joining_Discarded], Mapping[Joining_Correction]), VALUE(tbl_HR_Data[[#This Row],[Joining Date]]))</f>
        <v>43845</v>
      </c>
      <c r="T684" t="str">
        <f>TEXT(tbl_HR_Data[[#This Row],[Joining Date]], "mmm")</f>
        <v>Jan</v>
      </c>
      <c r="U684" t="str">
        <f>TEXT(tbl_HR_Data[[#This Row],[Joining Date]], "ddd")</f>
        <v>Wed</v>
      </c>
    </row>
    <row r="685" spans="1:21" x14ac:dyDescent="0.35">
      <c r="A685" t="s">
        <v>103</v>
      </c>
      <c r="B685">
        <v>35</v>
      </c>
      <c r="C685">
        <v>60000</v>
      </c>
      <c r="D685" t="s">
        <v>11</v>
      </c>
      <c r="E685" t="s">
        <v>30</v>
      </c>
      <c r="F685" t="s">
        <v>20</v>
      </c>
      <c r="G685" s="3">
        <v>43845</v>
      </c>
      <c r="H685" t="str">
        <f>TEXT(tbl_HR_Data[[#This Row],[Joining Date]], "mmm")</f>
        <v>Jan</v>
      </c>
      <c r="I685" t="s">
        <v>95</v>
      </c>
      <c r="J685" t="s">
        <v>31</v>
      </c>
      <c r="K685" t="s">
        <v>77</v>
      </c>
      <c r="L685" t="s">
        <v>77</v>
      </c>
      <c r="M685">
        <f>IFERROR( _xlfn.XLOOKUP(TRIM(tbl_HR_Data[[#This Row],[Age]]),#REF!,#REF!), VALUE(TRIM(tbl_HR_Data[[#This Row],[Age]])))</f>
        <v>35</v>
      </c>
      <c r="N685" t="str">
        <f>IFERROR(_xlfn.XLOOKUP(tbl_HR_Data[[#This Row],[Gender]], Mapping[Gender _Discarded], Mapping[Gender_Correction]), PROPER(TRIM(tbl_HR_Data[[#This Row],[Gender]])))</f>
        <v>Male</v>
      </c>
      <c r="O685" t="str">
        <f>TRIM(tbl_HR_Data[[#This Row],[Position]])</f>
        <v>Director</v>
      </c>
      <c r="P685" t="str">
        <f>IFERROR(_xlfn.XLOOKUP(tbl_HR_Data[[#This Row],[Email]], Mapping[Email_Discarded], Mapping[Email_Correction]), LOWER(TRIM(tbl_HR_Data[[#This Row],[Email]])))</f>
        <v>not provided</v>
      </c>
      <c r="Q68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85" t="str" cm="1">
        <f t="array" ref="R685">_xlfn.REDUCE(Q685, {"-","/","_","\","(",")"}, _xlfn.LAMBDA(_xlpm.txt,_xlpm.itm, SUBSTITUTE(_xlpm.txt, _xlpm.itm, "")))</f>
        <v>Not Provided</v>
      </c>
      <c r="S685" s="3">
        <f>IFERROR(_xlfn.XLOOKUP(tbl_HR_Data[[#This Row],[Joining Date]], Mapping[Joining_Discarded], Mapping[Joining_Correction]), VALUE(tbl_HR_Data[[#This Row],[Joining Date]]))</f>
        <v>43845</v>
      </c>
      <c r="T685" t="str">
        <f>TEXT(tbl_HR_Data[[#This Row],[Joining Date]], "mmm")</f>
        <v>Jan</v>
      </c>
      <c r="U685" t="str">
        <f>TEXT(tbl_HR_Data[[#This Row],[Joining Date]], "ddd")</f>
        <v>Wed</v>
      </c>
    </row>
    <row r="686" spans="1:21" x14ac:dyDescent="0.35">
      <c r="A686" t="s">
        <v>103</v>
      </c>
      <c r="B686">
        <v>0</v>
      </c>
      <c r="C686">
        <v>55000</v>
      </c>
      <c r="D686" t="s">
        <v>36</v>
      </c>
      <c r="E686" t="s">
        <v>12</v>
      </c>
      <c r="F686" t="s">
        <v>44</v>
      </c>
      <c r="G686" s="3">
        <v>43845</v>
      </c>
      <c r="H686" t="str">
        <f>TEXT(tbl_HR_Data[[#This Row],[Joining Date]], "mmm")</f>
        <v>Jan</v>
      </c>
      <c r="I686" t="s">
        <v>95</v>
      </c>
      <c r="J686" t="s">
        <v>21</v>
      </c>
      <c r="K686" t="s">
        <v>77</v>
      </c>
      <c r="L686" t="s">
        <v>87</v>
      </c>
      <c r="M686">
        <f>IFERROR( _xlfn.XLOOKUP(TRIM(tbl_HR_Data[[#This Row],[Age]]),#REF!,#REF!), VALUE(TRIM(tbl_HR_Data[[#This Row],[Age]])))</f>
        <v>0</v>
      </c>
      <c r="N686" t="str">
        <f>IFERROR(_xlfn.XLOOKUP(tbl_HR_Data[[#This Row],[Gender]], Mapping[Gender _Discarded], Mapping[Gender_Correction]), PROPER(TRIM(tbl_HR_Data[[#This Row],[Gender]])))</f>
        <v>Other</v>
      </c>
      <c r="O686" t="str">
        <f>TRIM(tbl_HR_Data[[#This Row],[Position]])</f>
        <v>Analyst</v>
      </c>
      <c r="P686" t="str">
        <f>IFERROR(_xlfn.XLOOKUP(tbl_HR_Data[[#This Row],[Email]], Mapping[Email_Discarded], Mapping[Email_Correction]), LOWER(TRIM(tbl_HR_Data[[#This Row],[Email]])))</f>
        <v>not provided</v>
      </c>
      <c r="Q68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686" t="str" cm="1">
        <f t="array" ref="R686">_xlfn.REDUCE(Q686, {"-","/","_","\","(",")"}, _xlfn.LAMBDA(_xlpm.txt,_xlpm.itm, SUBSTITUTE(_xlpm.txt, _xlpm.itm, "")))</f>
        <v>1234567890</v>
      </c>
      <c r="S686" s="3">
        <f>IFERROR(_xlfn.XLOOKUP(tbl_HR_Data[[#This Row],[Joining Date]], Mapping[Joining_Discarded], Mapping[Joining_Correction]), VALUE(tbl_HR_Data[[#This Row],[Joining Date]]))</f>
        <v>43845</v>
      </c>
      <c r="T686" t="str">
        <f>TEXT(tbl_HR_Data[[#This Row],[Joining Date]], "mmm")</f>
        <v>Jan</v>
      </c>
      <c r="U686" t="str">
        <f>TEXT(tbl_HR_Data[[#This Row],[Joining Date]], "ddd")</f>
        <v>Wed</v>
      </c>
    </row>
    <row r="687" spans="1:21" x14ac:dyDescent="0.35">
      <c r="A687" t="s">
        <v>99</v>
      </c>
      <c r="B687">
        <v>25</v>
      </c>
      <c r="C687">
        <v>65000</v>
      </c>
      <c r="D687" t="s">
        <v>18</v>
      </c>
      <c r="E687" t="s">
        <v>30</v>
      </c>
      <c r="F687" t="s">
        <v>39</v>
      </c>
      <c r="G687" s="3">
        <v>43845</v>
      </c>
      <c r="H687" t="str">
        <f>TEXT(tbl_HR_Data[[#This Row],[Joining Date]], "mmm")</f>
        <v>Jan</v>
      </c>
      <c r="I687" t="s">
        <v>95</v>
      </c>
      <c r="J687" t="s">
        <v>14</v>
      </c>
      <c r="K687" t="s">
        <v>77</v>
      </c>
      <c r="L687" t="s">
        <v>87</v>
      </c>
      <c r="M687">
        <f>IFERROR( _xlfn.XLOOKUP(TRIM(tbl_HR_Data[[#This Row],[Age]]),#REF!,#REF!), VALUE(TRIM(tbl_HR_Data[[#This Row],[Age]])))</f>
        <v>25</v>
      </c>
      <c r="N687" t="str">
        <f>IFERROR(_xlfn.XLOOKUP(tbl_HR_Data[[#This Row],[Gender]], Mapping[Gender _Discarded], Mapping[Gender_Correction]), PROPER(TRIM(tbl_HR_Data[[#This Row],[Gender]])))</f>
        <v>Female</v>
      </c>
      <c r="O687" t="str">
        <f>TRIM(tbl_HR_Data[[#This Row],[Position]])</f>
        <v>Clerk</v>
      </c>
      <c r="P687" t="str">
        <f>IFERROR(_xlfn.XLOOKUP(tbl_HR_Data[[#This Row],[Email]], Mapping[Email_Discarded], Mapping[Email_Correction]), LOWER(TRIM(tbl_HR_Data[[#This Row],[Email]])))</f>
        <v>not provided</v>
      </c>
      <c r="Q68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687" t="str" cm="1">
        <f t="array" ref="R687">_xlfn.REDUCE(Q687, {"-","/","_","\","(",")"}, _xlfn.LAMBDA(_xlpm.txt,_xlpm.itm, SUBSTITUTE(_xlpm.txt, _xlpm.itm, "")))</f>
        <v>1234567890</v>
      </c>
      <c r="S687" s="3">
        <f>IFERROR(_xlfn.XLOOKUP(tbl_HR_Data[[#This Row],[Joining Date]], Mapping[Joining_Discarded], Mapping[Joining_Correction]), VALUE(tbl_HR_Data[[#This Row],[Joining Date]]))</f>
        <v>43845</v>
      </c>
      <c r="T687" t="str">
        <f>TEXT(tbl_HR_Data[[#This Row],[Joining Date]], "mmm")</f>
        <v>Jan</v>
      </c>
      <c r="U687" t="str">
        <f>TEXT(tbl_HR_Data[[#This Row],[Joining Date]], "ddd")</f>
        <v>Wed</v>
      </c>
    </row>
    <row r="688" spans="1:21" x14ac:dyDescent="0.35">
      <c r="A688" t="s">
        <v>103</v>
      </c>
      <c r="B688">
        <v>40</v>
      </c>
      <c r="C688">
        <v>60000</v>
      </c>
      <c r="D688" t="s">
        <v>18</v>
      </c>
      <c r="E688" t="s">
        <v>12</v>
      </c>
      <c r="F688" t="s">
        <v>20</v>
      </c>
      <c r="G688" s="3">
        <v>43845</v>
      </c>
      <c r="H688" t="str">
        <f>TEXT(tbl_HR_Data[[#This Row],[Joining Date]], "mmm")</f>
        <v>Jan</v>
      </c>
      <c r="I688" t="s">
        <v>95</v>
      </c>
      <c r="J688" t="s">
        <v>31</v>
      </c>
      <c r="K688" t="s">
        <v>77</v>
      </c>
      <c r="L688" t="s">
        <v>88</v>
      </c>
      <c r="M688">
        <f>IFERROR( _xlfn.XLOOKUP(TRIM(tbl_HR_Data[[#This Row],[Age]]),#REF!,#REF!), VALUE(TRIM(tbl_HR_Data[[#This Row],[Age]])))</f>
        <v>40</v>
      </c>
      <c r="N688" t="str">
        <f>IFERROR(_xlfn.XLOOKUP(tbl_HR_Data[[#This Row],[Gender]], Mapping[Gender _Discarded], Mapping[Gender_Correction]), PROPER(TRIM(tbl_HR_Data[[#This Row],[Gender]])))</f>
        <v>Female</v>
      </c>
      <c r="O688" t="str">
        <f>TRIM(tbl_HR_Data[[#This Row],[Position]])</f>
        <v>Director</v>
      </c>
      <c r="P688" t="str">
        <f>IFERROR(_xlfn.XLOOKUP(tbl_HR_Data[[#This Row],[Email]], Mapping[Email_Discarded], Mapping[Email_Correction]), LOWER(TRIM(tbl_HR_Data[[#This Row],[Email]])))</f>
        <v>not provided</v>
      </c>
      <c r="Q68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688" t="str" cm="1">
        <f t="array" ref="R688">_xlfn.REDUCE(Q688, {"-","/","_","\","(",")"}, _xlfn.LAMBDA(_xlpm.txt,_xlpm.itm, SUBSTITUTE(_xlpm.txt, _xlpm.itm, "")))</f>
        <v>0987654321</v>
      </c>
      <c r="S688" s="3">
        <f>IFERROR(_xlfn.XLOOKUP(tbl_HR_Data[[#This Row],[Joining Date]], Mapping[Joining_Discarded], Mapping[Joining_Correction]), VALUE(tbl_HR_Data[[#This Row],[Joining Date]]))</f>
        <v>43845</v>
      </c>
      <c r="T688" t="str">
        <f>TEXT(tbl_HR_Data[[#This Row],[Joining Date]], "mmm")</f>
        <v>Jan</v>
      </c>
      <c r="U688" t="str">
        <f>TEXT(tbl_HR_Data[[#This Row],[Joining Date]], "ddd")</f>
        <v>Wed</v>
      </c>
    </row>
    <row r="689" spans="1:21" x14ac:dyDescent="0.35">
      <c r="A689" t="s">
        <v>102</v>
      </c>
      <c r="B689">
        <v>35</v>
      </c>
      <c r="C689">
        <v>0</v>
      </c>
      <c r="D689" t="s">
        <v>18</v>
      </c>
      <c r="E689" t="s">
        <v>12</v>
      </c>
      <c r="F689" t="s">
        <v>43</v>
      </c>
      <c r="G689" s="3">
        <v>43845</v>
      </c>
      <c r="H689" t="str">
        <f>TEXT(tbl_HR_Data[[#This Row],[Joining Date]], "mmm")</f>
        <v>Jan</v>
      </c>
      <c r="I689" t="s">
        <v>95</v>
      </c>
      <c r="J689" t="s">
        <v>27</v>
      </c>
      <c r="K689" t="s">
        <v>32</v>
      </c>
      <c r="L689" t="s">
        <v>88</v>
      </c>
      <c r="M689">
        <f>IFERROR( _xlfn.XLOOKUP(TRIM(tbl_HR_Data[[#This Row],[Age]]),#REF!,#REF!), VALUE(TRIM(tbl_HR_Data[[#This Row],[Age]])))</f>
        <v>35</v>
      </c>
      <c r="N689" t="str">
        <f>IFERROR(_xlfn.XLOOKUP(tbl_HR_Data[[#This Row],[Gender]], Mapping[Gender _Discarded], Mapping[Gender_Correction]), PROPER(TRIM(tbl_HR_Data[[#This Row],[Gender]])))</f>
        <v>Female</v>
      </c>
      <c r="O689" t="str">
        <f>TRIM(tbl_HR_Data[[#This Row],[Position]])</f>
        <v>Assistant</v>
      </c>
      <c r="P689" t="str">
        <f>IFERROR(_xlfn.XLOOKUP(tbl_HR_Data[[#This Row],[Email]], Mapping[Email_Discarded], Mapping[Email_Correction]), LOWER(TRIM(tbl_HR_Data[[#This Row],[Email]])))</f>
        <v>name@company.org</v>
      </c>
      <c r="Q68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689" t="str" cm="1">
        <f t="array" ref="R689">_xlfn.REDUCE(Q689, {"-","/","_","\","(",")"}, _xlfn.LAMBDA(_xlpm.txt,_xlpm.itm, SUBSTITUTE(_xlpm.txt, _xlpm.itm, "")))</f>
        <v>0987654321</v>
      </c>
      <c r="S689" s="3">
        <f>IFERROR(_xlfn.XLOOKUP(tbl_HR_Data[[#This Row],[Joining Date]], Mapping[Joining_Discarded], Mapping[Joining_Correction]), VALUE(tbl_HR_Data[[#This Row],[Joining Date]]))</f>
        <v>43845</v>
      </c>
      <c r="T689" t="str">
        <f>TEXT(tbl_HR_Data[[#This Row],[Joining Date]], "mmm")</f>
        <v>Jan</v>
      </c>
      <c r="U689" t="str">
        <f>TEXT(tbl_HR_Data[[#This Row],[Joining Date]], "ddd")</f>
        <v>Wed</v>
      </c>
    </row>
    <row r="690" spans="1:21" x14ac:dyDescent="0.35">
      <c r="A690" t="s">
        <v>106</v>
      </c>
      <c r="B690">
        <v>40</v>
      </c>
      <c r="C690">
        <v>65000</v>
      </c>
      <c r="D690" t="s">
        <v>18</v>
      </c>
      <c r="E690" t="s">
        <v>26</v>
      </c>
      <c r="F690" t="s">
        <v>13</v>
      </c>
      <c r="G690" s="3">
        <v>43845</v>
      </c>
      <c r="H690" t="str">
        <f>TEXT(tbl_HR_Data[[#This Row],[Joining Date]], "mmm")</f>
        <v>Jan</v>
      </c>
      <c r="I690" t="s">
        <v>95</v>
      </c>
      <c r="J690" t="s">
        <v>14</v>
      </c>
      <c r="K690" t="s">
        <v>77</v>
      </c>
      <c r="L690" t="s">
        <v>89</v>
      </c>
      <c r="M690">
        <f>IFERROR( _xlfn.XLOOKUP(TRIM(tbl_HR_Data[[#This Row],[Age]]),#REF!,#REF!), VALUE(TRIM(tbl_HR_Data[[#This Row],[Age]])))</f>
        <v>40</v>
      </c>
      <c r="N690" t="str">
        <f>IFERROR(_xlfn.XLOOKUP(tbl_HR_Data[[#This Row],[Gender]], Mapping[Gender _Discarded], Mapping[Gender_Correction]), PROPER(TRIM(tbl_HR_Data[[#This Row],[Gender]])))</f>
        <v>Female</v>
      </c>
      <c r="O690" t="str">
        <f>TRIM(tbl_HR_Data[[#This Row],[Position]])</f>
        <v>Manager</v>
      </c>
      <c r="P690" t="str">
        <f>IFERROR(_xlfn.XLOOKUP(tbl_HR_Data[[#This Row],[Email]], Mapping[Email_Discarded], Mapping[Email_Correction]), LOWER(TRIM(tbl_HR_Data[[#This Row],[Email]])))</f>
        <v>not provided</v>
      </c>
      <c r="Q69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690" t="str" cm="1">
        <f t="array" ref="R690">_xlfn.REDUCE(Q690, {"-","/","_","\","(",")"}, _xlfn.LAMBDA(_xlpm.txt,_xlpm.itm, SUBSTITUTE(_xlpm.txt, _xlpm.itm, "")))</f>
        <v>5555555555</v>
      </c>
      <c r="S690" s="3">
        <f>IFERROR(_xlfn.XLOOKUP(tbl_HR_Data[[#This Row],[Joining Date]], Mapping[Joining_Discarded], Mapping[Joining_Correction]), VALUE(tbl_HR_Data[[#This Row],[Joining Date]]))</f>
        <v>43845</v>
      </c>
      <c r="T690" t="str">
        <f>TEXT(tbl_HR_Data[[#This Row],[Joining Date]], "mmm")</f>
        <v>Jan</v>
      </c>
      <c r="U690" t="str">
        <f>TEXT(tbl_HR_Data[[#This Row],[Joining Date]], "ddd")</f>
        <v>Wed</v>
      </c>
    </row>
    <row r="691" spans="1:21" x14ac:dyDescent="0.35">
      <c r="A691" t="s">
        <v>107</v>
      </c>
      <c r="B691">
        <v>30</v>
      </c>
      <c r="C691">
        <v>50000</v>
      </c>
      <c r="D691" t="s">
        <v>11</v>
      </c>
      <c r="E691" t="s">
        <v>30</v>
      </c>
      <c r="F691" t="s">
        <v>20</v>
      </c>
      <c r="G691" s="3">
        <v>43845</v>
      </c>
      <c r="H691" t="str">
        <f>TEXT(tbl_HR_Data[[#This Row],[Joining Date]], "mmm")</f>
        <v>Jan</v>
      </c>
      <c r="I691" t="s">
        <v>95</v>
      </c>
      <c r="J691" t="s">
        <v>14</v>
      </c>
      <c r="K691" t="s">
        <v>32</v>
      </c>
      <c r="L691" t="s">
        <v>87</v>
      </c>
      <c r="M691">
        <f>IFERROR( _xlfn.XLOOKUP(TRIM(tbl_HR_Data[[#This Row],[Age]]),#REF!,#REF!), VALUE(TRIM(tbl_HR_Data[[#This Row],[Age]])))</f>
        <v>30</v>
      </c>
      <c r="N691" t="str">
        <f>IFERROR(_xlfn.XLOOKUP(tbl_HR_Data[[#This Row],[Gender]], Mapping[Gender _Discarded], Mapping[Gender_Correction]), PROPER(TRIM(tbl_HR_Data[[#This Row],[Gender]])))</f>
        <v>Male</v>
      </c>
      <c r="O691" t="str">
        <f>TRIM(tbl_HR_Data[[#This Row],[Position]])</f>
        <v>Director</v>
      </c>
      <c r="P691" t="str">
        <f>IFERROR(_xlfn.XLOOKUP(tbl_HR_Data[[#This Row],[Email]], Mapping[Email_Discarded], Mapping[Email_Correction]), LOWER(TRIM(tbl_HR_Data[[#This Row],[Email]])))</f>
        <v>name@company.org</v>
      </c>
      <c r="Q69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691" t="str" cm="1">
        <f t="array" ref="R691">_xlfn.REDUCE(Q691, {"-","/","_","\","(",")"}, _xlfn.LAMBDA(_xlpm.txt,_xlpm.itm, SUBSTITUTE(_xlpm.txt, _xlpm.itm, "")))</f>
        <v>1234567890</v>
      </c>
      <c r="S691" s="3">
        <f>IFERROR(_xlfn.XLOOKUP(tbl_HR_Data[[#This Row],[Joining Date]], Mapping[Joining_Discarded], Mapping[Joining_Correction]), VALUE(tbl_HR_Data[[#This Row],[Joining Date]]))</f>
        <v>43845</v>
      </c>
      <c r="T691" t="str">
        <f>TEXT(tbl_HR_Data[[#This Row],[Joining Date]], "mmm")</f>
        <v>Jan</v>
      </c>
      <c r="U691" t="str">
        <f>TEXT(tbl_HR_Data[[#This Row],[Joining Date]], "ddd")</f>
        <v>Wed</v>
      </c>
    </row>
    <row r="692" spans="1:21" x14ac:dyDescent="0.35">
      <c r="A692" t="s">
        <v>107</v>
      </c>
      <c r="B692">
        <v>35</v>
      </c>
      <c r="C692">
        <v>60000</v>
      </c>
      <c r="D692" t="s">
        <v>36</v>
      </c>
      <c r="E692" t="s">
        <v>12</v>
      </c>
      <c r="F692" t="s">
        <v>43</v>
      </c>
      <c r="G692" s="3">
        <v>43845</v>
      </c>
      <c r="H692" t="str">
        <f>TEXT(tbl_HR_Data[[#This Row],[Joining Date]], "mmm")</f>
        <v>Jan</v>
      </c>
      <c r="I692" t="s">
        <v>95</v>
      </c>
      <c r="J692" t="s">
        <v>14</v>
      </c>
      <c r="K692" t="s">
        <v>22</v>
      </c>
      <c r="L692" t="s">
        <v>89</v>
      </c>
      <c r="M692">
        <f>IFERROR( _xlfn.XLOOKUP(TRIM(tbl_HR_Data[[#This Row],[Age]]),#REF!,#REF!), VALUE(TRIM(tbl_HR_Data[[#This Row],[Age]])))</f>
        <v>35</v>
      </c>
      <c r="N692" t="str">
        <f>IFERROR(_xlfn.XLOOKUP(tbl_HR_Data[[#This Row],[Gender]], Mapping[Gender _Discarded], Mapping[Gender_Correction]), PROPER(TRIM(tbl_HR_Data[[#This Row],[Gender]])))</f>
        <v>Other</v>
      </c>
      <c r="O692" t="str">
        <f>TRIM(tbl_HR_Data[[#This Row],[Position]])</f>
        <v>Assistant</v>
      </c>
      <c r="P692" t="str">
        <f>IFERROR(_xlfn.XLOOKUP(tbl_HR_Data[[#This Row],[Email]], Mapping[Email_Discarded], Mapping[Email_Correction]), LOWER(TRIM(tbl_HR_Data[[#This Row],[Email]])))</f>
        <v>user@domain.com</v>
      </c>
      <c r="Q69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692" t="str" cm="1">
        <f t="array" ref="R692">_xlfn.REDUCE(Q692, {"-","/","_","\","(",")"}, _xlfn.LAMBDA(_xlpm.txt,_xlpm.itm, SUBSTITUTE(_xlpm.txt, _xlpm.itm, "")))</f>
        <v>5555555555</v>
      </c>
      <c r="S692" s="3">
        <f>IFERROR(_xlfn.XLOOKUP(tbl_HR_Data[[#This Row],[Joining Date]], Mapping[Joining_Discarded], Mapping[Joining_Correction]), VALUE(tbl_HR_Data[[#This Row],[Joining Date]]))</f>
        <v>43845</v>
      </c>
      <c r="T692" t="str">
        <f>TEXT(tbl_HR_Data[[#This Row],[Joining Date]], "mmm")</f>
        <v>Jan</v>
      </c>
      <c r="U692" t="str">
        <f>TEXT(tbl_HR_Data[[#This Row],[Joining Date]], "ddd")</f>
        <v>Wed</v>
      </c>
    </row>
    <row r="693" spans="1:21" x14ac:dyDescent="0.35">
      <c r="A693" t="s">
        <v>106</v>
      </c>
      <c r="B693">
        <v>40</v>
      </c>
      <c r="C693">
        <v>50000</v>
      </c>
      <c r="D693" t="s">
        <v>36</v>
      </c>
      <c r="E693" t="s">
        <v>26</v>
      </c>
      <c r="F693" t="s">
        <v>44</v>
      </c>
      <c r="G693" s="3">
        <v>43845</v>
      </c>
      <c r="H693" t="str">
        <f>TEXT(tbl_HR_Data[[#This Row],[Joining Date]], "mmm")</f>
        <v>Jan</v>
      </c>
      <c r="I693" t="s">
        <v>95</v>
      </c>
      <c r="J693" t="s">
        <v>31</v>
      </c>
      <c r="K693" t="s">
        <v>32</v>
      </c>
      <c r="L693" t="s">
        <v>77</v>
      </c>
      <c r="M693">
        <f>IFERROR( _xlfn.XLOOKUP(TRIM(tbl_HR_Data[[#This Row],[Age]]),#REF!,#REF!), VALUE(TRIM(tbl_HR_Data[[#This Row],[Age]])))</f>
        <v>40</v>
      </c>
      <c r="N693" t="str">
        <f>IFERROR(_xlfn.XLOOKUP(tbl_HR_Data[[#This Row],[Gender]], Mapping[Gender _Discarded], Mapping[Gender_Correction]), PROPER(TRIM(tbl_HR_Data[[#This Row],[Gender]])))</f>
        <v>Other</v>
      </c>
      <c r="O693" t="str">
        <f>TRIM(tbl_HR_Data[[#This Row],[Position]])</f>
        <v>Analyst</v>
      </c>
      <c r="P693" t="str">
        <f>IFERROR(_xlfn.XLOOKUP(tbl_HR_Data[[#This Row],[Email]], Mapping[Email_Discarded], Mapping[Email_Correction]), LOWER(TRIM(tbl_HR_Data[[#This Row],[Email]])))</f>
        <v>name@company.org</v>
      </c>
      <c r="Q69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93" t="str" cm="1">
        <f t="array" ref="R693">_xlfn.REDUCE(Q693, {"-","/","_","\","(",")"}, _xlfn.LAMBDA(_xlpm.txt,_xlpm.itm, SUBSTITUTE(_xlpm.txt, _xlpm.itm, "")))</f>
        <v>Not Provided</v>
      </c>
      <c r="S693" s="3">
        <f>IFERROR(_xlfn.XLOOKUP(tbl_HR_Data[[#This Row],[Joining Date]], Mapping[Joining_Discarded], Mapping[Joining_Correction]), VALUE(tbl_HR_Data[[#This Row],[Joining Date]]))</f>
        <v>43845</v>
      </c>
      <c r="T693" t="str">
        <f>TEXT(tbl_HR_Data[[#This Row],[Joining Date]], "mmm")</f>
        <v>Jan</v>
      </c>
      <c r="U693" t="str">
        <f>TEXT(tbl_HR_Data[[#This Row],[Joining Date]], "ddd")</f>
        <v>Wed</v>
      </c>
    </row>
    <row r="694" spans="1:21" x14ac:dyDescent="0.35">
      <c r="A694" t="s">
        <v>108</v>
      </c>
      <c r="B694">
        <v>30</v>
      </c>
      <c r="C694">
        <v>0</v>
      </c>
      <c r="D694" t="s">
        <v>36</v>
      </c>
      <c r="E694" t="s">
        <v>37</v>
      </c>
      <c r="F694" t="s">
        <v>20</v>
      </c>
      <c r="G694" s="3">
        <v>43845</v>
      </c>
      <c r="H694" t="str">
        <f>TEXT(tbl_HR_Data[[#This Row],[Joining Date]], "mmm")</f>
        <v>Jan</v>
      </c>
      <c r="I694" t="s">
        <v>95</v>
      </c>
      <c r="J694" t="s">
        <v>41</v>
      </c>
      <c r="K694" t="s">
        <v>77</v>
      </c>
      <c r="L694" t="s">
        <v>89</v>
      </c>
      <c r="M694">
        <f>IFERROR( _xlfn.XLOOKUP(TRIM(tbl_HR_Data[[#This Row],[Age]]),#REF!,#REF!), VALUE(TRIM(tbl_HR_Data[[#This Row],[Age]])))</f>
        <v>30</v>
      </c>
      <c r="N694" t="str">
        <f>IFERROR(_xlfn.XLOOKUP(tbl_HR_Data[[#This Row],[Gender]], Mapping[Gender _Discarded], Mapping[Gender_Correction]), PROPER(TRIM(tbl_HR_Data[[#This Row],[Gender]])))</f>
        <v>Other</v>
      </c>
      <c r="O694" t="str">
        <f>TRIM(tbl_HR_Data[[#This Row],[Position]])</f>
        <v>Director</v>
      </c>
      <c r="P694" t="str">
        <f>IFERROR(_xlfn.XLOOKUP(tbl_HR_Data[[#This Row],[Email]], Mapping[Email_Discarded], Mapping[Email_Correction]), LOWER(TRIM(tbl_HR_Data[[#This Row],[Email]])))</f>
        <v>not provided</v>
      </c>
      <c r="Q69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694" t="str" cm="1">
        <f t="array" ref="R694">_xlfn.REDUCE(Q694, {"-","/","_","\","(",")"}, _xlfn.LAMBDA(_xlpm.txt,_xlpm.itm, SUBSTITUTE(_xlpm.txt, _xlpm.itm, "")))</f>
        <v>5555555555</v>
      </c>
      <c r="S694" s="3">
        <f>IFERROR(_xlfn.XLOOKUP(tbl_HR_Data[[#This Row],[Joining Date]], Mapping[Joining_Discarded], Mapping[Joining_Correction]), VALUE(tbl_HR_Data[[#This Row],[Joining Date]]))</f>
        <v>43845</v>
      </c>
      <c r="T694" t="str">
        <f>TEXT(tbl_HR_Data[[#This Row],[Joining Date]], "mmm")</f>
        <v>Jan</v>
      </c>
      <c r="U694" t="str">
        <f>TEXT(tbl_HR_Data[[#This Row],[Joining Date]], "ddd")</f>
        <v>Wed</v>
      </c>
    </row>
    <row r="695" spans="1:21" x14ac:dyDescent="0.35">
      <c r="A695" t="s">
        <v>103</v>
      </c>
      <c r="B695">
        <v>40</v>
      </c>
      <c r="C695">
        <v>55000</v>
      </c>
      <c r="D695" t="s">
        <v>11</v>
      </c>
      <c r="E695" t="s">
        <v>30</v>
      </c>
      <c r="F695" t="s">
        <v>44</v>
      </c>
      <c r="G695" s="3">
        <v>43845</v>
      </c>
      <c r="H695" t="str">
        <f>TEXT(tbl_HR_Data[[#This Row],[Joining Date]], "mmm")</f>
        <v>Jan</v>
      </c>
      <c r="I695" t="s">
        <v>95</v>
      </c>
      <c r="J695" t="s">
        <v>41</v>
      </c>
      <c r="K695" t="s">
        <v>32</v>
      </c>
      <c r="L695" t="s">
        <v>77</v>
      </c>
      <c r="M695">
        <f>IFERROR( _xlfn.XLOOKUP(TRIM(tbl_HR_Data[[#This Row],[Age]]),#REF!,#REF!), VALUE(TRIM(tbl_HR_Data[[#This Row],[Age]])))</f>
        <v>40</v>
      </c>
      <c r="N695" t="str">
        <f>IFERROR(_xlfn.XLOOKUP(tbl_HR_Data[[#This Row],[Gender]], Mapping[Gender _Discarded], Mapping[Gender_Correction]), PROPER(TRIM(tbl_HR_Data[[#This Row],[Gender]])))</f>
        <v>Male</v>
      </c>
      <c r="O695" t="str">
        <f>TRIM(tbl_HR_Data[[#This Row],[Position]])</f>
        <v>Analyst</v>
      </c>
      <c r="P695" t="str">
        <f>IFERROR(_xlfn.XLOOKUP(tbl_HR_Data[[#This Row],[Email]], Mapping[Email_Discarded], Mapping[Email_Correction]), LOWER(TRIM(tbl_HR_Data[[#This Row],[Email]])))</f>
        <v>name@company.org</v>
      </c>
      <c r="Q69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95" t="str" cm="1">
        <f t="array" ref="R695">_xlfn.REDUCE(Q695, {"-","/","_","\","(",")"}, _xlfn.LAMBDA(_xlpm.txt,_xlpm.itm, SUBSTITUTE(_xlpm.txt, _xlpm.itm, "")))</f>
        <v>Not Provided</v>
      </c>
      <c r="S695" s="3">
        <f>IFERROR(_xlfn.XLOOKUP(tbl_HR_Data[[#This Row],[Joining Date]], Mapping[Joining_Discarded], Mapping[Joining_Correction]), VALUE(tbl_HR_Data[[#This Row],[Joining Date]]))</f>
        <v>43845</v>
      </c>
      <c r="T695" t="str">
        <f>TEXT(tbl_HR_Data[[#This Row],[Joining Date]], "mmm")</f>
        <v>Jan</v>
      </c>
      <c r="U695" t="str">
        <f>TEXT(tbl_HR_Data[[#This Row],[Joining Date]], "ddd")</f>
        <v>Wed</v>
      </c>
    </row>
    <row r="696" spans="1:21" x14ac:dyDescent="0.35">
      <c r="A696" t="s">
        <v>105</v>
      </c>
      <c r="B696">
        <v>30</v>
      </c>
      <c r="C696">
        <v>55000</v>
      </c>
      <c r="D696" t="s">
        <v>18</v>
      </c>
      <c r="E696" t="s">
        <v>30</v>
      </c>
      <c r="F696" t="s">
        <v>44</v>
      </c>
      <c r="G696" s="3">
        <v>43845</v>
      </c>
      <c r="H696" t="str">
        <f>TEXT(tbl_HR_Data[[#This Row],[Joining Date]], "mmm")</f>
        <v>Jan</v>
      </c>
      <c r="I696" t="s">
        <v>95</v>
      </c>
      <c r="J696" t="s">
        <v>41</v>
      </c>
      <c r="K696" t="s">
        <v>77</v>
      </c>
      <c r="L696" t="s">
        <v>87</v>
      </c>
      <c r="M696">
        <f>IFERROR( _xlfn.XLOOKUP(TRIM(tbl_HR_Data[[#This Row],[Age]]),#REF!,#REF!), VALUE(TRIM(tbl_HR_Data[[#This Row],[Age]])))</f>
        <v>30</v>
      </c>
      <c r="N696" t="str">
        <f>IFERROR(_xlfn.XLOOKUP(tbl_HR_Data[[#This Row],[Gender]], Mapping[Gender _Discarded], Mapping[Gender_Correction]), PROPER(TRIM(tbl_HR_Data[[#This Row],[Gender]])))</f>
        <v>Female</v>
      </c>
      <c r="O696" t="str">
        <f>TRIM(tbl_HR_Data[[#This Row],[Position]])</f>
        <v>Analyst</v>
      </c>
      <c r="P696" t="str">
        <f>IFERROR(_xlfn.XLOOKUP(tbl_HR_Data[[#This Row],[Email]], Mapping[Email_Discarded], Mapping[Email_Correction]), LOWER(TRIM(tbl_HR_Data[[#This Row],[Email]])))</f>
        <v>not provided</v>
      </c>
      <c r="Q69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696" t="str" cm="1">
        <f t="array" ref="R696">_xlfn.REDUCE(Q696, {"-","/","_","\","(",")"}, _xlfn.LAMBDA(_xlpm.txt,_xlpm.itm, SUBSTITUTE(_xlpm.txt, _xlpm.itm, "")))</f>
        <v>1234567890</v>
      </c>
      <c r="S696" s="3">
        <f>IFERROR(_xlfn.XLOOKUP(tbl_HR_Data[[#This Row],[Joining Date]], Mapping[Joining_Discarded], Mapping[Joining_Correction]), VALUE(tbl_HR_Data[[#This Row],[Joining Date]]))</f>
        <v>43845</v>
      </c>
      <c r="T696" t="str">
        <f>TEXT(tbl_HR_Data[[#This Row],[Joining Date]], "mmm")</f>
        <v>Jan</v>
      </c>
      <c r="U696" t="str">
        <f>TEXT(tbl_HR_Data[[#This Row],[Joining Date]], "ddd")</f>
        <v>Wed</v>
      </c>
    </row>
    <row r="697" spans="1:21" x14ac:dyDescent="0.35">
      <c r="A697" t="s">
        <v>104</v>
      </c>
      <c r="B697">
        <v>35</v>
      </c>
      <c r="C697">
        <v>70000</v>
      </c>
      <c r="D697" t="s">
        <v>36</v>
      </c>
      <c r="E697" t="s">
        <v>19</v>
      </c>
      <c r="F697" t="s">
        <v>39</v>
      </c>
      <c r="G697" s="3">
        <v>43845</v>
      </c>
      <c r="H697" t="str">
        <f>TEXT(tbl_HR_Data[[#This Row],[Joining Date]], "mmm")</f>
        <v>Jan</v>
      </c>
      <c r="I697" t="s">
        <v>95</v>
      </c>
      <c r="J697" t="s">
        <v>41</v>
      </c>
      <c r="K697" t="s">
        <v>22</v>
      </c>
      <c r="L697" t="s">
        <v>88</v>
      </c>
      <c r="M697">
        <f>IFERROR( _xlfn.XLOOKUP(TRIM(tbl_HR_Data[[#This Row],[Age]]),#REF!,#REF!), VALUE(TRIM(tbl_HR_Data[[#This Row],[Age]])))</f>
        <v>35</v>
      </c>
      <c r="N697" t="str">
        <f>IFERROR(_xlfn.XLOOKUP(tbl_HR_Data[[#This Row],[Gender]], Mapping[Gender _Discarded], Mapping[Gender_Correction]), PROPER(TRIM(tbl_HR_Data[[#This Row],[Gender]])))</f>
        <v>Other</v>
      </c>
      <c r="O697" t="str">
        <f>TRIM(tbl_HR_Data[[#This Row],[Position]])</f>
        <v>Clerk</v>
      </c>
      <c r="P697" t="str">
        <f>IFERROR(_xlfn.XLOOKUP(tbl_HR_Data[[#This Row],[Email]], Mapping[Email_Discarded], Mapping[Email_Correction]), LOWER(TRIM(tbl_HR_Data[[#This Row],[Email]])))</f>
        <v>user@domain.com</v>
      </c>
      <c r="Q69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697" t="str" cm="1">
        <f t="array" ref="R697">_xlfn.REDUCE(Q697, {"-","/","_","\","(",")"}, _xlfn.LAMBDA(_xlpm.txt,_xlpm.itm, SUBSTITUTE(_xlpm.txt, _xlpm.itm, "")))</f>
        <v>0987654321</v>
      </c>
      <c r="S697" s="3">
        <f>IFERROR(_xlfn.XLOOKUP(tbl_HR_Data[[#This Row],[Joining Date]], Mapping[Joining_Discarded], Mapping[Joining_Correction]), VALUE(tbl_HR_Data[[#This Row],[Joining Date]]))</f>
        <v>43845</v>
      </c>
      <c r="T697" t="str">
        <f>TEXT(tbl_HR_Data[[#This Row],[Joining Date]], "mmm")</f>
        <v>Jan</v>
      </c>
      <c r="U697" t="str">
        <f>TEXT(tbl_HR_Data[[#This Row],[Joining Date]], "ddd")</f>
        <v>Wed</v>
      </c>
    </row>
    <row r="698" spans="1:21" x14ac:dyDescent="0.35">
      <c r="A698" t="s">
        <v>106</v>
      </c>
      <c r="B698">
        <v>0</v>
      </c>
      <c r="C698">
        <v>50000</v>
      </c>
      <c r="D698" t="s">
        <v>11</v>
      </c>
      <c r="E698" t="s">
        <v>37</v>
      </c>
      <c r="F698" t="s">
        <v>13</v>
      </c>
      <c r="G698" s="3">
        <v>43845</v>
      </c>
      <c r="H698" t="str">
        <f>TEXT(tbl_HR_Data[[#This Row],[Joining Date]], "mmm")</f>
        <v>Jan</v>
      </c>
      <c r="I698" t="s">
        <v>95</v>
      </c>
      <c r="J698" t="s">
        <v>31</v>
      </c>
      <c r="K698" t="s">
        <v>32</v>
      </c>
      <c r="L698" t="s">
        <v>77</v>
      </c>
      <c r="M698">
        <f>IFERROR( _xlfn.XLOOKUP(TRIM(tbl_HR_Data[[#This Row],[Age]]),#REF!,#REF!), VALUE(TRIM(tbl_HR_Data[[#This Row],[Age]])))</f>
        <v>0</v>
      </c>
      <c r="N698" t="str">
        <f>IFERROR(_xlfn.XLOOKUP(tbl_HR_Data[[#This Row],[Gender]], Mapping[Gender _Discarded], Mapping[Gender_Correction]), PROPER(TRIM(tbl_HR_Data[[#This Row],[Gender]])))</f>
        <v>Male</v>
      </c>
      <c r="O698" t="str">
        <f>TRIM(tbl_HR_Data[[#This Row],[Position]])</f>
        <v>Manager</v>
      </c>
      <c r="P698" t="str">
        <f>IFERROR(_xlfn.XLOOKUP(tbl_HR_Data[[#This Row],[Email]], Mapping[Email_Discarded], Mapping[Email_Correction]), LOWER(TRIM(tbl_HR_Data[[#This Row],[Email]])))</f>
        <v>name@company.org</v>
      </c>
      <c r="Q69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698" t="str" cm="1">
        <f t="array" ref="R698">_xlfn.REDUCE(Q698, {"-","/","_","\","(",")"}, _xlfn.LAMBDA(_xlpm.txt,_xlpm.itm, SUBSTITUTE(_xlpm.txt, _xlpm.itm, "")))</f>
        <v>Not Provided</v>
      </c>
      <c r="S698" s="3">
        <f>IFERROR(_xlfn.XLOOKUP(tbl_HR_Data[[#This Row],[Joining Date]], Mapping[Joining_Discarded], Mapping[Joining_Correction]), VALUE(tbl_HR_Data[[#This Row],[Joining Date]]))</f>
        <v>43845</v>
      </c>
      <c r="T698" t="str">
        <f>TEXT(tbl_HR_Data[[#This Row],[Joining Date]], "mmm")</f>
        <v>Jan</v>
      </c>
      <c r="U698" t="str">
        <f>TEXT(tbl_HR_Data[[#This Row],[Joining Date]], "ddd")</f>
        <v>Wed</v>
      </c>
    </row>
    <row r="699" spans="1:21" x14ac:dyDescent="0.35">
      <c r="A699" t="s">
        <v>107</v>
      </c>
      <c r="B699">
        <v>40</v>
      </c>
      <c r="C699">
        <v>65000</v>
      </c>
      <c r="D699" t="s">
        <v>11</v>
      </c>
      <c r="E699" t="s">
        <v>12</v>
      </c>
      <c r="F699" t="s">
        <v>44</v>
      </c>
      <c r="G699" s="3">
        <v>43845</v>
      </c>
      <c r="H699" t="str">
        <f>TEXT(tbl_HR_Data[[#This Row],[Joining Date]], "mmm")</f>
        <v>Jan</v>
      </c>
      <c r="I699" t="s">
        <v>95</v>
      </c>
      <c r="J699" t="s">
        <v>27</v>
      </c>
      <c r="K699" t="s">
        <v>22</v>
      </c>
      <c r="L699" t="s">
        <v>89</v>
      </c>
      <c r="M699">
        <f>IFERROR( _xlfn.XLOOKUP(TRIM(tbl_HR_Data[[#This Row],[Age]]),#REF!,#REF!), VALUE(TRIM(tbl_HR_Data[[#This Row],[Age]])))</f>
        <v>40</v>
      </c>
      <c r="N699" t="str">
        <f>IFERROR(_xlfn.XLOOKUP(tbl_HR_Data[[#This Row],[Gender]], Mapping[Gender _Discarded], Mapping[Gender_Correction]), PROPER(TRIM(tbl_HR_Data[[#This Row],[Gender]])))</f>
        <v>Male</v>
      </c>
      <c r="O699" t="str">
        <f>TRIM(tbl_HR_Data[[#This Row],[Position]])</f>
        <v>Analyst</v>
      </c>
      <c r="P699" t="str">
        <f>IFERROR(_xlfn.XLOOKUP(tbl_HR_Data[[#This Row],[Email]], Mapping[Email_Discarded], Mapping[Email_Correction]), LOWER(TRIM(tbl_HR_Data[[#This Row],[Email]])))</f>
        <v>user@domain.com</v>
      </c>
      <c r="Q69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699" t="str" cm="1">
        <f t="array" ref="R699">_xlfn.REDUCE(Q699, {"-","/","_","\","(",")"}, _xlfn.LAMBDA(_xlpm.txt,_xlpm.itm, SUBSTITUTE(_xlpm.txt, _xlpm.itm, "")))</f>
        <v>5555555555</v>
      </c>
      <c r="S699" s="3">
        <f>IFERROR(_xlfn.XLOOKUP(tbl_HR_Data[[#This Row],[Joining Date]], Mapping[Joining_Discarded], Mapping[Joining_Correction]), VALUE(tbl_HR_Data[[#This Row],[Joining Date]]))</f>
        <v>43845</v>
      </c>
      <c r="T699" t="str">
        <f>TEXT(tbl_HR_Data[[#This Row],[Joining Date]], "mmm")</f>
        <v>Jan</v>
      </c>
      <c r="U699" t="str">
        <f>TEXT(tbl_HR_Data[[#This Row],[Joining Date]], "ddd")</f>
        <v>Wed</v>
      </c>
    </row>
    <row r="700" spans="1:21" x14ac:dyDescent="0.35">
      <c r="A700" t="s">
        <v>107</v>
      </c>
      <c r="B700">
        <v>0</v>
      </c>
      <c r="C700">
        <v>55000</v>
      </c>
      <c r="D700" t="s">
        <v>36</v>
      </c>
      <c r="E700" t="s">
        <v>19</v>
      </c>
      <c r="F700" t="s">
        <v>43</v>
      </c>
      <c r="G700" s="3">
        <v>43845</v>
      </c>
      <c r="H700" t="str">
        <f>TEXT(tbl_HR_Data[[#This Row],[Joining Date]], "mmm")</f>
        <v>Jan</v>
      </c>
      <c r="I700" t="s">
        <v>95</v>
      </c>
      <c r="J700" t="s">
        <v>14</v>
      </c>
      <c r="K700" t="s">
        <v>15</v>
      </c>
      <c r="L700" t="s">
        <v>77</v>
      </c>
      <c r="M700">
        <f>IFERROR( _xlfn.XLOOKUP(TRIM(tbl_HR_Data[[#This Row],[Age]]),#REF!,#REF!), VALUE(TRIM(tbl_HR_Data[[#This Row],[Age]])))</f>
        <v>0</v>
      </c>
      <c r="N700" t="str">
        <f>IFERROR(_xlfn.XLOOKUP(tbl_HR_Data[[#This Row],[Gender]], Mapping[Gender _Discarded], Mapping[Gender_Correction]), PROPER(TRIM(tbl_HR_Data[[#This Row],[Gender]])))</f>
        <v>Other</v>
      </c>
      <c r="O700" t="str">
        <f>TRIM(tbl_HR_Data[[#This Row],[Position]])</f>
        <v>Assistant</v>
      </c>
      <c r="P700" t="str">
        <f>IFERROR(_xlfn.XLOOKUP(tbl_HR_Data[[#This Row],[Email]], Mapping[Email_Discarded], Mapping[Email_Correction]), LOWER(TRIM(tbl_HR_Data[[#This Row],[Email]])))</f>
        <v>email@example.com</v>
      </c>
      <c r="Q70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00" t="str" cm="1">
        <f t="array" ref="R700">_xlfn.REDUCE(Q700, {"-","/","_","\","(",")"}, _xlfn.LAMBDA(_xlpm.txt,_xlpm.itm, SUBSTITUTE(_xlpm.txt, _xlpm.itm, "")))</f>
        <v>Not Provided</v>
      </c>
      <c r="S700" s="3">
        <f>IFERROR(_xlfn.XLOOKUP(tbl_HR_Data[[#This Row],[Joining Date]], Mapping[Joining_Discarded], Mapping[Joining_Correction]), VALUE(tbl_HR_Data[[#This Row],[Joining Date]]))</f>
        <v>43845</v>
      </c>
      <c r="T700" t="str">
        <f>TEXT(tbl_HR_Data[[#This Row],[Joining Date]], "mmm")</f>
        <v>Jan</v>
      </c>
      <c r="U700" t="str">
        <f>TEXT(tbl_HR_Data[[#This Row],[Joining Date]], "ddd")</f>
        <v>Wed</v>
      </c>
    </row>
    <row r="701" spans="1:21" x14ac:dyDescent="0.35">
      <c r="A701" t="s">
        <v>102</v>
      </c>
      <c r="B701">
        <v>35</v>
      </c>
      <c r="C701">
        <v>65000</v>
      </c>
      <c r="D701" t="s">
        <v>36</v>
      </c>
      <c r="E701" t="s">
        <v>12</v>
      </c>
      <c r="F701" t="s">
        <v>43</v>
      </c>
      <c r="G701" s="3">
        <v>43845</v>
      </c>
      <c r="H701" t="str">
        <f>TEXT(tbl_HR_Data[[#This Row],[Joining Date]], "mmm")</f>
        <v>Jan</v>
      </c>
      <c r="I701" t="s">
        <v>95</v>
      </c>
      <c r="J701" t="s">
        <v>27</v>
      </c>
      <c r="K701" t="s">
        <v>15</v>
      </c>
      <c r="L701" t="s">
        <v>88</v>
      </c>
      <c r="M701">
        <f>IFERROR( _xlfn.XLOOKUP(TRIM(tbl_HR_Data[[#This Row],[Age]]),#REF!,#REF!), VALUE(TRIM(tbl_HR_Data[[#This Row],[Age]])))</f>
        <v>35</v>
      </c>
      <c r="N701" t="str">
        <f>IFERROR(_xlfn.XLOOKUP(tbl_HR_Data[[#This Row],[Gender]], Mapping[Gender _Discarded], Mapping[Gender_Correction]), PROPER(TRIM(tbl_HR_Data[[#This Row],[Gender]])))</f>
        <v>Other</v>
      </c>
      <c r="O701" t="str">
        <f>TRIM(tbl_HR_Data[[#This Row],[Position]])</f>
        <v>Assistant</v>
      </c>
      <c r="P701" t="str">
        <f>IFERROR(_xlfn.XLOOKUP(tbl_HR_Data[[#This Row],[Email]], Mapping[Email_Discarded], Mapping[Email_Correction]), LOWER(TRIM(tbl_HR_Data[[#This Row],[Email]])))</f>
        <v>email@example.com</v>
      </c>
      <c r="Q70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701" t="str" cm="1">
        <f t="array" ref="R701">_xlfn.REDUCE(Q701, {"-","/","_","\","(",")"}, _xlfn.LAMBDA(_xlpm.txt,_xlpm.itm, SUBSTITUTE(_xlpm.txt, _xlpm.itm, "")))</f>
        <v>0987654321</v>
      </c>
      <c r="S701" s="3">
        <f>IFERROR(_xlfn.XLOOKUP(tbl_HR_Data[[#This Row],[Joining Date]], Mapping[Joining_Discarded], Mapping[Joining_Correction]), VALUE(tbl_HR_Data[[#This Row],[Joining Date]]))</f>
        <v>43845</v>
      </c>
      <c r="T701" t="str">
        <f>TEXT(tbl_HR_Data[[#This Row],[Joining Date]], "mmm")</f>
        <v>Jan</v>
      </c>
      <c r="U701" t="str">
        <f>TEXT(tbl_HR_Data[[#This Row],[Joining Date]], "ddd")</f>
        <v>Wed</v>
      </c>
    </row>
    <row r="702" spans="1:21" x14ac:dyDescent="0.35">
      <c r="A702" t="s">
        <v>100</v>
      </c>
      <c r="B702">
        <v>0</v>
      </c>
      <c r="C702">
        <v>65000</v>
      </c>
      <c r="D702" t="s">
        <v>11</v>
      </c>
      <c r="E702" t="s">
        <v>30</v>
      </c>
      <c r="F702" t="s">
        <v>13</v>
      </c>
      <c r="G702" s="3">
        <v>43845</v>
      </c>
      <c r="H702" t="str">
        <f>TEXT(tbl_HR_Data[[#This Row],[Joining Date]], "mmm")</f>
        <v>Jan</v>
      </c>
      <c r="I702" t="s">
        <v>95</v>
      </c>
      <c r="J702" t="s">
        <v>21</v>
      </c>
      <c r="K702" t="s">
        <v>77</v>
      </c>
      <c r="L702" t="s">
        <v>88</v>
      </c>
      <c r="M702">
        <f>IFERROR( _xlfn.XLOOKUP(TRIM(tbl_HR_Data[[#This Row],[Age]]),#REF!,#REF!), VALUE(TRIM(tbl_HR_Data[[#This Row],[Age]])))</f>
        <v>0</v>
      </c>
      <c r="N702" t="str">
        <f>IFERROR(_xlfn.XLOOKUP(tbl_HR_Data[[#This Row],[Gender]], Mapping[Gender _Discarded], Mapping[Gender_Correction]), PROPER(TRIM(tbl_HR_Data[[#This Row],[Gender]])))</f>
        <v>Male</v>
      </c>
      <c r="O702" t="str">
        <f>TRIM(tbl_HR_Data[[#This Row],[Position]])</f>
        <v>Manager</v>
      </c>
      <c r="P702" t="str">
        <f>IFERROR(_xlfn.XLOOKUP(tbl_HR_Data[[#This Row],[Email]], Mapping[Email_Discarded], Mapping[Email_Correction]), LOWER(TRIM(tbl_HR_Data[[#This Row],[Email]])))</f>
        <v>not provided</v>
      </c>
      <c r="Q70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702" t="str" cm="1">
        <f t="array" ref="R702">_xlfn.REDUCE(Q702, {"-","/","_","\","(",")"}, _xlfn.LAMBDA(_xlpm.txt,_xlpm.itm, SUBSTITUTE(_xlpm.txt, _xlpm.itm, "")))</f>
        <v>0987654321</v>
      </c>
      <c r="S702" s="3">
        <f>IFERROR(_xlfn.XLOOKUP(tbl_HR_Data[[#This Row],[Joining Date]], Mapping[Joining_Discarded], Mapping[Joining_Correction]), VALUE(tbl_HR_Data[[#This Row],[Joining Date]]))</f>
        <v>43845</v>
      </c>
      <c r="T702" t="str">
        <f>TEXT(tbl_HR_Data[[#This Row],[Joining Date]], "mmm")</f>
        <v>Jan</v>
      </c>
      <c r="U702" t="str">
        <f>TEXT(tbl_HR_Data[[#This Row],[Joining Date]], "ddd")</f>
        <v>Wed</v>
      </c>
    </row>
    <row r="703" spans="1:21" x14ac:dyDescent="0.35">
      <c r="A703" t="s">
        <v>106</v>
      </c>
      <c r="B703">
        <v>50</v>
      </c>
      <c r="C703">
        <v>60000</v>
      </c>
      <c r="D703" t="s">
        <v>36</v>
      </c>
      <c r="E703" t="s">
        <v>30</v>
      </c>
      <c r="F703" t="s">
        <v>20</v>
      </c>
      <c r="G703" s="3">
        <v>43845</v>
      </c>
      <c r="H703" t="str">
        <f>TEXT(tbl_HR_Data[[#This Row],[Joining Date]], "mmm")</f>
        <v>Jan</v>
      </c>
      <c r="I703" t="s">
        <v>95</v>
      </c>
      <c r="J703" t="s">
        <v>41</v>
      </c>
      <c r="K703" t="s">
        <v>32</v>
      </c>
      <c r="L703" t="s">
        <v>77</v>
      </c>
      <c r="M703">
        <f>IFERROR( _xlfn.XLOOKUP(TRIM(tbl_HR_Data[[#This Row],[Age]]),#REF!,#REF!), VALUE(TRIM(tbl_HR_Data[[#This Row],[Age]])))</f>
        <v>50</v>
      </c>
      <c r="N703" t="str">
        <f>IFERROR(_xlfn.XLOOKUP(tbl_HR_Data[[#This Row],[Gender]], Mapping[Gender _Discarded], Mapping[Gender_Correction]), PROPER(TRIM(tbl_HR_Data[[#This Row],[Gender]])))</f>
        <v>Other</v>
      </c>
      <c r="O703" t="str">
        <f>TRIM(tbl_HR_Data[[#This Row],[Position]])</f>
        <v>Director</v>
      </c>
      <c r="P703" t="str">
        <f>IFERROR(_xlfn.XLOOKUP(tbl_HR_Data[[#This Row],[Email]], Mapping[Email_Discarded], Mapping[Email_Correction]), LOWER(TRIM(tbl_HR_Data[[#This Row],[Email]])))</f>
        <v>name@company.org</v>
      </c>
      <c r="Q70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03" t="str" cm="1">
        <f t="array" ref="R703">_xlfn.REDUCE(Q703, {"-","/","_","\","(",")"}, _xlfn.LAMBDA(_xlpm.txt,_xlpm.itm, SUBSTITUTE(_xlpm.txt, _xlpm.itm, "")))</f>
        <v>Not Provided</v>
      </c>
      <c r="S703" s="3">
        <f>IFERROR(_xlfn.XLOOKUP(tbl_HR_Data[[#This Row],[Joining Date]], Mapping[Joining_Discarded], Mapping[Joining_Correction]), VALUE(tbl_HR_Data[[#This Row],[Joining Date]]))</f>
        <v>43845</v>
      </c>
      <c r="T703" t="str">
        <f>TEXT(tbl_HR_Data[[#This Row],[Joining Date]], "mmm")</f>
        <v>Jan</v>
      </c>
      <c r="U703" t="str">
        <f>TEXT(tbl_HR_Data[[#This Row],[Joining Date]], "ddd")</f>
        <v>Wed</v>
      </c>
    </row>
    <row r="704" spans="1:21" x14ac:dyDescent="0.35">
      <c r="A704" t="s">
        <v>105</v>
      </c>
      <c r="B704">
        <v>30</v>
      </c>
      <c r="C704">
        <v>50000</v>
      </c>
      <c r="D704" t="s">
        <v>11</v>
      </c>
      <c r="E704" t="s">
        <v>26</v>
      </c>
      <c r="F704" t="s">
        <v>44</v>
      </c>
      <c r="G704" s="3">
        <v>43845</v>
      </c>
      <c r="H704" t="str">
        <f>TEXT(tbl_HR_Data[[#This Row],[Joining Date]], "mmm")</f>
        <v>Jan</v>
      </c>
      <c r="I704" t="s">
        <v>95</v>
      </c>
      <c r="J704" t="s">
        <v>31</v>
      </c>
      <c r="K704" t="s">
        <v>22</v>
      </c>
      <c r="L704" t="s">
        <v>88</v>
      </c>
      <c r="M704">
        <f>IFERROR( _xlfn.XLOOKUP(TRIM(tbl_HR_Data[[#This Row],[Age]]),#REF!,#REF!), VALUE(TRIM(tbl_HR_Data[[#This Row],[Age]])))</f>
        <v>30</v>
      </c>
      <c r="N704" t="str">
        <f>IFERROR(_xlfn.XLOOKUP(tbl_HR_Data[[#This Row],[Gender]], Mapping[Gender _Discarded], Mapping[Gender_Correction]), PROPER(TRIM(tbl_HR_Data[[#This Row],[Gender]])))</f>
        <v>Male</v>
      </c>
      <c r="O704" t="str">
        <f>TRIM(tbl_HR_Data[[#This Row],[Position]])</f>
        <v>Analyst</v>
      </c>
      <c r="P704" t="str">
        <f>IFERROR(_xlfn.XLOOKUP(tbl_HR_Data[[#This Row],[Email]], Mapping[Email_Discarded], Mapping[Email_Correction]), LOWER(TRIM(tbl_HR_Data[[#This Row],[Email]])))</f>
        <v>user@domain.com</v>
      </c>
      <c r="Q70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704" t="str" cm="1">
        <f t="array" ref="R704">_xlfn.REDUCE(Q704, {"-","/","_","\","(",")"}, _xlfn.LAMBDA(_xlpm.txt,_xlpm.itm, SUBSTITUTE(_xlpm.txt, _xlpm.itm, "")))</f>
        <v>0987654321</v>
      </c>
      <c r="S704" s="3">
        <f>IFERROR(_xlfn.XLOOKUP(tbl_HR_Data[[#This Row],[Joining Date]], Mapping[Joining_Discarded], Mapping[Joining_Correction]), VALUE(tbl_HR_Data[[#This Row],[Joining Date]]))</f>
        <v>43845</v>
      </c>
      <c r="T704" t="str">
        <f>TEXT(tbl_HR_Data[[#This Row],[Joining Date]], "mmm")</f>
        <v>Jan</v>
      </c>
      <c r="U704" t="str">
        <f>TEXT(tbl_HR_Data[[#This Row],[Joining Date]], "ddd")</f>
        <v>Wed</v>
      </c>
    </row>
    <row r="705" spans="1:21" x14ac:dyDescent="0.35">
      <c r="A705" t="s">
        <v>104</v>
      </c>
      <c r="B705">
        <v>25</v>
      </c>
      <c r="C705">
        <v>60000</v>
      </c>
      <c r="D705" t="s">
        <v>36</v>
      </c>
      <c r="E705" t="s">
        <v>30</v>
      </c>
      <c r="F705" t="s">
        <v>20</v>
      </c>
      <c r="G705" s="3">
        <v>43845</v>
      </c>
      <c r="H705" t="str">
        <f>TEXT(tbl_HR_Data[[#This Row],[Joining Date]], "mmm")</f>
        <v>Jan</v>
      </c>
      <c r="I705" t="s">
        <v>95</v>
      </c>
      <c r="J705" t="s">
        <v>27</v>
      </c>
      <c r="K705" t="s">
        <v>32</v>
      </c>
      <c r="L705" t="s">
        <v>88</v>
      </c>
      <c r="M705">
        <f>IFERROR( _xlfn.XLOOKUP(TRIM(tbl_HR_Data[[#This Row],[Age]]),#REF!,#REF!), VALUE(TRIM(tbl_HR_Data[[#This Row],[Age]])))</f>
        <v>25</v>
      </c>
      <c r="N705" t="str">
        <f>IFERROR(_xlfn.XLOOKUP(tbl_HR_Data[[#This Row],[Gender]], Mapping[Gender _Discarded], Mapping[Gender_Correction]), PROPER(TRIM(tbl_HR_Data[[#This Row],[Gender]])))</f>
        <v>Other</v>
      </c>
      <c r="O705" t="str">
        <f>TRIM(tbl_HR_Data[[#This Row],[Position]])</f>
        <v>Director</v>
      </c>
      <c r="P705" t="str">
        <f>IFERROR(_xlfn.XLOOKUP(tbl_HR_Data[[#This Row],[Email]], Mapping[Email_Discarded], Mapping[Email_Correction]), LOWER(TRIM(tbl_HR_Data[[#This Row],[Email]])))</f>
        <v>name@company.org</v>
      </c>
      <c r="Q70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705" t="str" cm="1">
        <f t="array" ref="R705">_xlfn.REDUCE(Q705, {"-","/","_","\","(",")"}, _xlfn.LAMBDA(_xlpm.txt,_xlpm.itm, SUBSTITUTE(_xlpm.txt, _xlpm.itm, "")))</f>
        <v>0987654321</v>
      </c>
      <c r="S705" s="3">
        <f>IFERROR(_xlfn.XLOOKUP(tbl_HR_Data[[#This Row],[Joining Date]], Mapping[Joining_Discarded], Mapping[Joining_Correction]), VALUE(tbl_HR_Data[[#This Row],[Joining Date]]))</f>
        <v>43845</v>
      </c>
      <c r="T705" t="str">
        <f>TEXT(tbl_HR_Data[[#This Row],[Joining Date]], "mmm")</f>
        <v>Jan</v>
      </c>
      <c r="U705" t="str">
        <f>TEXT(tbl_HR_Data[[#This Row],[Joining Date]], "ddd")</f>
        <v>Wed</v>
      </c>
    </row>
    <row r="706" spans="1:21" x14ac:dyDescent="0.35">
      <c r="A706" t="s">
        <v>101</v>
      </c>
      <c r="B706">
        <v>30</v>
      </c>
      <c r="C706">
        <v>0</v>
      </c>
      <c r="D706" t="s">
        <v>18</v>
      </c>
      <c r="E706" t="s">
        <v>26</v>
      </c>
      <c r="F706" t="s">
        <v>43</v>
      </c>
      <c r="G706" s="3">
        <v>43845</v>
      </c>
      <c r="H706" t="str">
        <f>TEXT(tbl_HR_Data[[#This Row],[Joining Date]], "mmm")</f>
        <v>Jan</v>
      </c>
      <c r="I706" t="s">
        <v>95</v>
      </c>
      <c r="J706" t="s">
        <v>14</v>
      </c>
      <c r="K706" t="s">
        <v>22</v>
      </c>
      <c r="L706" t="s">
        <v>77</v>
      </c>
      <c r="M706">
        <f>IFERROR( _xlfn.XLOOKUP(TRIM(tbl_HR_Data[[#This Row],[Age]]),#REF!,#REF!), VALUE(TRIM(tbl_HR_Data[[#This Row],[Age]])))</f>
        <v>30</v>
      </c>
      <c r="N706" t="str">
        <f>IFERROR(_xlfn.XLOOKUP(tbl_HR_Data[[#This Row],[Gender]], Mapping[Gender _Discarded], Mapping[Gender_Correction]), PROPER(TRIM(tbl_HR_Data[[#This Row],[Gender]])))</f>
        <v>Female</v>
      </c>
      <c r="O706" t="str">
        <f>TRIM(tbl_HR_Data[[#This Row],[Position]])</f>
        <v>Assistant</v>
      </c>
      <c r="P706" t="str">
        <f>IFERROR(_xlfn.XLOOKUP(tbl_HR_Data[[#This Row],[Email]], Mapping[Email_Discarded], Mapping[Email_Correction]), LOWER(TRIM(tbl_HR_Data[[#This Row],[Email]])))</f>
        <v>user@domain.com</v>
      </c>
      <c r="Q70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06" t="str" cm="1">
        <f t="array" ref="R706">_xlfn.REDUCE(Q706, {"-","/","_","\","(",")"}, _xlfn.LAMBDA(_xlpm.txt,_xlpm.itm, SUBSTITUTE(_xlpm.txt, _xlpm.itm, "")))</f>
        <v>Not Provided</v>
      </c>
      <c r="S706" s="3">
        <f>IFERROR(_xlfn.XLOOKUP(tbl_HR_Data[[#This Row],[Joining Date]], Mapping[Joining_Discarded], Mapping[Joining_Correction]), VALUE(tbl_HR_Data[[#This Row],[Joining Date]]))</f>
        <v>43845</v>
      </c>
      <c r="T706" t="str">
        <f>TEXT(tbl_HR_Data[[#This Row],[Joining Date]], "mmm")</f>
        <v>Jan</v>
      </c>
      <c r="U706" t="str">
        <f>TEXT(tbl_HR_Data[[#This Row],[Joining Date]], "ddd")</f>
        <v>Wed</v>
      </c>
    </row>
    <row r="707" spans="1:21" x14ac:dyDescent="0.35">
      <c r="A707" t="s">
        <v>101</v>
      </c>
      <c r="B707">
        <v>30</v>
      </c>
      <c r="C707">
        <v>65000</v>
      </c>
      <c r="D707" t="s">
        <v>18</v>
      </c>
      <c r="E707" t="s">
        <v>26</v>
      </c>
      <c r="F707" t="s">
        <v>39</v>
      </c>
      <c r="G707" s="3">
        <v>43845</v>
      </c>
      <c r="H707" t="str">
        <f>TEXT(tbl_HR_Data[[#This Row],[Joining Date]], "mmm")</f>
        <v>Jan</v>
      </c>
      <c r="I707" t="s">
        <v>95</v>
      </c>
      <c r="J707" t="s">
        <v>31</v>
      </c>
      <c r="K707" t="s">
        <v>32</v>
      </c>
      <c r="L707" t="s">
        <v>77</v>
      </c>
      <c r="M707">
        <f>IFERROR( _xlfn.XLOOKUP(TRIM(tbl_HR_Data[[#This Row],[Age]]),#REF!,#REF!), VALUE(TRIM(tbl_HR_Data[[#This Row],[Age]])))</f>
        <v>30</v>
      </c>
      <c r="N707" t="str">
        <f>IFERROR(_xlfn.XLOOKUP(tbl_HR_Data[[#This Row],[Gender]], Mapping[Gender _Discarded], Mapping[Gender_Correction]), PROPER(TRIM(tbl_HR_Data[[#This Row],[Gender]])))</f>
        <v>Female</v>
      </c>
      <c r="O707" t="str">
        <f>TRIM(tbl_HR_Data[[#This Row],[Position]])</f>
        <v>Clerk</v>
      </c>
      <c r="P707" t="str">
        <f>IFERROR(_xlfn.XLOOKUP(tbl_HR_Data[[#This Row],[Email]], Mapping[Email_Discarded], Mapping[Email_Correction]), LOWER(TRIM(tbl_HR_Data[[#This Row],[Email]])))</f>
        <v>name@company.org</v>
      </c>
      <c r="Q70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07" t="str" cm="1">
        <f t="array" ref="R707">_xlfn.REDUCE(Q707, {"-","/","_","\","(",")"}, _xlfn.LAMBDA(_xlpm.txt,_xlpm.itm, SUBSTITUTE(_xlpm.txt, _xlpm.itm, "")))</f>
        <v>Not Provided</v>
      </c>
      <c r="S707" s="3">
        <f>IFERROR(_xlfn.XLOOKUP(tbl_HR_Data[[#This Row],[Joining Date]], Mapping[Joining_Discarded], Mapping[Joining_Correction]), VALUE(tbl_HR_Data[[#This Row],[Joining Date]]))</f>
        <v>43845</v>
      </c>
      <c r="T707" t="str">
        <f>TEXT(tbl_HR_Data[[#This Row],[Joining Date]], "mmm")</f>
        <v>Jan</v>
      </c>
      <c r="U707" t="str">
        <f>TEXT(tbl_HR_Data[[#This Row],[Joining Date]], "ddd")</f>
        <v>Wed</v>
      </c>
    </row>
    <row r="708" spans="1:21" x14ac:dyDescent="0.35">
      <c r="A708" t="s">
        <v>100</v>
      </c>
      <c r="B708">
        <v>30</v>
      </c>
      <c r="C708">
        <v>50000</v>
      </c>
      <c r="D708" t="s">
        <v>36</v>
      </c>
      <c r="E708" t="s">
        <v>26</v>
      </c>
      <c r="F708" t="s">
        <v>39</v>
      </c>
      <c r="G708" s="3">
        <v>43845</v>
      </c>
      <c r="H708" t="str">
        <f>TEXT(tbl_HR_Data[[#This Row],[Joining Date]], "mmm")</f>
        <v>Jan</v>
      </c>
      <c r="I708" t="s">
        <v>95</v>
      </c>
      <c r="J708" t="s">
        <v>27</v>
      </c>
      <c r="K708" t="s">
        <v>15</v>
      </c>
      <c r="L708" t="s">
        <v>87</v>
      </c>
      <c r="M708">
        <f>IFERROR( _xlfn.XLOOKUP(TRIM(tbl_HR_Data[[#This Row],[Age]]),#REF!,#REF!), VALUE(TRIM(tbl_HR_Data[[#This Row],[Age]])))</f>
        <v>30</v>
      </c>
      <c r="N708" t="str">
        <f>IFERROR(_xlfn.XLOOKUP(tbl_HR_Data[[#This Row],[Gender]], Mapping[Gender _Discarded], Mapping[Gender_Correction]), PROPER(TRIM(tbl_HR_Data[[#This Row],[Gender]])))</f>
        <v>Other</v>
      </c>
      <c r="O708" t="str">
        <f>TRIM(tbl_HR_Data[[#This Row],[Position]])</f>
        <v>Clerk</v>
      </c>
      <c r="P708" t="str">
        <f>IFERROR(_xlfn.XLOOKUP(tbl_HR_Data[[#This Row],[Email]], Mapping[Email_Discarded], Mapping[Email_Correction]), LOWER(TRIM(tbl_HR_Data[[#This Row],[Email]])))</f>
        <v>email@example.com</v>
      </c>
      <c r="Q70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708" t="str" cm="1">
        <f t="array" ref="R708">_xlfn.REDUCE(Q708, {"-","/","_","\","(",")"}, _xlfn.LAMBDA(_xlpm.txt,_xlpm.itm, SUBSTITUTE(_xlpm.txt, _xlpm.itm, "")))</f>
        <v>1234567890</v>
      </c>
      <c r="S708" s="3">
        <f>IFERROR(_xlfn.XLOOKUP(tbl_HR_Data[[#This Row],[Joining Date]], Mapping[Joining_Discarded], Mapping[Joining_Correction]), VALUE(tbl_HR_Data[[#This Row],[Joining Date]]))</f>
        <v>43845</v>
      </c>
      <c r="T708" t="str">
        <f>TEXT(tbl_HR_Data[[#This Row],[Joining Date]], "mmm")</f>
        <v>Jan</v>
      </c>
      <c r="U708" t="str">
        <f>TEXT(tbl_HR_Data[[#This Row],[Joining Date]], "ddd")</f>
        <v>Wed</v>
      </c>
    </row>
    <row r="709" spans="1:21" x14ac:dyDescent="0.35">
      <c r="A709" t="s">
        <v>106</v>
      </c>
      <c r="B709">
        <v>35</v>
      </c>
      <c r="C709">
        <v>0</v>
      </c>
      <c r="D709" t="s">
        <v>11</v>
      </c>
      <c r="E709" t="s">
        <v>26</v>
      </c>
      <c r="F709" t="s">
        <v>44</v>
      </c>
      <c r="G709" s="3">
        <v>43845</v>
      </c>
      <c r="H709" t="str">
        <f>TEXT(tbl_HR_Data[[#This Row],[Joining Date]], "mmm")</f>
        <v>Jan</v>
      </c>
      <c r="I709" t="s">
        <v>95</v>
      </c>
      <c r="J709" t="s">
        <v>21</v>
      </c>
      <c r="K709" t="s">
        <v>15</v>
      </c>
      <c r="L709" t="s">
        <v>87</v>
      </c>
      <c r="M709">
        <f>IFERROR( _xlfn.XLOOKUP(TRIM(tbl_HR_Data[[#This Row],[Age]]),#REF!,#REF!), VALUE(TRIM(tbl_HR_Data[[#This Row],[Age]])))</f>
        <v>35</v>
      </c>
      <c r="N709" t="str">
        <f>IFERROR(_xlfn.XLOOKUP(tbl_HR_Data[[#This Row],[Gender]], Mapping[Gender _Discarded], Mapping[Gender_Correction]), PROPER(TRIM(tbl_HR_Data[[#This Row],[Gender]])))</f>
        <v>Male</v>
      </c>
      <c r="O709" t="str">
        <f>TRIM(tbl_HR_Data[[#This Row],[Position]])</f>
        <v>Analyst</v>
      </c>
      <c r="P709" t="str">
        <f>IFERROR(_xlfn.XLOOKUP(tbl_HR_Data[[#This Row],[Email]], Mapping[Email_Discarded], Mapping[Email_Correction]), LOWER(TRIM(tbl_HR_Data[[#This Row],[Email]])))</f>
        <v>email@example.com</v>
      </c>
      <c r="Q70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709" t="str" cm="1">
        <f t="array" ref="R709">_xlfn.REDUCE(Q709, {"-","/","_","\","(",")"}, _xlfn.LAMBDA(_xlpm.txt,_xlpm.itm, SUBSTITUTE(_xlpm.txt, _xlpm.itm, "")))</f>
        <v>1234567890</v>
      </c>
      <c r="S709" s="3">
        <f>IFERROR(_xlfn.XLOOKUP(tbl_HR_Data[[#This Row],[Joining Date]], Mapping[Joining_Discarded], Mapping[Joining_Correction]), VALUE(tbl_HR_Data[[#This Row],[Joining Date]]))</f>
        <v>43845</v>
      </c>
      <c r="T709" t="str">
        <f>TEXT(tbl_HR_Data[[#This Row],[Joining Date]], "mmm")</f>
        <v>Jan</v>
      </c>
      <c r="U709" t="str">
        <f>TEXT(tbl_HR_Data[[#This Row],[Joining Date]], "ddd")</f>
        <v>Wed</v>
      </c>
    </row>
    <row r="710" spans="1:21" x14ac:dyDescent="0.35">
      <c r="A710" t="s">
        <v>106</v>
      </c>
      <c r="B710">
        <v>30</v>
      </c>
      <c r="C710">
        <v>70000</v>
      </c>
      <c r="D710" t="s">
        <v>11</v>
      </c>
      <c r="E710" t="s">
        <v>26</v>
      </c>
      <c r="F710" t="s">
        <v>39</v>
      </c>
      <c r="G710" s="3">
        <v>43845</v>
      </c>
      <c r="H710" t="str">
        <f>TEXT(tbl_HR_Data[[#This Row],[Joining Date]], "mmm")</f>
        <v>Jan</v>
      </c>
      <c r="I710" t="s">
        <v>95</v>
      </c>
      <c r="J710" t="s">
        <v>41</v>
      </c>
      <c r="K710" t="s">
        <v>15</v>
      </c>
      <c r="L710" t="s">
        <v>87</v>
      </c>
      <c r="M710">
        <f>IFERROR( _xlfn.XLOOKUP(TRIM(tbl_HR_Data[[#This Row],[Age]]),#REF!,#REF!), VALUE(TRIM(tbl_HR_Data[[#This Row],[Age]])))</f>
        <v>30</v>
      </c>
      <c r="N710" t="str">
        <f>IFERROR(_xlfn.XLOOKUP(tbl_HR_Data[[#This Row],[Gender]], Mapping[Gender _Discarded], Mapping[Gender_Correction]), PROPER(TRIM(tbl_HR_Data[[#This Row],[Gender]])))</f>
        <v>Male</v>
      </c>
      <c r="O710" t="str">
        <f>TRIM(tbl_HR_Data[[#This Row],[Position]])</f>
        <v>Clerk</v>
      </c>
      <c r="P710" t="str">
        <f>IFERROR(_xlfn.XLOOKUP(tbl_HR_Data[[#This Row],[Email]], Mapping[Email_Discarded], Mapping[Email_Correction]), LOWER(TRIM(tbl_HR_Data[[#This Row],[Email]])))</f>
        <v>email@example.com</v>
      </c>
      <c r="Q71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710" t="str" cm="1">
        <f t="array" ref="R710">_xlfn.REDUCE(Q710, {"-","/","_","\","(",")"}, _xlfn.LAMBDA(_xlpm.txt,_xlpm.itm, SUBSTITUTE(_xlpm.txt, _xlpm.itm, "")))</f>
        <v>1234567890</v>
      </c>
      <c r="S710" s="3">
        <f>IFERROR(_xlfn.XLOOKUP(tbl_HR_Data[[#This Row],[Joining Date]], Mapping[Joining_Discarded], Mapping[Joining_Correction]), VALUE(tbl_HR_Data[[#This Row],[Joining Date]]))</f>
        <v>43845</v>
      </c>
      <c r="T710" t="str">
        <f>TEXT(tbl_HR_Data[[#This Row],[Joining Date]], "mmm")</f>
        <v>Jan</v>
      </c>
      <c r="U710" t="str">
        <f>TEXT(tbl_HR_Data[[#This Row],[Joining Date]], "ddd")</f>
        <v>Wed</v>
      </c>
    </row>
    <row r="711" spans="1:21" x14ac:dyDescent="0.35">
      <c r="A711" t="s">
        <v>108</v>
      </c>
      <c r="B711">
        <v>50</v>
      </c>
      <c r="C711">
        <v>55000</v>
      </c>
      <c r="D711" t="s">
        <v>36</v>
      </c>
      <c r="E711" t="s">
        <v>19</v>
      </c>
      <c r="F711" t="s">
        <v>43</v>
      </c>
      <c r="G711" s="3">
        <v>43845</v>
      </c>
      <c r="H711" t="str">
        <f>TEXT(tbl_HR_Data[[#This Row],[Joining Date]], "mmm")</f>
        <v>Jan</v>
      </c>
      <c r="I711" t="s">
        <v>95</v>
      </c>
      <c r="J711" t="s">
        <v>27</v>
      </c>
      <c r="K711" t="s">
        <v>77</v>
      </c>
      <c r="L711" t="s">
        <v>87</v>
      </c>
      <c r="M711">
        <f>IFERROR( _xlfn.XLOOKUP(TRIM(tbl_HR_Data[[#This Row],[Age]]),#REF!,#REF!), VALUE(TRIM(tbl_HR_Data[[#This Row],[Age]])))</f>
        <v>50</v>
      </c>
      <c r="N711" t="str">
        <f>IFERROR(_xlfn.XLOOKUP(tbl_HR_Data[[#This Row],[Gender]], Mapping[Gender _Discarded], Mapping[Gender_Correction]), PROPER(TRIM(tbl_HR_Data[[#This Row],[Gender]])))</f>
        <v>Other</v>
      </c>
      <c r="O711" t="str">
        <f>TRIM(tbl_HR_Data[[#This Row],[Position]])</f>
        <v>Assistant</v>
      </c>
      <c r="P711" t="str">
        <f>IFERROR(_xlfn.XLOOKUP(tbl_HR_Data[[#This Row],[Email]], Mapping[Email_Discarded], Mapping[Email_Correction]), LOWER(TRIM(tbl_HR_Data[[#This Row],[Email]])))</f>
        <v>not provided</v>
      </c>
      <c r="Q71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711" t="str" cm="1">
        <f t="array" ref="R711">_xlfn.REDUCE(Q711, {"-","/","_","\","(",")"}, _xlfn.LAMBDA(_xlpm.txt,_xlpm.itm, SUBSTITUTE(_xlpm.txt, _xlpm.itm, "")))</f>
        <v>1234567890</v>
      </c>
      <c r="S711" s="3">
        <f>IFERROR(_xlfn.XLOOKUP(tbl_HR_Data[[#This Row],[Joining Date]], Mapping[Joining_Discarded], Mapping[Joining_Correction]), VALUE(tbl_HR_Data[[#This Row],[Joining Date]]))</f>
        <v>43845</v>
      </c>
      <c r="T711" t="str">
        <f>TEXT(tbl_HR_Data[[#This Row],[Joining Date]], "mmm")</f>
        <v>Jan</v>
      </c>
      <c r="U711" t="str">
        <f>TEXT(tbl_HR_Data[[#This Row],[Joining Date]], "ddd")</f>
        <v>Wed</v>
      </c>
    </row>
    <row r="712" spans="1:21" x14ac:dyDescent="0.35">
      <c r="A712" t="s">
        <v>105</v>
      </c>
      <c r="B712">
        <v>30</v>
      </c>
      <c r="C712">
        <v>55000</v>
      </c>
      <c r="D712" t="s">
        <v>18</v>
      </c>
      <c r="E712" t="s">
        <v>26</v>
      </c>
      <c r="F712" t="s">
        <v>43</v>
      </c>
      <c r="G712" s="3">
        <v>43845</v>
      </c>
      <c r="H712" t="str">
        <f>TEXT(tbl_HR_Data[[#This Row],[Joining Date]], "mmm")</f>
        <v>Jan</v>
      </c>
      <c r="I712" t="s">
        <v>95</v>
      </c>
      <c r="J712" t="s">
        <v>27</v>
      </c>
      <c r="K712" t="s">
        <v>32</v>
      </c>
      <c r="L712" t="s">
        <v>87</v>
      </c>
      <c r="M712">
        <f>IFERROR( _xlfn.XLOOKUP(TRIM(tbl_HR_Data[[#This Row],[Age]]),#REF!,#REF!), VALUE(TRIM(tbl_HR_Data[[#This Row],[Age]])))</f>
        <v>30</v>
      </c>
      <c r="N712" t="str">
        <f>IFERROR(_xlfn.XLOOKUP(tbl_HR_Data[[#This Row],[Gender]], Mapping[Gender _Discarded], Mapping[Gender_Correction]), PROPER(TRIM(tbl_HR_Data[[#This Row],[Gender]])))</f>
        <v>Female</v>
      </c>
      <c r="O712" t="str">
        <f>TRIM(tbl_HR_Data[[#This Row],[Position]])</f>
        <v>Assistant</v>
      </c>
      <c r="P712" t="str">
        <f>IFERROR(_xlfn.XLOOKUP(tbl_HR_Data[[#This Row],[Email]], Mapping[Email_Discarded], Mapping[Email_Correction]), LOWER(TRIM(tbl_HR_Data[[#This Row],[Email]])))</f>
        <v>name@company.org</v>
      </c>
      <c r="Q71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712" t="str" cm="1">
        <f t="array" ref="R712">_xlfn.REDUCE(Q712, {"-","/","_","\","(",")"}, _xlfn.LAMBDA(_xlpm.txt,_xlpm.itm, SUBSTITUTE(_xlpm.txt, _xlpm.itm, "")))</f>
        <v>1234567890</v>
      </c>
      <c r="S712" s="3">
        <f>IFERROR(_xlfn.XLOOKUP(tbl_HR_Data[[#This Row],[Joining Date]], Mapping[Joining_Discarded], Mapping[Joining_Correction]), VALUE(tbl_HR_Data[[#This Row],[Joining Date]]))</f>
        <v>43845</v>
      </c>
      <c r="T712" t="str">
        <f>TEXT(tbl_HR_Data[[#This Row],[Joining Date]], "mmm")</f>
        <v>Jan</v>
      </c>
      <c r="U712" t="str">
        <f>TEXT(tbl_HR_Data[[#This Row],[Joining Date]], "ddd")</f>
        <v>Wed</v>
      </c>
    </row>
    <row r="713" spans="1:21" x14ac:dyDescent="0.35">
      <c r="A713" t="s">
        <v>99</v>
      </c>
      <c r="B713">
        <v>40</v>
      </c>
      <c r="C713">
        <v>70000</v>
      </c>
      <c r="D713" t="s">
        <v>11</v>
      </c>
      <c r="E713" t="s">
        <v>12</v>
      </c>
      <c r="F713" t="s">
        <v>43</v>
      </c>
      <c r="G713" s="3">
        <v>43845</v>
      </c>
      <c r="H713" t="str">
        <f>TEXT(tbl_HR_Data[[#This Row],[Joining Date]], "mmm")</f>
        <v>Jan</v>
      </c>
      <c r="I713" t="s">
        <v>95</v>
      </c>
      <c r="J713" t="s">
        <v>14</v>
      </c>
      <c r="K713" t="s">
        <v>77</v>
      </c>
      <c r="L713" t="s">
        <v>77</v>
      </c>
      <c r="M713">
        <f>IFERROR( _xlfn.XLOOKUP(TRIM(tbl_HR_Data[[#This Row],[Age]]),#REF!,#REF!), VALUE(TRIM(tbl_HR_Data[[#This Row],[Age]])))</f>
        <v>40</v>
      </c>
      <c r="N713" t="str">
        <f>IFERROR(_xlfn.XLOOKUP(tbl_HR_Data[[#This Row],[Gender]], Mapping[Gender _Discarded], Mapping[Gender_Correction]), PROPER(TRIM(tbl_HR_Data[[#This Row],[Gender]])))</f>
        <v>Male</v>
      </c>
      <c r="O713" t="str">
        <f>TRIM(tbl_HR_Data[[#This Row],[Position]])</f>
        <v>Assistant</v>
      </c>
      <c r="P713" t="str">
        <f>IFERROR(_xlfn.XLOOKUP(tbl_HR_Data[[#This Row],[Email]], Mapping[Email_Discarded], Mapping[Email_Correction]), LOWER(TRIM(tbl_HR_Data[[#This Row],[Email]])))</f>
        <v>not provided</v>
      </c>
      <c r="Q71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13" t="str" cm="1">
        <f t="array" ref="R713">_xlfn.REDUCE(Q713, {"-","/","_","\","(",")"}, _xlfn.LAMBDA(_xlpm.txt,_xlpm.itm, SUBSTITUTE(_xlpm.txt, _xlpm.itm, "")))</f>
        <v>Not Provided</v>
      </c>
      <c r="S713" s="3">
        <f>IFERROR(_xlfn.XLOOKUP(tbl_HR_Data[[#This Row],[Joining Date]], Mapping[Joining_Discarded], Mapping[Joining_Correction]), VALUE(tbl_HR_Data[[#This Row],[Joining Date]]))</f>
        <v>43845</v>
      </c>
      <c r="T713" t="str">
        <f>TEXT(tbl_HR_Data[[#This Row],[Joining Date]], "mmm")</f>
        <v>Jan</v>
      </c>
      <c r="U713" t="str">
        <f>TEXT(tbl_HR_Data[[#This Row],[Joining Date]], "ddd")</f>
        <v>Wed</v>
      </c>
    </row>
    <row r="714" spans="1:21" x14ac:dyDescent="0.35">
      <c r="A714" t="s">
        <v>104</v>
      </c>
      <c r="B714">
        <v>35</v>
      </c>
      <c r="C714">
        <v>70000</v>
      </c>
      <c r="D714" t="s">
        <v>36</v>
      </c>
      <c r="E714" t="s">
        <v>19</v>
      </c>
      <c r="F714" t="s">
        <v>43</v>
      </c>
      <c r="G714" s="3">
        <v>43845</v>
      </c>
      <c r="H714" t="str">
        <f>TEXT(tbl_HR_Data[[#This Row],[Joining Date]], "mmm")</f>
        <v>Jan</v>
      </c>
      <c r="I714" t="s">
        <v>95</v>
      </c>
      <c r="J714" t="s">
        <v>27</v>
      </c>
      <c r="K714" t="s">
        <v>32</v>
      </c>
      <c r="L714" t="s">
        <v>87</v>
      </c>
      <c r="M714">
        <f>IFERROR( _xlfn.XLOOKUP(TRIM(tbl_HR_Data[[#This Row],[Age]]),#REF!,#REF!), VALUE(TRIM(tbl_HR_Data[[#This Row],[Age]])))</f>
        <v>35</v>
      </c>
      <c r="N714" t="str">
        <f>IFERROR(_xlfn.XLOOKUP(tbl_HR_Data[[#This Row],[Gender]], Mapping[Gender _Discarded], Mapping[Gender_Correction]), PROPER(TRIM(tbl_HR_Data[[#This Row],[Gender]])))</f>
        <v>Other</v>
      </c>
      <c r="O714" t="str">
        <f>TRIM(tbl_HR_Data[[#This Row],[Position]])</f>
        <v>Assistant</v>
      </c>
      <c r="P714" t="str">
        <f>IFERROR(_xlfn.XLOOKUP(tbl_HR_Data[[#This Row],[Email]], Mapping[Email_Discarded], Mapping[Email_Correction]), LOWER(TRIM(tbl_HR_Data[[#This Row],[Email]])))</f>
        <v>name@company.org</v>
      </c>
      <c r="Q71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714" t="str" cm="1">
        <f t="array" ref="R714">_xlfn.REDUCE(Q714, {"-","/","_","\","(",")"}, _xlfn.LAMBDA(_xlpm.txt,_xlpm.itm, SUBSTITUTE(_xlpm.txt, _xlpm.itm, "")))</f>
        <v>1234567890</v>
      </c>
      <c r="S714" s="3">
        <f>IFERROR(_xlfn.XLOOKUP(tbl_HR_Data[[#This Row],[Joining Date]], Mapping[Joining_Discarded], Mapping[Joining_Correction]), VALUE(tbl_HR_Data[[#This Row],[Joining Date]]))</f>
        <v>43845</v>
      </c>
      <c r="T714" t="str">
        <f>TEXT(tbl_HR_Data[[#This Row],[Joining Date]], "mmm")</f>
        <v>Jan</v>
      </c>
      <c r="U714" t="str">
        <f>TEXT(tbl_HR_Data[[#This Row],[Joining Date]], "ddd")</f>
        <v>Wed</v>
      </c>
    </row>
    <row r="715" spans="1:21" x14ac:dyDescent="0.35">
      <c r="A715" t="s">
        <v>108</v>
      </c>
      <c r="B715">
        <v>0</v>
      </c>
      <c r="C715">
        <v>70000</v>
      </c>
      <c r="D715" t="s">
        <v>18</v>
      </c>
      <c r="E715" t="s">
        <v>26</v>
      </c>
      <c r="F715" t="s">
        <v>20</v>
      </c>
      <c r="G715" s="3">
        <v>43845</v>
      </c>
      <c r="H715" t="str">
        <f>TEXT(tbl_HR_Data[[#This Row],[Joining Date]], "mmm")</f>
        <v>Jan</v>
      </c>
      <c r="I715" t="s">
        <v>95</v>
      </c>
      <c r="J715" t="s">
        <v>41</v>
      </c>
      <c r="K715" t="s">
        <v>77</v>
      </c>
      <c r="L715" t="s">
        <v>88</v>
      </c>
      <c r="M715">
        <f>IFERROR( _xlfn.XLOOKUP(TRIM(tbl_HR_Data[[#This Row],[Age]]),#REF!,#REF!), VALUE(TRIM(tbl_HR_Data[[#This Row],[Age]])))</f>
        <v>0</v>
      </c>
      <c r="N715" t="str">
        <f>IFERROR(_xlfn.XLOOKUP(tbl_HR_Data[[#This Row],[Gender]], Mapping[Gender _Discarded], Mapping[Gender_Correction]), PROPER(TRIM(tbl_HR_Data[[#This Row],[Gender]])))</f>
        <v>Female</v>
      </c>
      <c r="O715" t="str">
        <f>TRIM(tbl_HR_Data[[#This Row],[Position]])</f>
        <v>Director</v>
      </c>
      <c r="P715" t="str">
        <f>IFERROR(_xlfn.XLOOKUP(tbl_HR_Data[[#This Row],[Email]], Mapping[Email_Discarded], Mapping[Email_Correction]), LOWER(TRIM(tbl_HR_Data[[#This Row],[Email]])))</f>
        <v>not provided</v>
      </c>
      <c r="Q71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715" t="str" cm="1">
        <f t="array" ref="R715">_xlfn.REDUCE(Q715, {"-","/","_","\","(",")"}, _xlfn.LAMBDA(_xlpm.txt,_xlpm.itm, SUBSTITUTE(_xlpm.txt, _xlpm.itm, "")))</f>
        <v>0987654321</v>
      </c>
      <c r="S715" s="3">
        <f>IFERROR(_xlfn.XLOOKUP(tbl_HR_Data[[#This Row],[Joining Date]], Mapping[Joining_Discarded], Mapping[Joining_Correction]), VALUE(tbl_HR_Data[[#This Row],[Joining Date]]))</f>
        <v>43845</v>
      </c>
      <c r="T715" t="str">
        <f>TEXT(tbl_HR_Data[[#This Row],[Joining Date]], "mmm")</f>
        <v>Jan</v>
      </c>
      <c r="U715" t="str">
        <f>TEXT(tbl_HR_Data[[#This Row],[Joining Date]], "ddd")</f>
        <v>Wed</v>
      </c>
    </row>
    <row r="716" spans="1:21" x14ac:dyDescent="0.35">
      <c r="A716" t="s">
        <v>99</v>
      </c>
      <c r="B716">
        <v>0</v>
      </c>
      <c r="C716">
        <v>70000</v>
      </c>
      <c r="D716" t="s">
        <v>36</v>
      </c>
      <c r="E716" t="s">
        <v>30</v>
      </c>
      <c r="F716" t="s">
        <v>43</v>
      </c>
      <c r="G716" s="3">
        <v>43845</v>
      </c>
      <c r="H716" t="str">
        <f>TEXT(tbl_HR_Data[[#This Row],[Joining Date]], "mmm")</f>
        <v>Jan</v>
      </c>
      <c r="I716" t="s">
        <v>95</v>
      </c>
      <c r="J716" t="s">
        <v>27</v>
      </c>
      <c r="K716" t="s">
        <v>15</v>
      </c>
      <c r="L716" t="s">
        <v>77</v>
      </c>
      <c r="M716">
        <f>IFERROR( _xlfn.XLOOKUP(TRIM(tbl_HR_Data[[#This Row],[Age]]),#REF!,#REF!), VALUE(TRIM(tbl_HR_Data[[#This Row],[Age]])))</f>
        <v>0</v>
      </c>
      <c r="N716" t="str">
        <f>IFERROR(_xlfn.XLOOKUP(tbl_HR_Data[[#This Row],[Gender]], Mapping[Gender _Discarded], Mapping[Gender_Correction]), PROPER(TRIM(tbl_HR_Data[[#This Row],[Gender]])))</f>
        <v>Other</v>
      </c>
      <c r="O716" t="str">
        <f>TRIM(tbl_HR_Data[[#This Row],[Position]])</f>
        <v>Assistant</v>
      </c>
      <c r="P716" t="str">
        <f>IFERROR(_xlfn.XLOOKUP(tbl_HR_Data[[#This Row],[Email]], Mapping[Email_Discarded], Mapping[Email_Correction]), LOWER(TRIM(tbl_HR_Data[[#This Row],[Email]])))</f>
        <v>email@example.com</v>
      </c>
      <c r="Q71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16" t="str" cm="1">
        <f t="array" ref="R716">_xlfn.REDUCE(Q716, {"-","/","_","\","(",")"}, _xlfn.LAMBDA(_xlpm.txt,_xlpm.itm, SUBSTITUTE(_xlpm.txt, _xlpm.itm, "")))</f>
        <v>Not Provided</v>
      </c>
      <c r="S716" s="3">
        <f>IFERROR(_xlfn.XLOOKUP(tbl_HR_Data[[#This Row],[Joining Date]], Mapping[Joining_Discarded], Mapping[Joining_Correction]), VALUE(tbl_HR_Data[[#This Row],[Joining Date]]))</f>
        <v>43845</v>
      </c>
      <c r="T716" t="str">
        <f>TEXT(tbl_HR_Data[[#This Row],[Joining Date]], "mmm")</f>
        <v>Jan</v>
      </c>
      <c r="U716" t="str">
        <f>TEXT(tbl_HR_Data[[#This Row],[Joining Date]], "ddd")</f>
        <v>Wed</v>
      </c>
    </row>
    <row r="717" spans="1:21" x14ac:dyDescent="0.35">
      <c r="A717" t="s">
        <v>100</v>
      </c>
      <c r="B717">
        <v>25</v>
      </c>
      <c r="C717">
        <v>65000</v>
      </c>
      <c r="D717" t="s">
        <v>11</v>
      </c>
      <c r="E717" t="s">
        <v>37</v>
      </c>
      <c r="F717" t="s">
        <v>39</v>
      </c>
      <c r="G717" s="3">
        <v>43845</v>
      </c>
      <c r="H717" t="str">
        <f>TEXT(tbl_HR_Data[[#This Row],[Joining Date]], "mmm")</f>
        <v>Jan</v>
      </c>
      <c r="I717" t="s">
        <v>95</v>
      </c>
      <c r="J717" t="s">
        <v>21</v>
      </c>
      <c r="K717" t="s">
        <v>77</v>
      </c>
      <c r="L717" t="s">
        <v>77</v>
      </c>
      <c r="M717">
        <f>IFERROR( _xlfn.XLOOKUP(TRIM(tbl_HR_Data[[#This Row],[Age]]),#REF!,#REF!), VALUE(TRIM(tbl_HR_Data[[#This Row],[Age]])))</f>
        <v>25</v>
      </c>
      <c r="N717" t="str">
        <f>IFERROR(_xlfn.XLOOKUP(tbl_HR_Data[[#This Row],[Gender]], Mapping[Gender _Discarded], Mapping[Gender_Correction]), PROPER(TRIM(tbl_HR_Data[[#This Row],[Gender]])))</f>
        <v>Male</v>
      </c>
      <c r="O717" t="str">
        <f>TRIM(tbl_HR_Data[[#This Row],[Position]])</f>
        <v>Clerk</v>
      </c>
      <c r="P717" t="str">
        <f>IFERROR(_xlfn.XLOOKUP(tbl_HR_Data[[#This Row],[Email]], Mapping[Email_Discarded], Mapping[Email_Correction]), LOWER(TRIM(tbl_HR_Data[[#This Row],[Email]])))</f>
        <v>not provided</v>
      </c>
      <c r="Q71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17" t="str" cm="1">
        <f t="array" ref="R717">_xlfn.REDUCE(Q717, {"-","/","_","\","(",")"}, _xlfn.LAMBDA(_xlpm.txt,_xlpm.itm, SUBSTITUTE(_xlpm.txt, _xlpm.itm, "")))</f>
        <v>Not Provided</v>
      </c>
      <c r="S717" s="3">
        <f>IFERROR(_xlfn.XLOOKUP(tbl_HR_Data[[#This Row],[Joining Date]], Mapping[Joining_Discarded], Mapping[Joining_Correction]), VALUE(tbl_HR_Data[[#This Row],[Joining Date]]))</f>
        <v>43845</v>
      </c>
      <c r="T717" t="str">
        <f>TEXT(tbl_HR_Data[[#This Row],[Joining Date]], "mmm")</f>
        <v>Jan</v>
      </c>
      <c r="U717" t="str">
        <f>TEXT(tbl_HR_Data[[#This Row],[Joining Date]], "ddd")</f>
        <v>Wed</v>
      </c>
    </row>
    <row r="718" spans="1:21" x14ac:dyDescent="0.35">
      <c r="A718" t="s">
        <v>106</v>
      </c>
      <c r="B718">
        <v>35</v>
      </c>
      <c r="C718">
        <v>55000</v>
      </c>
      <c r="D718" t="s">
        <v>18</v>
      </c>
      <c r="E718" t="s">
        <v>37</v>
      </c>
      <c r="F718" t="s">
        <v>39</v>
      </c>
      <c r="G718" s="3">
        <v>43845</v>
      </c>
      <c r="H718" t="str">
        <f>TEXT(tbl_HR_Data[[#This Row],[Joining Date]], "mmm")</f>
        <v>Jan</v>
      </c>
      <c r="I718" t="s">
        <v>95</v>
      </c>
      <c r="J718" t="s">
        <v>14</v>
      </c>
      <c r="K718" t="s">
        <v>77</v>
      </c>
      <c r="L718" t="s">
        <v>87</v>
      </c>
      <c r="M718">
        <f>IFERROR( _xlfn.XLOOKUP(TRIM(tbl_HR_Data[[#This Row],[Age]]),#REF!,#REF!), VALUE(TRIM(tbl_HR_Data[[#This Row],[Age]])))</f>
        <v>35</v>
      </c>
      <c r="N718" t="str">
        <f>IFERROR(_xlfn.XLOOKUP(tbl_HR_Data[[#This Row],[Gender]], Mapping[Gender _Discarded], Mapping[Gender_Correction]), PROPER(TRIM(tbl_HR_Data[[#This Row],[Gender]])))</f>
        <v>Female</v>
      </c>
      <c r="O718" t="str">
        <f>TRIM(tbl_HR_Data[[#This Row],[Position]])</f>
        <v>Clerk</v>
      </c>
      <c r="P718" t="str">
        <f>IFERROR(_xlfn.XLOOKUP(tbl_HR_Data[[#This Row],[Email]], Mapping[Email_Discarded], Mapping[Email_Correction]), LOWER(TRIM(tbl_HR_Data[[#This Row],[Email]])))</f>
        <v>not provided</v>
      </c>
      <c r="Q71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718" t="str" cm="1">
        <f t="array" ref="R718">_xlfn.REDUCE(Q718, {"-","/","_","\","(",")"}, _xlfn.LAMBDA(_xlpm.txt,_xlpm.itm, SUBSTITUTE(_xlpm.txt, _xlpm.itm, "")))</f>
        <v>1234567890</v>
      </c>
      <c r="S718" s="3">
        <f>IFERROR(_xlfn.XLOOKUP(tbl_HR_Data[[#This Row],[Joining Date]], Mapping[Joining_Discarded], Mapping[Joining_Correction]), VALUE(tbl_HR_Data[[#This Row],[Joining Date]]))</f>
        <v>43845</v>
      </c>
      <c r="T718" t="str">
        <f>TEXT(tbl_HR_Data[[#This Row],[Joining Date]], "mmm")</f>
        <v>Jan</v>
      </c>
      <c r="U718" t="str">
        <f>TEXT(tbl_HR_Data[[#This Row],[Joining Date]], "ddd")</f>
        <v>Wed</v>
      </c>
    </row>
    <row r="719" spans="1:21" x14ac:dyDescent="0.35">
      <c r="A719" t="s">
        <v>100</v>
      </c>
      <c r="B719">
        <v>25</v>
      </c>
      <c r="C719">
        <v>60000</v>
      </c>
      <c r="D719" t="s">
        <v>11</v>
      </c>
      <c r="E719" t="s">
        <v>37</v>
      </c>
      <c r="F719" t="s">
        <v>20</v>
      </c>
      <c r="G719" s="3">
        <v>43845</v>
      </c>
      <c r="H719" t="str">
        <f>TEXT(tbl_HR_Data[[#This Row],[Joining Date]], "mmm")</f>
        <v>Jan</v>
      </c>
      <c r="I719" t="s">
        <v>95</v>
      </c>
      <c r="J719" t="s">
        <v>14</v>
      </c>
      <c r="K719" t="s">
        <v>22</v>
      </c>
      <c r="L719" t="s">
        <v>77</v>
      </c>
      <c r="M719">
        <f>IFERROR( _xlfn.XLOOKUP(TRIM(tbl_HR_Data[[#This Row],[Age]]),#REF!,#REF!), VALUE(TRIM(tbl_HR_Data[[#This Row],[Age]])))</f>
        <v>25</v>
      </c>
      <c r="N719" t="str">
        <f>IFERROR(_xlfn.XLOOKUP(tbl_HR_Data[[#This Row],[Gender]], Mapping[Gender _Discarded], Mapping[Gender_Correction]), PROPER(TRIM(tbl_HR_Data[[#This Row],[Gender]])))</f>
        <v>Male</v>
      </c>
      <c r="O719" t="str">
        <f>TRIM(tbl_HR_Data[[#This Row],[Position]])</f>
        <v>Director</v>
      </c>
      <c r="P719" t="str">
        <f>IFERROR(_xlfn.XLOOKUP(tbl_HR_Data[[#This Row],[Email]], Mapping[Email_Discarded], Mapping[Email_Correction]), LOWER(TRIM(tbl_HR_Data[[#This Row],[Email]])))</f>
        <v>user@domain.com</v>
      </c>
      <c r="Q71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19" t="str" cm="1">
        <f t="array" ref="R719">_xlfn.REDUCE(Q719, {"-","/","_","\","(",")"}, _xlfn.LAMBDA(_xlpm.txt,_xlpm.itm, SUBSTITUTE(_xlpm.txt, _xlpm.itm, "")))</f>
        <v>Not Provided</v>
      </c>
      <c r="S719" s="3">
        <f>IFERROR(_xlfn.XLOOKUP(tbl_HR_Data[[#This Row],[Joining Date]], Mapping[Joining_Discarded], Mapping[Joining_Correction]), VALUE(tbl_HR_Data[[#This Row],[Joining Date]]))</f>
        <v>43845</v>
      </c>
      <c r="T719" t="str">
        <f>TEXT(tbl_HR_Data[[#This Row],[Joining Date]], "mmm")</f>
        <v>Jan</v>
      </c>
      <c r="U719" t="str">
        <f>TEXT(tbl_HR_Data[[#This Row],[Joining Date]], "ddd")</f>
        <v>Wed</v>
      </c>
    </row>
    <row r="720" spans="1:21" x14ac:dyDescent="0.35">
      <c r="A720" t="s">
        <v>100</v>
      </c>
      <c r="B720">
        <v>50</v>
      </c>
      <c r="C720">
        <v>70000</v>
      </c>
      <c r="D720" t="s">
        <v>18</v>
      </c>
      <c r="E720" t="s">
        <v>26</v>
      </c>
      <c r="F720" t="s">
        <v>39</v>
      </c>
      <c r="G720" s="3">
        <v>43845</v>
      </c>
      <c r="H720" t="str">
        <f>TEXT(tbl_HR_Data[[#This Row],[Joining Date]], "mmm")</f>
        <v>Jan</v>
      </c>
      <c r="I720" t="s">
        <v>95</v>
      </c>
      <c r="J720" t="s">
        <v>21</v>
      </c>
      <c r="K720" t="s">
        <v>77</v>
      </c>
      <c r="L720" t="s">
        <v>87</v>
      </c>
      <c r="M720">
        <f>IFERROR( _xlfn.XLOOKUP(TRIM(tbl_HR_Data[[#This Row],[Age]]),#REF!,#REF!), VALUE(TRIM(tbl_HR_Data[[#This Row],[Age]])))</f>
        <v>50</v>
      </c>
      <c r="N720" t="str">
        <f>IFERROR(_xlfn.XLOOKUP(tbl_HR_Data[[#This Row],[Gender]], Mapping[Gender _Discarded], Mapping[Gender_Correction]), PROPER(TRIM(tbl_HR_Data[[#This Row],[Gender]])))</f>
        <v>Female</v>
      </c>
      <c r="O720" t="str">
        <f>TRIM(tbl_HR_Data[[#This Row],[Position]])</f>
        <v>Clerk</v>
      </c>
      <c r="P720" t="str">
        <f>IFERROR(_xlfn.XLOOKUP(tbl_HR_Data[[#This Row],[Email]], Mapping[Email_Discarded], Mapping[Email_Correction]), LOWER(TRIM(tbl_HR_Data[[#This Row],[Email]])))</f>
        <v>not provided</v>
      </c>
      <c r="Q72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720" t="str" cm="1">
        <f t="array" ref="R720">_xlfn.REDUCE(Q720, {"-","/","_","\","(",")"}, _xlfn.LAMBDA(_xlpm.txt,_xlpm.itm, SUBSTITUTE(_xlpm.txt, _xlpm.itm, "")))</f>
        <v>1234567890</v>
      </c>
      <c r="S720" s="3">
        <f>IFERROR(_xlfn.XLOOKUP(tbl_HR_Data[[#This Row],[Joining Date]], Mapping[Joining_Discarded], Mapping[Joining_Correction]), VALUE(tbl_HR_Data[[#This Row],[Joining Date]]))</f>
        <v>43845</v>
      </c>
      <c r="T720" t="str">
        <f>TEXT(tbl_HR_Data[[#This Row],[Joining Date]], "mmm")</f>
        <v>Jan</v>
      </c>
      <c r="U720" t="str">
        <f>TEXT(tbl_HR_Data[[#This Row],[Joining Date]], "ddd")</f>
        <v>Wed</v>
      </c>
    </row>
    <row r="721" spans="1:21" x14ac:dyDescent="0.35">
      <c r="A721" t="s">
        <v>102</v>
      </c>
      <c r="B721">
        <v>0</v>
      </c>
      <c r="C721">
        <v>65000</v>
      </c>
      <c r="D721" t="s">
        <v>18</v>
      </c>
      <c r="E721" t="s">
        <v>30</v>
      </c>
      <c r="F721" t="s">
        <v>43</v>
      </c>
      <c r="G721" s="3">
        <v>43845</v>
      </c>
      <c r="H721" t="str">
        <f>TEXT(tbl_HR_Data[[#This Row],[Joining Date]], "mmm")</f>
        <v>Jan</v>
      </c>
      <c r="I721" t="s">
        <v>95</v>
      </c>
      <c r="J721" t="s">
        <v>14</v>
      </c>
      <c r="K721" t="s">
        <v>32</v>
      </c>
      <c r="L721" t="s">
        <v>89</v>
      </c>
      <c r="M721">
        <f>IFERROR( _xlfn.XLOOKUP(TRIM(tbl_HR_Data[[#This Row],[Age]]),#REF!,#REF!), VALUE(TRIM(tbl_HR_Data[[#This Row],[Age]])))</f>
        <v>0</v>
      </c>
      <c r="N721" t="str">
        <f>IFERROR(_xlfn.XLOOKUP(tbl_HR_Data[[#This Row],[Gender]], Mapping[Gender _Discarded], Mapping[Gender_Correction]), PROPER(TRIM(tbl_HR_Data[[#This Row],[Gender]])))</f>
        <v>Female</v>
      </c>
      <c r="O721" t="str">
        <f>TRIM(tbl_HR_Data[[#This Row],[Position]])</f>
        <v>Assistant</v>
      </c>
      <c r="P721" t="str">
        <f>IFERROR(_xlfn.XLOOKUP(tbl_HR_Data[[#This Row],[Email]], Mapping[Email_Discarded], Mapping[Email_Correction]), LOWER(TRIM(tbl_HR_Data[[#This Row],[Email]])))</f>
        <v>name@company.org</v>
      </c>
      <c r="Q72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721" t="str" cm="1">
        <f t="array" ref="R721">_xlfn.REDUCE(Q721, {"-","/","_","\","(",")"}, _xlfn.LAMBDA(_xlpm.txt,_xlpm.itm, SUBSTITUTE(_xlpm.txt, _xlpm.itm, "")))</f>
        <v>5555555555</v>
      </c>
      <c r="S721" s="3">
        <f>IFERROR(_xlfn.XLOOKUP(tbl_HR_Data[[#This Row],[Joining Date]], Mapping[Joining_Discarded], Mapping[Joining_Correction]), VALUE(tbl_HR_Data[[#This Row],[Joining Date]]))</f>
        <v>43845</v>
      </c>
      <c r="T721" t="str">
        <f>TEXT(tbl_HR_Data[[#This Row],[Joining Date]], "mmm")</f>
        <v>Jan</v>
      </c>
      <c r="U721" t="str">
        <f>TEXT(tbl_HR_Data[[#This Row],[Joining Date]], "ddd")</f>
        <v>Wed</v>
      </c>
    </row>
    <row r="722" spans="1:21" x14ac:dyDescent="0.35">
      <c r="A722" t="s">
        <v>105</v>
      </c>
      <c r="B722">
        <v>35</v>
      </c>
      <c r="C722">
        <v>65000</v>
      </c>
      <c r="D722" t="s">
        <v>18</v>
      </c>
      <c r="E722" t="s">
        <v>26</v>
      </c>
      <c r="F722" t="s">
        <v>44</v>
      </c>
      <c r="G722" s="3">
        <v>43845</v>
      </c>
      <c r="H722" t="str">
        <f>TEXT(tbl_HR_Data[[#This Row],[Joining Date]], "mmm")</f>
        <v>Jan</v>
      </c>
      <c r="I722" t="s">
        <v>95</v>
      </c>
      <c r="J722" t="s">
        <v>21</v>
      </c>
      <c r="K722" t="s">
        <v>77</v>
      </c>
      <c r="L722" t="s">
        <v>88</v>
      </c>
      <c r="M722">
        <f>IFERROR( _xlfn.XLOOKUP(TRIM(tbl_HR_Data[[#This Row],[Age]]),#REF!,#REF!), VALUE(TRIM(tbl_HR_Data[[#This Row],[Age]])))</f>
        <v>35</v>
      </c>
      <c r="N722" t="str">
        <f>IFERROR(_xlfn.XLOOKUP(tbl_HR_Data[[#This Row],[Gender]], Mapping[Gender _Discarded], Mapping[Gender_Correction]), PROPER(TRIM(tbl_HR_Data[[#This Row],[Gender]])))</f>
        <v>Female</v>
      </c>
      <c r="O722" t="str">
        <f>TRIM(tbl_HR_Data[[#This Row],[Position]])</f>
        <v>Analyst</v>
      </c>
      <c r="P722" t="str">
        <f>IFERROR(_xlfn.XLOOKUP(tbl_HR_Data[[#This Row],[Email]], Mapping[Email_Discarded], Mapping[Email_Correction]), LOWER(TRIM(tbl_HR_Data[[#This Row],[Email]])))</f>
        <v>not provided</v>
      </c>
      <c r="Q72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722" t="str" cm="1">
        <f t="array" ref="R722">_xlfn.REDUCE(Q722, {"-","/","_","\","(",")"}, _xlfn.LAMBDA(_xlpm.txt,_xlpm.itm, SUBSTITUTE(_xlpm.txt, _xlpm.itm, "")))</f>
        <v>0987654321</v>
      </c>
      <c r="S722" s="3">
        <f>IFERROR(_xlfn.XLOOKUP(tbl_HR_Data[[#This Row],[Joining Date]], Mapping[Joining_Discarded], Mapping[Joining_Correction]), VALUE(tbl_HR_Data[[#This Row],[Joining Date]]))</f>
        <v>43845</v>
      </c>
      <c r="T722" t="str">
        <f>TEXT(tbl_HR_Data[[#This Row],[Joining Date]], "mmm")</f>
        <v>Jan</v>
      </c>
      <c r="U722" t="str">
        <f>TEXT(tbl_HR_Data[[#This Row],[Joining Date]], "ddd")</f>
        <v>Wed</v>
      </c>
    </row>
    <row r="723" spans="1:21" x14ac:dyDescent="0.35">
      <c r="A723" t="s">
        <v>107</v>
      </c>
      <c r="B723">
        <v>0</v>
      </c>
      <c r="C723">
        <v>0</v>
      </c>
      <c r="D723" t="s">
        <v>11</v>
      </c>
      <c r="E723" t="s">
        <v>19</v>
      </c>
      <c r="F723" t="s">
        <v>20</v>
      </c>
      <c r="G723" s="3">
        <v>43845</v>
      </c>
      <c r="H723" t="str">
        <f>TEXT(tbl_HR_Data[[#This Row],[Joining Date]], "mmm")</f>
        <v>Jan</v>
      </c>
      <c r="I723" t="s">
        <v>95</v>
      </c>
      <c r="J723" t="s">
        <v>41</v>
      </c>
      <c r="K723" t="s">
        <v>22</v>
      </c>
      <c r="L723" t="s">
        <v>77</v>
      </c>
      <c r="M723">
        <f>IFERROR( _xlfn.XLOOKUP(TRIM(tbl_HR_Data[[#This Row],[Age]]),#REF!,#REF!), VALUE(TRIM(tbl_HR_Data[[#This Row],[Age]])))</f>
        <v>0</v>
      </c>
      <c r="N723" t="str">
        <f>IFERROR(_xlfn.XLOOKUP(tbl_HR_Data[[#This Row],[Gender]], Mapping[Gender _Discarded], Mapping[Gender_Correction]), PROPER(TRIM(tbl_HR_Data[[#This Row],[Gender]])))</f>
        <v>Male</v>
      </c>
      <c r="O723" t="str">
        <f>TRIM(tbl_HR_Data[[#This Row],[Position]])</f>
        <v>Director</v>
      </c>
      <c r="P723" t="str">
        <f>IFERROR(_xlfn.XLOOKUP(tbl_HR_Data[[#This Row],[Email]], Mapping[Email_Discarded], Mapping[Email_Correction]), LOWER(TRIM(tbl_HR_Data[[#This Row],[Email]])))</f>
        <v>user@domain.com</v>
      </c>
      <c r="Q72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23" t="str" cm="1">
        <f t="array" ref="R723">_xlfn.REDUCE(Q723, {"-","/","_","\","(",")"}, _xlfn.LAMBDA(_xlpm.txt,_xlpm.itm, SUBSTITUTE(_xlpm.txt, _xlpm.itm, "")))</f>
        <v>Not Provided</v>
      </c>
      <c r="S723" s="3">
        <f>IFERROR(_xlfn.XLOOKUP(tbl_HR_Data[[#This Row],[Joining Date]], Mapping[Joining_Discarded], Mapping[Joining_Correction]), VALUE(tbl_HR_Data[[#This Row],[Joining Date]]))</f>
        <v>43845</v>
      </c>
      <c r="T723" t="str">
        <f>TEXT(tbl_HR_Data[[#This Row],[Joining Date]], "mmm")</f>
        <v>Jan</v>
      </c>
      <c r="U723" t="str">
        <f>TEXT(tbl_HR_Data[[#This Row],[Joining Date]], "ddd")</f>
        <v>Wed</v>
      </c>
    </row>
    <row r="724" spans="1:21" x14ac:dyDescent="0.35">
      <c r="A724" t="s">
        <v>99</v>
      </c>
      <c r="B724">
        <v>35</v>
      </c>
      <c r="C724">
        <v>50000</v>
      </c>
      <c r="D724" t="s">
        <v>36</v>
      </c>
      <c r="E724" t="s">
        <v>37</v>
      </c>
      <c r="F724" t="s">
        <v>13</v>
      </c>
      <c r="G724" s="3">
        <v>43845</v>
      </c>
      <c r="H724" t="str">
        <f>TEXT(tbl_HR_Data[[#This Row],[Joining Date]], "mmm")</f>
        <v>Jan</v>
      </c>
      <c r="I724" t="s">
        <v>95</v>
      </c>
      <c r="J724" t="s">
        <v>31</v>
      </c>
      <c r="K724" t="s">
        <v>15</v>
      </c>
      <c r="L724" t="s">
        <v>77</v>
      </c>
      <c r="M724">
        <f>IFERROR( _xlfn.XLOOKUP(TRIM(tbl_HR_Data[[#This Row],[Age]]),#REF!,#REF!), VALUE(TRIM(tbl_HR_Data[[#This Row],[Age]])))</f>
        <v>35</v>
      </c>
      <c r="N724" t="str">
        <f>IFERROR(_xlfn.XLOOKUP(tbl_HR_Data[[#This Row],[Gender]], Mapping[Gender _Discarded], Mapping[Gender_Correction]), PROPER(TRIM(tbl_HR_Data[[#This Row],[Gender]])))</f>
        <v>Other</v>
      </c>
      <c r="O724" t="str">
        <f>TRIM(tbl_HR_Data[[#This Row],[Position]])</f>
        <v>Manager</v>
      </c>
      <c r="P724" t="str">
        <f>IFERROR(_xlfn.XLOOKUP(tbl_HR_Data[[#This Row],[Email]], Mapping[Email_Discarded], Mapping[Email_Correction]), LOWER(TRIM(tbl_HR_Data[[#This Row],[Email]])))</f>
        <v>email@example.com</v>
      </c>
      <c r="Q72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24" t="str" cm="1">
        <f t="array" ref="R724">_xlfn.REDUCE(Q724, {"-","/","_","\","(",")"}, _xlfn.LAMBDA(_xlpm.txt,_xlpm.itm, SUBSTITUTE(_xlpm.txt, _xlpm.itm, "")))</f>
        <v>Not Provided</v>
      </c>
      <c r="S724" s="3">
        <f>IFERROR(_xlfn.XLOOKUP(tbl_HR_Data[[#This Row],[Joining Date]], Mapping[Joining_Discarded], Mapping[Joining_Correction]), VALUE(tbl_HR_Data[[#This Row],[Joining Date]]))</f>
        <v>43845</v>
      </c>
      <c r="T724" t="str">
        <f>TEXT(tbl_HR_Data[[#This Row],[Joining Date]], "mmm")</f>
        <v>Jan</v>
      </c>
      <c r="U724" t="str">
        <f>TEXT(tbl_HR_Data[[#This Row],[Joining Date]], "ddd")</f>
        <v>Wed</v>
      </c>
    </row>
    <row r="725" spans="1:21" x14ac:dyDescent="0.35">
      <c r="A725" t="s">
        <v>106</v>
      </c>
      <c r="B725">
        <v>35</v>
      </c>
      <c r="C725">
        <v>55000</v>
      </c>
      <c r="D725" t="s">
        <v>36</v>
      </c>
      <c r="E725" t="s">
        <v>19</v>
      </c>
      <c r="F725" t="s">
        <v>43</v>
      </c>
      <c r="G725" s="3">
        <v>43845</v>
      </c>
      <c r="H725" t="str">
        <f>TEXT(tbl_HR_Data[[#This Row],[Joining Date]], "mmm")</f>
        <v>Jan</v>
      </c>
      <c r="I725" t="s">
        <v>95</v>
      </c>
      <c r="J725" t="s">
        <v>27</v>
      </c>
      <c r="K725" t="s">
        <v>32</v>
      </c>
      <c r="L725" t="s">
        <v>77</v>
      </c>
      <c r="M725">
        <f>IFERROR( _xlfn.XLOOKUP(TRIM(tbl_HR_Data[[#This Row],[Age]]),#REF!,#REF!), VALUE(TRIM(tbl_HR_Data[[#This Row],[Age]])))</f>
        <v>35</v>
      </c>
      <c r="N725" t="str">
        <f>IFERROR(_xlfn.XLOOKUP(tbl_HR_Data[[#This Row],[Gender]], Mapping[Gender _Discarded], Mapping[Gender_Correction]), PROPER(TRIM(tbl_HR_Data[[#This Row],[Gender]])))</f>
        <v>Other</v>
      </c>
      <c r="O725" t="str">
        <f>TRIM(tbl_HR_Data[[#This Row],[Position]])</f>
        <v>Assistant</v>
      </c>
      <c r="P725" t="str">
        <f>IFERROR(_xlfn.XLOOKUP(tbl_HR_Data[[#This Row],[Email]], Mapping[Email_Discarded], Mapping[Email_Correction]), LOWER(TRIM(tbl_HR_Data[[#This Row],[Email]])))</f>
        <v>name@company.org</v>
      </c>
      <c r="Q72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25" t="str" cm="1">
        <f t="array" ref="R725">_xlfn.REDUCE(Q725, {"-","/","_","\","(",")"}, _xlfn.LAMBDA(_xlpm.txt,_xlpm.itm, SUBSTITUTE(_xlpm.txt, _xlpm.itm, "")))</f>
        <v>Not Provided</v>
      </c>
      <c r="S725" s="3">
        <f>IFERROR(_xlfn.XLOOKUP(tbl_HR_Data[[#This Row],[Joining Date]], Mapping[Joining_Discarded], Mapping[Joining_Correction]), VALUE(tbl_HR_Data[[#This Row],[Joining Date]]))</f>
        <v>43845</v>
      </c>
      <c r="T725" t="str">
        <f>TEXT(tbl_HR_Data[[#This Row],[Joining Date]], "mmm")</f>
        <v>Jan</v>
      </c>
      <c r="U725" t="str">
        <f>TEXT(tbl_HR_Data[[#This Row],[Joining Date]], "ddd")</f>
        <v>Wed</v>
      </c>
    </row>
    <row r="726" spans="1:21" x14ac:dyDescent="0.35">
      <c r="A726" t="s">
        <v>105</v>
      </c>
      <c r="B726">
        <v>0</v>
      </c>
      <c r="C726">
        <v>50000</v>
      </c>
      <c r="D726" t="s">
        <v>11</v>
      </c>
      <c r="E726" t="s">
        <v>19</v>
      </c>
      <c r="F726" t="s">
        <v>20</v>
      </c>
      <c r="G726" s="3">
        <v>43845</v>
      </c>
      <c r="H726" t="str">
        <f>TEXT(tbl_HR_Data[[#This Row],[Joining Date]], "mmm")</f>
        <v>Jan</v>
      </c>
      <c r="I726" t="s">
        <v>95</v>
      </c>
      <c r="J726" t="s">
        <v>27</v>
      </c>
      <c r="K726" t="s">
        <v>22</v>
      </c>
      <c r="L726" t="s">
        <v>77</v>
      </c>
      <c r="M726">
        <f>IFERROR( _xlfn.XLOOKUP(TRIM(tbl_HR_Data[[#This Row],[Age]]),#REF!,#REF!), VALUE(TRIM(tbl_HR_Data[[#This Row],[Age]])))</f>
        <v>0</v>
      </c>
      <c r="N726" t="str">
        <f>IFERROR(_xlfn.XLOOKUP(tbl_HR_Data[[#This Row],[Gender]], Mapping[Gender _Discarded], Mapping[Gender_Correction]), PROPER(TRIM(tbl_HR_Data[[#This Row],[Gender]])))</f>
        <v>Male</v>
      </c>
      <c r="O726" t="str">
        <f>TRIM(tbl_HR_Data[[#This Row],[Position]])</f>
        <v>Director</v>
      </c>
      <c r="P726" t="str">
        <f>IFERROR(_xlfn.XLOOKUP(tbl_HR_Data[[#This Row],[Email]], Mapping[Email_Discarded], Mapping[Email_Correction]), LOWER(TRIM(tbl_HR_Data[[#This Row],[Email]])))</f>
        <v>user@domain.com</v>
      </c>
      <c r="Q72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26" t="str" cm="1">
        <f t="array" ref="R726">_xlfn.REDUCE(Q726, {"-","/","_","\","(",")"}, _xlfn.LAMBDA(_xlpm.txt,_xlpm.itm, SUBSTITUTE(_xlpm.txt, _xlpm.itm, "")))</f>
        <v>Not Provided</v>
      </c>
      <c r="S726" s="3">
        <f>IFERROR(_xlfn.XLOOKUP(tbl_HR_Data[[#This Row],[Joining Date]], Mapping[Joining_Discarded], Mapping[Joining_Correction]), VALUE(tbl_HR_Data[[#This Row],[Joining Date]]))</f>
        <v>43845</v>
      </c>
      <c r="T726" t="str">
        <f>TEXT(tbl_HR_Data[[#This Row],[Joining Date]], "mmm")</f>
        <v>Jan</v>
      </c>
      <c r="U726" t="str">
        <f>TEXT(tbl_HR_Data[[#This Row],[Joining Date]], "ddd")</f>
        <v>Wed</v>
      </c>
    </row>
    <row r="727" spans="1:21" x14ac:dyDescent="0.35">
      <c r="A727" t="s">
        <v>105</v>
      </c>
      <c r="B727">
        <v>50</v>
      </c>
      <c r="C727">
        <v>65000</v>
      </c>
      <c r="D727" t="s">
        <v>36</v>
      </c>
      <c r="E727" t="s">
        <v>30</v>
      </c>
      <c r="F727" t="s">
        <v>43</v>
      </c>
      <c r="G727" s="3">
        <v>43845</v>
      </c>
      <c r="H727" t="str">
        <f>TEXT(tbl_HR_Data[[#This Row],[Joining Date]], "mmm")</f>
        <v>Jan</v>
      </c>
      <c r="I727" t="s">
        <v>95</v>
      </c>
      <c r="J727" t="s">
        <v>41</v>
      </c>
      <c r="K727" t="s">
        <v>22</v>
      </c>
      <c r="L727" t="s">
        <v>87</v>
      </c>
      <c r="M727">
        <f>IFERROR( _xlfn.XLOOKUP(TRIM(tbl_HR_Data[[#This Row],[Age]]),#REF!,#REF!), VALUE(TRIM(tbl_HR_Data[[#This Row],[Age]])))</f>
        <v>50</v>
      </c>
      <c r="N727" t="str">
        <f>IFERROR(_xlfn.XLOOKUP(tbl_HR_Data[[#This Row],[Gender]], Mapping[Gender _Discarded], Mapping[Gender_Correction]), PROPER(TRIM(tbl_HR_Data[[#This Row],[Gender]])))</f>
        <v>Other</v>
      </c>
      <c r="O727" t="str">
        <f>TRIM(tbl_HR_Data[[#This Row],[Position]])</f>
        <v>Assistant</v>
      </c>
      <c r="P727" t="str">
        <f>IFERROR(_xlfn.XLOOKUP(tbl_HR_Data[[#This Row],[Email]], Mapping[Email_Discarded], Mapping[Email_Correction]), LOWER(TRIM(tbl_HR_Data[[#This Row],[Email]])))</f>
        <v>user@domain.com</v>
      </c>
      <c r="Q72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727" t="str" cm="1">
        <f t="array" ref="R727">_xlfn.REDUCE(Q727, {"-","/","_","\","(",")"}, _xlfn.LAMBDA(_xlpm.txt,_xlpm.itm, SUBSTITUTE(_xlpm.txt, _xlpm.itm, "")))</f>
        <v>1234567890</v>
      </c>
      <c r="S727" s="3">
        <f>IFERROR(_xlfn.XLOOKUP(tbl_HR_Data[[#This Row],[Joining Date]], Mapping[Joining_Discarded], Mapping[Joining_Correction]), VALUE(tbl_HR_Data[[#This Row],[Joining Date]]))</f>
        <v>43845</v>
      </c>
      <c r="T727" t="str">
        <f>TEXT(tbl_HR_Data[[#This Row],[Joining Date]], "mmm")</f>
        <v>Jan</v>
      </c>
      <c r="U727" t="str">
        <f>TEXT(tbl_HR_Data[[#This Row],[Joining Date]], "ddd")</f>
        <v>Wed</v>
      </c>
    </row>
    <row r="728" spans="1:21" x14ac:dyDescent="0.35">
      <c r="A728" t="s">
        <v>106</v>
      </c>
      <c r="B728">
        <v>25</v>
      </c>
      <c r="C728">
        <v>55000</v>
      </c>
      <c r="D728" t="s">
        <v>11</v>
      </c>
      <c r="E728" t="s">
        <v>30</v>
      </c>
      <c r="F728" t="s">
        <v>43</v>
      </c>
      <c r="G728" s="3">
        <v>43845</v>
      </c>
      <c r="H728" t="str">
        <f>TEXT(tbl_HR_Data[[#This Row],[Joining Date]], "mmm")</f>
        <v>Jan</v>
      </c>
      <c r="I728" t="s">
        <v>95</v>
      </c>
      <c r="J728" t="s">
        <v>14</v>
      </c>
      <c r="K728" t="s">
        <v>77</v>
      </c>
      <c r="L728" t="s">
        <v>89</v>
      </c>
      <c r="M728">
        <f>IFERROR( _xlfn.XLOOKUP(TRIM(tbl_HR_Data[[#This Row],[Age]]),#REF!,#REF!), VALUE(TRIM(tbl_HR_Data[[#This Row],[Age]])))</f>
        <v>25</v>
      </c>
      <c r="N728" t="str">
        <f>IFERROR(_xlfn.XLOOKUP(tbl_HR_Data[[#This Row],[Gender]], Mapping[Gender _Discarded], Mapping[Gender_Correction]), PROPER(TRIM(tbl_HR_Data[[#This Row],[Gender]])))</f>
        <v>Male</v>
      </c>
      <c r="O728" t="str">
        <f>TRIM(tbl_HR_Data[[#This Row],[Position]])</f>
        <v>Assistant</v>
      </c>
      <c r="P728" t="str">
        <f>IFERROR(_xlfn.XLOOKUP(tbl_HR_Data[[#This Row],[Email]], Mapping[Email_Discarded], Mapping[Email_Correction]), LOWER(TRIM(tbl_HR_Data[[#This Row],[Email]])))</f>
        <v>not provided</v>
      </c>
      <c r="Q72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728" t="str" cm="1">
        <f t="array" ref="R728">_xlfn.REDUCE(Q728, {"-","/","_","\","(",")"}, _xlfn.LAMBDA(_xlpm.txt,_xlpm.itm, SUBSTITUTE(_xlpm.txt, _xlpm.itm, "")))</f>
        <v>5555555555</v>
      </c>
      <c r="S728" s="3">
        <f>IFERROR(_xlfn.XLOOKUP(tbl_HR_Data[[#This Row],[Joining Date]], Mapping[Joining_Discarded], Mapping[Joining_Correction]), VALUE(tbl_HR_Data[[#This Row],[Joining Date]]))</f>
        <v>43845</v>
      </c>
      <c r="T728" t="str">
        <f>TEXT(tbl_HR_Data[[#This Row],[Joining Date]], "mmm")</f>
        <v>Jan</v>
      </c>
      <c r="U728" t="str">
        <f>TEXT(tbl_HR_Data[[#This Row],[Joining Date]], "ddd")</f>
        <v>Wed</v>
      </c>
    </row>
    <row r="729" spans="1:21" x14ac:dyDescent="0.35">
      <c r="A729" t="s">
        <v>101</v>
      </c>
      <c r="B729">
        <v>40</v>
      </c>
      <c r="C729">
        <v>65000</v>
      </c>
      <c r="D729" t="s">
        <v>18</v>
      </c>
      <c r="E729" t="s">
        <v>12</v>
      </c>
      <c r="F729" t="s">
        <v>44</v>
      </c>
      <c r="G729" s="3">
        <v>43845</v>
      </c>
      <c r="H729" t="str">
        <f>TEXT(tbl_HR_Data[[#This Row],[Joining Date]], "mmm")</f>
        <v>Jan</v>
      </c>
      <c r="I729" t="s">
        <v>95</v>
      </c>
      <c r="J729" t="s">
        <v>21</v>
      </c>
      <c r="K729" t="s">
        <v>77</v>
      </c>
      <c r="L729" t="s">
        <v>88</v>
      </c>
      <c r="M729">
        <f>IFERROR( _xlfn.XLOOKUP(TRIM(tbl_HR_Data[[#This Row],[Age]]),#REF!,#REF!), VALUE(TRIM(tbl_HR_Data[[#This Row],[Age]])))</f>
        <v>40</v>
      </c>
      <c r="N729" t="str">
        <f>IFERROR(_xlfn.XLOOKUP(tbl_HR_Data[[#This Row],[Gender]], Mapping[Gender _Discarded], Mapping[Gender_Correction]), PROPER(TRIM(tbl_HR_Data[[#This Row],[Gender]])))</f>
        <v>Female</v>
      </c>
      <c r="O729" t="str">
        <f>TRIM(tbl_HR_Data[[#This Row],[Position]])</f>
        <v>Analyst</v>
      </c>
      <c r="P729" t="str">
        <f>IFERROR(_xlfn.XLOOKUP(tbl_HR_Data[[#This Row],[Email]], Mapping[Email_Discarded], Mapping[Email_Correction]), LOWER(TRIM(tbl_HR_Data[[#This Row],[Email]])))</f>
        <v>not provided</v>
      </c>
      <c r="Q72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729" t="str" cm="1">
        <f t="array" ref="R729">_xlfn.REDUCE(Q729, {"-","/","_","\","(",")"}, _xlfn.LAMBDA(_xlpm.txt,_xlpm.itm, SUBSTITUTE(_xlpm.txt, _xlpm.itm, "")))</f>
        <v>0987654321</v>
      </c>
      <c r="S729" s="3">
        <f>IFERROR(_xlfn.XLOOKUP(tbl_HR_Data[[#This Row],[Joining Date]], Mapping[Joining_Discarded], Mapping[Joining_Correction]), VALUE(tbl_HR_Data[[#This Row],[Joining Date]]))</f>
        <v>43845</v>
      </c>
      <c r="T729" t="str">
        <f>TEXT(tbl_HR_Data[[#This Row],[Joining Date]], "mmm")</f>
        <v>Jan</v>
      </c>
      <c r="U729" t="str">
        <f>TEXT(tbl_HR_Data[[#This Row],[Joining Date]], "ddd")</f>
        <v>Wed</v>
      </c>
    </row>
    <row r="730" spans="1:21" x14ac:dyDescent="0.35">
      <c r="A730" t="s">
        <v>103</v>
      </c>
      <c r="B730">
        <v>40</v>
      </c>
      <c r="C730">
        <v>70000</v>
      </c>
      <c r="D730" t="s">
        <v>18</v>
      </c>
      <c r="E730" t="s">
        <v>26</v>
      </c>
      <c r="F730" t="s">
        <v>13</v>
      </c>
      <c r="G730" s="3">
        <v>43845</v>
      </c>
      <c r="H730" t="str">
        <f>TEXT(tbl_HR_Data[[#This Row],[Joining Date]], "mmm")</f>
        <v>Jan</v>
      </c>
      <c r="I730" t="s">
        <v>95</v>
      </c>
      <c r="J730" t="s">
        <v>31</v>
      </c>
      <c r="K730" t="s">
        <v>77</v>
      </c>
      <c r="L730" t="s">
        <v>77</v>
      </c>
      <c r="M730">
        <f>IFERROR( _xlfn.XLOOKUP(TRIM(tbl_HR_Data[[#This Row],[Age]]),#REF!,#REF!), VALUE(TRIM(tbl_HR_Data[[#This Row],[Age]])))</f>
        <v>40</v>
      </c>
      <c r="N730" t="str">
        <f>IFERROR(_xlfn.XLOOKUP(tbl_HR_Data[[#This Row],[Gender]], Mapping[Gender _Discarded], Mapping[Gender_Correction]), PROPER(TRIM(tbl_HR_Data[[#This Row],[Gender]])))</f>
        <v>Female</v>
      </c>
      <c r="O730" t="str">
        <f>TRIM(tbl_HR_Data[[#This Row],[Position]])</f>
        <v>Manager</v>
      </c>
      <c r="P730" t="str">
        <f>IFERROR(_xlfn.XLOOKUP(tbl_HR_Data[[#This Row],[Email]], Mapping[Email_Discarded], Mapping[Email_Correction]), LOWER(TRIM(tbl_HR_Data[[#This Row],[Email]])))</f>
        <v>not provided</v>
      </c>
      <c r="Q73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30" t="str" cm="1">
        <f t="array" ref="R730">_xlfn.REDUCE(Q730, {"-","/","_","\","(",")"}, _xlfn.LAMBDA(_xlpm.txt,_xlpm.itm, SUBSTITUTE(_xlpm.txt, _xlpm.itm, "")))</f>
        <v>Not Provided</v>
      </c>
      <c r="S730" s="3">
        <f>IFERROR(_xlfn.XLOOKUP(tbl_HR_Data[[#This Row],[Joining Date]], Mapping[Joining_Discarded], Mapping[Joining_Correction]), VALUE(tbl_HR_Data[[#This Row],[Joining Date]]))</f>
        <v>43845</v>
      </c>
      <c r="T730" t="str">
        <f>TEXT(tbl_HR_Data[[#This Row],[Joining Date]], "mmm")</f>
        <v>Jan</v>
      </c>
      <c r="U730" t="str">
        <f>TEXT(tbl_HR_Data[[#This Row],[Joining Date]], "ddd")</f>
        <v>Wed</v>
      </c>
    </row>
    <row r="731" spans="1:21" x14ac:dyDescent="0.35">
      <c r="A731" t="s">
        <v>108</v>
      </c>
      <c r="B731">
        <v>25</v>
      </c>
      <c r="C731">
        <v>55000</v>
      </c>
      <c r="D731" t="s">
        <v>11</v>
      </c>
      <c r="E731" t="s">
        <v>19</v>
      </c>
      <c r="F731" t="s">
        <v>44</v>
      </c>
      <c r="G731" s="3">
        <v>43845</v>
      </c>
      <c r="H731" t="str">
        <f>TEXT(tbl_HR_Data[[#This Row],[Joining Date]], "mmm")</f>
        <v>Jan</v>
      </c>
      <c r="I731" t="s">
        <v>95</v>
      </c>
      <c r="J731" t="s">
        <v>31</v>
      </c>
      <c r="K731" t="s">
        <v>77</v>
      </c>
      <c r="L731" t="s">
        <v>88</v>
      </c>
      <c r="M731">
        <f>IFERROR( _xlfn.XLOOKUP(TRIM(tbl_HR_Data[[#This Row],[Age]]),#REF!,#REF!), VALUE(TRIM(tbl_HR_Data[[#This Row],[Age]])))</f>
        <v>25</v>
      </c>
      <c r="N731" t="str">
        <f>IFERROR(_xlfn.XLOOKUP(tbl_HR_Data[[#This Row],[Gender]], Mapping[Gender _Discarded], Mapping[Gender_Correction]), PROPER(TRIM(tbl_HR_Data[[#This Row],[Gender]])))</f>
        <v>Male</v>
      </c>
      <c r="O731" t="str">
        <f>TRIM(tbl_HR_Data[[#This Row],[Position]])</f>
        <v>Analyst</v>
      </c>
      <c r="P731" t="str">
        <f>IFERROR(_xlfn.XLOOKUP(tbl_HR_Data[[#This Row],[Email]], Mapping[Email_Discarded], Mapping[Email_Correction]), LOWER(TRIM(tbl_HR_Data[[#This Row],[Email]])))</f>
        <v>not provided</v>
      </c>
      <c r="Q73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731" t="str" cm="1">
        <f t="array" ref="R731">_xlfn.REDUCE(Q731, {"-","/","_","\","(",")"}, _xlfn.LAMBDA(_xlpm.txt,_xlpm.itm, SUBSTITUTE(_xlpm.txt, _xlpm.itm, "")))</f>
        <v>0987654321</v>
      </c>
      <c r="S731" s="3">
        <f>IFERROR(_xlfn.XLOOKUP(tbl_HR_Data[[#This Row],[Joining Date]], Mapping[Joining_Discarded], Mapping[Joining_Correction]), VALUE(tbl_HR_Data[[#This Row],[Joining Date]]))</f>
        <v>43845</v>
      </c>
      <c r="T731" t="str">
        <f>TEXT(tbl_HR_Data[[#This Row],[Joining Date]], "mmm")</f>
        <v>Jan</v>
      </c>
      <c r="U731" t="str">
        <f>TEXT(tbl_HR_Data[[#This Row],[Joining Date]], "ddd")</f>
        <v>Wed</v>
      </c>
    </row>
    <row r="732" spans="1:21" x14ac:dyDescent="0.35">
      <c r="A732" t="s">
        <v>100</v>
      </c>
      <c r="B732">
        <v>30</v>
      </c>
      <c r="C732">
        <v>60000</v>
      </c>
      <c r="D732" t="s">
        <v>36</v>
      </c>
      <c r="E732" t="s">
        <v>26</v>
      </c>
      <c r="F732" t="s">
        <v>44</v>
      </c>
      <c r="G732" s="3">
        <v>43845</v>
      </c>
      <c r="H732" t="str">
        <f>TEXT(tbl_HR_Data[[#This Row],[Joining Date]], "mmm")</f>
        <v>Jan</v>
      </c>
      <c r="I732" t="s">
        <v>95</v>
      </c>
      <c r="J732" t="s">
        <v>21</v>
      </c>
      <c r="K732" t="s">
        <v>32</v>
      </c>
      <c r="L732" t="s">
        <v>87</v>
      </c>
      <c r="M732">
        <f>IFERROR( _xlfn.XLOOKUP(TRIM(tbl_HR_Data[[#This Row],[Age]]),#REF!,#REF!), VALUE(TRIM(tbl_HR_Data[[#This Row],[Age]])))</f>
        <v>30</v>
      </c>
      <c r="N732" t="str">
        <f>IFERROR(_xlfn.XLOOKUP(tbl_HR_Data[[#This Row],[Gender]], Mapping[Gender _Discarded], Mapping[Gender_Correction]), PROPER(TRIM(tbl_HR_Data[[#This Row],[Gender]])))</f>
        <v>Other</v>
      </c>
      <c r="O732" t="str">
        <f>TRIM(tbl_HR_Data[[#This Row],[Position]])</f>
        <v>Analyst</v>
      </c>
      <c r="P732" t="str">
        <f>IFERROR(_xlfn.XLOOKUP(tbl_HR_Data[[#This Row],[Email]], Mapping[Email_Discarded], Mapping[Email_Correction]), LOWER(TRIM(tbl_HR_Data[[#This Row],[Email]])))</f>
        <v>name@company.org</v>
      </c>
      <c r="Q73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732" t="str" cm="1">
        <f t="array" ref="R732">_xlfn.REDUCE(Q732, {"-","/","_","\","(",")"}, _xlfn.LAMBDA(_xlpm.txt,_xlpm.itm, SUBSTITUTE(_xlpm.txt, _xlpm.itm, "")))</f>
        <v>1234567890</v>
      </c>
      <c r="S732" s="3">
        <f>IFERROR(_xlfn.XLOOKUP(tbl_HR_Data[[#This Row],[Joining Date]], Mapping[Joining_Discarded], Mapping[Joining_Correction]), VALUE(tbl_HR_Data[[#This Row],[Joining Date]]))</f>
        <v>43845</v>
      </c>
      <c r="T732" t="str">
        <f>TEXT(tbl_HR_Data[[#This Row],[Joining Date]], "mmm")</f>
        <v>Jan</v>
      </c>
      <c r="U732" t="str">
        <f>TEXT(tbl_HR_Data[[#This Row],[Joining Date]], "ddd")</f>
        <v>Wed</v>
      </c>
    </row>
    <row r="733" spans="1:21" x14ac:dyDescent="0.35">
      <c r="A733" t="s">
        <v>104</v>
      </c>
      <c r="B733">
        <v>30</v>
      </c>
      <c r="C733">
        <v>50000</v>
      </c>
      <c r="D733" t="s">
        <v>36</v>
      </c>
      <c r="E733" t="s">
        <v>26</v>
      </c>
      <c r="F733" t="s">
        <v>13</v>
      </c>
      <c r="G733" s="3">
        <v>43845</v>
      </c>
      <c r="H733" t="str">
        <f>TEXT(tbl_HR_Data[[#This Row],[Joining Date]], "mmm")</f>
        <v>Jan</v>
      </c>
      <c r="I733" t="s">
        <v>95</v>
      </c>
      <c r="J733" t="s">
        <v>21</v>
      </c>
      <c r="K733" t="s">
        <v>15</v>
      </c>
      <c r="L733" t="s">
        <v>77</v>
      </c>
      <c r="M733">
        <f>IFERROR( _xlfn.XLOOKUP(TRIM(tbl_HR_Data[[#This Row],[Age]]),#REF!,#REF!), VALUE(TRIM(tbl_HR_Data[[#This Row],[Age]])))</f>
        <v>30</v>
      </c>
      <c r="N733" t="str">
        <f>IFERROR(_xlfn.XLOOKUP(tbl_HR_Data[[#This Row],[Gender]], Mapping[Gender _Discarded], Mapping[Gender_Correction]), PROPER(TRIM(tbl_HR_Data[[#This Row],[Gender]])))</f>
        <v>Other</v>
      </c>
      <c r="O733" t="str">
        <f>TRIM(tbl_HR_Data[[#This Row],[Position]])</f>
        <v>Manager</v>
      </c>
      <c r="P733" t="str">
        <f>IFERROR(_xlfn.XLOOKUP(tbl_HR_Data[[#This Row],[Email]], Mapping[Email_Discarded], Mapping[Email_Correction]), LOWER(TRIM(tbl_HR_Data[[#This Row],[Email]])))</f>
        <v>email@example.com</v>
      </c>
      <c r="Q73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33" t="str" cm="1">
        <f t="array" ref="R733">_xlfn.REDUCE(Q733, {"-","/","_","\","(",")"}, _xlfn.LAMBDA(_xlpm.txt,_xlpm.itm, SUBSTITUTE(_xlpm.txt, _xlpm.itm, "")))</f>
        <v>Not Provided</v>
      </c>
      <c r="S733" s="3">
        <f>IFERROR(_xlfn.XLOOKUP(tbl_HR_Data[[#This Row],[Joining Date]], Mapping[Joining_Discarded], Mapping[Joining_Correction]), VALUE(tbl_HR_Data[[#This Row],[Joining Date]]))</f>
        <v>43845</v>
      </c>
      <c r="T733" t="str">
        <f>TEXT(tbl_HR_Data[[#This Row],[Joining Date]], "mmm")</f>
        <v>Jan</v>
      </c>
      <c r="U733" t="str">
        <f>TEXT(tbl_HR_Data[[#This Row],[Joining Date]], "ddd")</f>
        <v>Wed</v>
      </c>
    </row>
    <row r="734" spans="1:21" x14ac:dyDescent="0.35">
      <c r="A734" t="s">
        <v>106</v>
      </c>
      <c r="B734">
        <v>40</v>
      </c>
      <c r="C734">
        <v>60000</v>
      </c>
      <c r="D734" t="s">
        <v>11</v>
      </c>
      <c r="E734" t="s">
        <v>37</v>
      </c>
      <c r="F734" t="s">
        <v>39</v>
      </c>
      <c r="G734" s="3">
        <v>43845</v>
      </c>
      <c r="H734" t="str">
        <f>TEXT(tbl_HR_Data[[#This Row],[Joining Date]], "mmm")</f>
        <v>Jan</v>
      </c>
      <c r="I734" t="s">
        <v>95</v>
      </c>
      <c r="J734" t="s">
        <v>21</v>
      </c>
      <c r="K734" t="s">
        <v>77</v>
      </c>
      <c r="L734" t="s">
        <v>87</v>
      </c>
      <c r="M734">
        <f>IFERROR( _xlfn.XLOOKUP(TRIM(tbl_HR_Data[[#This Row],[Age]]),#REF!,#REF!), VALUE(TRIM(tbl_HR_Data[[#This Row],[Age]])))</f>
        <v>40</v>
      </c>
      <c r="N734" t="str">
        <f>IFERROR(_xlfn.XLOOKUP(tbl_HR_Data[[#This Row],[Gender]], Mapping[Gender _Discarded], Mapping[Gender_Correction]), PROPER(TRIM(tbl_HR_Data[[#This Row],[Gender]])))</f>
        <v>Male</v>
      </c>
      <c r="O734" t="str">
        <f>TRIM(tbl_HR_Data[[#This Row],[Position]])</f>
        <v>Clerk</v>
      </c>
      <c r="P734" t="str">
        <f>IFERROR(_xlfn.XLOOKUP(tbl_HR_Data[[#This Row],[Email]], Mapping[Email_Discarded], Mapping[Email_Correction]), LOWER(TRIM(tbl_HR_Data[[#This Row],[Email]])))</f>
        <v>not provided</v>
      </c>
      <c r="Q73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734" t="str" cm="1">
        <f t="array" ref="R734">_xlfn.REDUCE(Q734, {"-","/","_","\","(",")"}, _xlfn.LAMBDA(_xlpm.txt,_xlpm.itm, SUBSTITUTE(_xlpm.txt, _xlpm.itm, "")))</f>
        <v>1234567890</v>
      </c>
      <c r="S734" s="3">
        <f>IFERROR(_xlfn.XLOOKUP(tbl_HR_Data[[#This Row],[Joining Date]], Mapping[Joining_Discarded], Mapping[Joining_Correction]), VALUE(tbl_HR_Data[[#This Row],[Joining Date]]))</f>
        <v>43845</v>
      </c>
      <c r="T734" t="str">
        <f>TEXT(tbl_HR_Data[[#This Row],[Joining Date]], "mmm")</f>
        <v>Jan</v>
      </c>
      <c r="U734" t="str">
        <f>TEXT(tbl_HR_Data[[#This Row],[Joining Date]], "ddd")</f>
        <v>Wed</v>
      </c>
    </row>
    <row r="735" spans="1:21" x14ac:dyDescent="0.35">
      <c r="A735" t="s">
        <v>103</v>
      </c>
      <c r="B735">
        <v>50</v>
      </c>
      <c r="C735">
        <v>65000</v>
      </c>
      <c r="D735" t="s">
        <v>11</v>
      </c>
      <c r="E735" t="s">
        <v>37</v>
      </c>
      <c r="F735" t="s">
        <v>39</v>
      </c>
      <c r="G735" s="3">
        <v>43845</v>
      </c>
      <c r="H735" t="str">
        <f>TEXT(tbl_HR_Data[[#This Row],[Joining Date]], "mmm")</f>
        <v>Jan</v>
      </c>
      <c r="I735" t="s">
        <v>95</v>
      </c>
      <c r="J735" t="s">
        <v>31</v>
      </c>
      <c r="K735" t="s">
        <v>32</v>
      </c>
      <c r="L735" t="s">
        <v>77</v>
      </c>
      <c r="M735">
        <f>IFERROR( _xlfn.XLOOKUP(TRIM(tbl_HR_Data[[#This Row],[Age]]),#REF!,#REF!), VALUE(TRIM(tbl_HR_Data[[#This Row],[Age]])))</f>
        <v>50</v>
      </c>
      <c r="N735" t="str">
        <f>IFERROR(_xlfn.XLOOKUP(tbl_HR_Data[[#This Row],[Gender]], Mapping[Gender _Discarded], Mapping[Gender_Correction]), PROPER(TRIM(tbl_HR_Data[[#This Row],[Gender]])))</f>
        <v>Male</v>
      </c>
      <c r="O735" t="str">
        <f>TRIM(tbl_HR_Data[[#This Row],[Position]])</f>
        <v>Clerk</v>
      </c>
      <c r="P735" t="str">
        <f>IFERROR(_xlfn.XLOOKUP(tbl_HR_Data[[#This Row],[Email]], Mapping[Email_Discarded], Mapping[Email_Correction]), LOWER(TRIM(tbl_HR_Data[[#This Row],[Email]])))</f>
        <v>name@company.org</v>
      </c>
      <c r="Q73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35" t="str" cm="1">
        <f t="array" ref="R735">_xlfn.REDUCE(Q735, {"-","/","_","\","(",")"}, _xlfn.LAMBDA(_xlpm.txt,_xlpm.itm, SUBSTITUTE(_xlpm.txt, _xlpm.itm, "")))</f>
        <v>Not Provided</v>
      </c>
      <c r="S735" s="3">
        <f>IFERROR(_xlfn.XLOOKUP(tbl_HR_Data[[#This Row],[Joining Date]], Mapping[Joining_Discarded], Mapping[Joining_Correction]), VALUE(tbl_HR_Data[[#This Row],[Joining Date]]))</f>
        <v>43845</v>
      </c>
      <c r="T735" t="str">
        <f>TEXT(tbl_HR_Data[[#This Row],[Joining Date]], "mmm")</f>
        <v>Jan</v>
      </c>
      <c r="U735" t="str">
        <f>TEXT(tbl_HR_Data[[#This Row],[Joining Date]], "ddd")</f>
        <v>Wed</v>
      </c>
    </row>
    <row r="736" spans="1:21" x14ac:dyDescent="0.35">
      <c r="A736" t="s">
        <v>107</v>
      </c>
      <c r="B736">
        <v>25</v>
      </c>
      <c r="C736">
        <v>60000</v>
      </c>
      <c r="D736" t="s">
        <v>11</v>
      </c>
      <c r="E736" t="s">
        <v>12</v>
      </c>
      <c r="F736" t="s">
        <v>43</v>
      </c>
      <c r="G736" s="3">
        <v>43845</v>
      </c>
      <c r="H736" t="str">
        <f>TEXT(tbl_HR_Data[[#This Row],[Joining Date]], "mmm")</f>
        <v>Jan</v>
      </c>
      <c r="I736" t="s">
        <v>95</v>
      </c>
      <c r="J736" t="s">
        <v>21</v>
      </c>
      <c r="K736" t="s">
        <v>32</v>
      </c>
      <c r="L736" t="s">
        <v>77</v>
      </c>
      <c r="M736">
        <f>IFERROR( _xlfn.XLOOKUP(TRIM(tbl_HR_Data[[#This Row],[Age]]),#REF!,#REF!), VALUE(TRIM(tbl_HR_Data[[#This Row],[Age]])))</f>
        <v>25</v>
      </c>
      <c r="N736" t="str">
        <f>IFERROR(_xlfn.XLOOKUP(tbl_HR_Data[[#This Row],[Gender]], Mapping[Gender _Discarded], Mapping[Gender_Correction]), PROPER(TRIM(tbl_HR_Data[[#This Row],[Gender]])))</f>
        <v>Male</v>
      </c>
      <c r="O736" t="str">
        <f>TRIM(tbl_HR_Data[[#This Row],[Position]])</f>
        <v>Assistant</v>
      </c>
      <c r="P736" t="str">
        <f>IFERROR(_xlfn.XLOOKUP(tbl_HR_Data[[#This Row],[Email]], Mapping[Email_Discarded], Mapping[Email_Correction]), LOWER(TRIM(tbl_HR_Data[[#This Row],[Email]])))</f>
        <v>name@company.org</v>
      </c>
      <c r="Q73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36" t="str" cm="1">
        <f t="array" ref="R736">_xlfn.REDUCE(Q736, {"-","/","_","\","(",")"}, _xlfn.LAMBDA(_xlpm.txt,_xlpm.itm, SUBSTITUTE(_xlpm.txt, _xlpm.itm, "")))</f>
        <v>Not Provided</v>
      </c>
      <c r="S736" s="3">
        <f>IFERROR(_xlfn.XLOOKUP(tbl_HR_Data[[#This Row],[Joining Date]], Mapping[Joining_Discarded], Mapping[Joining_Correction]), VALUE(tbl_HR_Data[[#This Row],[Joining Date]]))</f>
        <v>43845</v>
      </c>
      <c r="T736" t="str">
        <f>TEXT(tbl_HR_Data[[#This Row],[Joining Date]], "mmm")</f>
        <v>Jan</v>
      </c>
      <c r="U736" t="str">
        <f>TEXT(tbl_HR_Data[[#This Row],[Joining Date]], "ddd")</f>
        <v>Wed</v>
      </c>
    </row>
    <row r="737" spans="1:21" x14ac:dyDescent="0.35">
      <c r="A737" t="s">
        <v>102</v>
      </c>
      <c r="B737">
        <v>25</v>
      </c>
      <c r="C737">
        <v>70000</v>
      </c>
      <c r="D737" t="s">
        <v>18</v>
      </c>
      <c r="E737" t="s">
        <v>26</v>
      </c>
      <c r="F737" t="s">
        <v>43</v>
      </c>
      <c r="G737" s="3">
        <v>43845</v>
      </c>
      <c r="H737" t="str">
        <f>TEXT(tbl_HR_Data[[#This Row],[Joining Date]], "mmm")</f>
        <v>Jan</v>
      </c>
      <c r="I737" t="s">
        <v>95</v>
      </c>
      <c r="J737" t="s">
        <v>41</v>
      </c>
      <c r="K737" t="s">
        <v>77</v>
      </c>
      <c r="L737" t="s">
        <v>89</v>
      </c>
      <c r="M737">
        <f>IFERROR( _xlfn.XLOOKUP(TRIM(tbl_HR_Data[[#This Row],[Age]]),#REF!,#REF!), VALUE(TRIM(tbl_HR_Data[[#This Row],[Age]])))</f>
        <v>25</v>
      </c>
      <c r="N737" t="str">
        <f>IFERROR(_xlfn.XLOOKUP(tbl_HR_Data[[#This Row],[Gender]], Mapping[Gender _Discarded], Mapping[Gender_Correction]), PROPER(TRIM(tbl_HR_Data[[#This Row],[Gender]])))</f>
        <v>Female</v>
      </c>
      <c r="O737" t="str">
        <f>TRIM(tbl_HR_Data[[#This Row],[Position]])</f>
        <v>Assistant</v>
      </c>
      <c r="P737" t="str">
        <f>IFERROR(_xlfn.XLOOKUP(tbl_HR_Data[[#This Row],[Email]], Mapping[Email_Discarded], Mapping[Email_Correction]), LOWER(TRIM(tbl_HR_Data[[#This Row],[Email]])))</f>
        <v>not provided</v>
      </c>
      <c r="Q73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737" t="str" cm="1">
        <f t="array" ref="R737">_xlfn.REDUCE(Q737, {"-","/","_","\","(",")"}, _xlfn.LAMBDA(_xlpm.txt,_xlpm.itm, SUBSTITUTE(_xlpm.txt, _xlpm.itm, "")))</f>
        <v>5555555555</v>
      </c>
      <c r="S737" s="3">
        <f>IFERROR(_xlfn.XLOOKUP(tbl_HR_Data[[#This Row],[Joining Date]], Mapping[Joining_Discarded], Mapping[Joining_Correction]), VALUE(tbl_HR_Data[[#This Row],[Joining Date]]))</f>
        <v>43845</v>
      </c>
      <c r="T737" t="str">
        <f>TEXT(tbl_HR_Data[[#This Row],[Joining Date]], "mmm")</f>
        <v>Jan</v>
      </c>
      <c r="U737" t="str">
        <f>TEXT(tbl_HR_Data[[#This Row],[Joining Date]], "ddd")</f>
        <v>Wed</v>
      </c>
    </row>
    <row r="738" spans="1:21" x14ac:dyDescent="0.35">
      <c r="A738" t="s">
        <v>108</v>
      </c>
      <c r="B738">
        <v>35</v>
      </c>
      <c r="C738">
        <v>60000</v>
      </c>
      <c r="D738" t="s">
        <v>36</v>
      </c>
      <c r="E738" t="s">
        <v>26</v>
      </c>
      <c r="F738" t="s">
        <v>13</v>
      </c>
      <c r="G738" s="3">
        <v>43845</v>
      </c>
      <c r="H738" t="str">
        <f>TEXT(tbl_HR_Data[[#This Row],[Joining Date]], "mmm")</f>
        <v>Jan</v>
      </c>
      <c r="I738" t="s">
        <v>95</v>
      </c>
      <c r="J738" t="s">
        <v>31</v>
      </c>
      <c r="K738" t="s">
        <v>32</v>
      </c>
      <c r="L738" t="s">
        <v>77</v>
      </c>
      <c r="M738">
        <f>IFERROR( _xlfn.XLOOKUP(TRIM(tbl_HR_Data[[#This Row],[Age]]),#REF!,#REF!), VALUE(TRIM(tbl_HR_Data[[#This Row],[Age]])))</f>
        <v>35</v>
      </c>
      <c r="N738" t="str">
        <f>IFERROR(_xlfn.XLOOKUP(tbl_HR_Data[[#This Row],[Gender]], Mapping[Gender _Discarded], Mapping[Gender_Correction]), PROPER(TRIM(tbl_HR_Data[[#This Row],[Gender]])))</f>
        <v>Other</v>
      </c>
      <c r="O738" t="str">
        <f>TRIM(tbl_HR_Data[[#This Row],[Position]])</f>
        <v>Manager</v>
      </c>
      <c r="P738" t="str">
        <f>IFERROR(_xlfn.XLOOKUP(tbl_HR_Data[[#This Row],[Email]], Mapping[Email_Discarded], Mapping[Email_Correction]), LOWER(TRIM(tbl_HR_Data[[#This Row],[Email]])))</f>
        <v>name@company.org</v>
      </c>
      <c r="Q73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38" t="str" cm="1">
        <f t="array" ref="R738">_xlfn.REDUCE(Q738, {"-","/","_","\","(",")"}, _xlfn.LAMBDA(_xlpm.txt,_xlpm.itm, SUBSTITUTE(_xlpm.txt, _xlpm.itm, "")))</f>
        <v>Not Provided</v>
      </c>
      <c r="S738" s="3">
        <f>IFERROR(_xlfn.XLOOKUP(tbl_HR_Data[[#This Row],[Joining Date]], Mapping[Joining_Discarded], Mapping[Joining_Correction]), VALUE(tbl_HR_Data[[#This Row],[Joining Date]]))</f>
        <v>43845</v>
      </c>
      <c r="T738" t="str">
        <f>TEXT(tbl_HR_Data[[#This Row],[Joining Date]], "mmm")</f>
        <v>Jan</v>
      </c>
      <c r="U738" t="str">
        <f>TEXT(tbl_HR_Data[[#This Row],[Joining Date]], "ddd")</f>
        <v>Wed</v>
      </c>
    </row>
    <row r="739" spans="1:21" x14ac:dyDescent="0.35">
      <c r="A739" t="s">
        <v>108</v>
      </c>
      <c r="B739">
        <v>30</v>
      </c>
      <c r="C739">
        <v>50000</v>
      </c>
      <c r="D739" t="s">
        <v>36</v>
      </c>
      <c r="E739" t="s">
        <v>37</v>
      </c>
      <c r="F739" t="s">
        <v>20</v>
      </c>
      <c r="G739" s="3">
        <v>43845</v>
      </c>
      <c r="H739" t="str">
        <f>TEXT(tbl_HR_Data[[#This Row],[Joining Date]], "mmm")</f>
        <v>Jan</v>
      </c>
      <c r="I739" t="s">
        <v>95</v>
      </c>
      <c r="J739" t="s">
        <v>41</v>
      </c>
      <c r="K739" t="s">
        <v>22</v>
      </c>
      <c r="L739" t="s">
        <v>88</v>
      </c>
      <c r="M739">
        <f>IFERROR( _xlfn.XLOOKUP(TRIM(tbl_HR_Data[[#This Row],[Age]]),#REF!,#REF!), VALUE(TRIM(tbl_HR_Data[[#This Row],[Age]])))</f>
        <v>30</v>
      </c>
      <c r="N739" t="str">
        <f>IFERROR(_xlfn.XLOOKUP(tbl_HR_Data[[#This Row],[Gender]], Mapping[Gender _Discarded], Mapping[Gender_Correction]), PROPER(TRIM(tbl_HR_Data[[#This Row],[Gender]])))</f>
        <v>Other</v>
      </c>
      <c r="O739" t="str">
        <f>TRIM(tbl_HR_Data[[#This Row],[Position]])</f>
        <v>Director</v>
      </c>
      <c r="P739" t="str">
        <f>IFERROR(_xlfn.XLOOKUP(tbl_HR_Data[[#This Row],[Email]], Mapping[Email_Discarded], Mapping[Email_Correction]), LOWER(TRIM(tbl_HR_Data[[#This Row],[Email]])))</f>
        <v>user@domain.com</v>
      </c>
      <c r="Q73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739" t="str" cm="1">
        <f t="array" ref="R739">_xlfn.REDUCE(Q739, {"-","/","_","\","(",")"}, _xlfn.LAMBDA(_xlpm.txt,_xlpm.itm, SUBSTITUTE(_xlpm.txt, _xlpm.itm, "")))</f>
        <v>0987654321</v>
      </c>
      <c r="S739" s="3">
        <f>IFERROR(_xlfn.XLOOKUP(tbl_HR_Data[[#This Row],[Joining Date]], Mapping[Joining_Discarded], Mapping[Joining_Correction]), VALUE(tbl_HR_Data[[#This Row],[Joining Date]]))</f>
        <v>43845</v>
      </c>
      <c r="T739" t="str">
        <f>TEXT(tbl_HR_Data[[#This Row],[Joining Date]], "mmm")</f>
        <v>Jan</v>
      </c>
      <c r="U739" t="str">
        <f>TEXT(tbl_HR_Data[[#This Row],[Joining Date]], "ddd")</f>
        <v>Wed</v>
      </c>
    </row>
    <row r="740" spans="1:21" x14ac:dyDescent="0.35">
      <c r="A740" t="s">
        <v>99</v>
      </c>
      <c r="B740">
        <v>35</v>
      </c>
      <c r="C740">
        <v>55000</v>
      </c>
      <c r="D740" t="s">
        <v>11</v>
      </c>
      <c r="E740" t="s">
        <v>30</v>
      </c>
      <c r="F740" t="s">
        <v>13</v>
      </c>
      <c r="G740" s="3">
        <v>43845</v>
      </c>
      <c r="H740" t="str">
        <f>TEXT(tbl_HR_Data[[#This Row],[Joining Date]], "mmm")</f>
        <v>Jan</v>
      </c>
      <c r="I740" t="s">
        <v>95</v>
      </c>
      <c r="J740" t="s">
        <v>41</v>
      </c>
      <c r="K740" t="s">
        <v>32</v>
      </c>
      <c r="L740" t="s">
        <v>77</v>
      </c>
      <c r="M740">
        <f>IFERROR( _xlfn.XLOOKUP(TRIM(tbl_HR_Data[[#This Row],[Age]]),#REF!,#REF!), VALUE(TRIM(tbl_HR_Data[[#This Row],[Age]])))</f>
        <v>35</v>
      </c>
      <c r="N740" t="str">
        <f>IFERROR(_xlfn.XLOOKUP(tbl_HR_Data[[#This Row],[Gender]], Mapping[Gender _Discarded], Mapping[Gender_Correction]), PROPER(TRIM(tbl_HR_Data[[#This Row],[Gender]])))</f>
        <v>Male</v>
      </c>
      <c r="O740" t="str">
        <f>TRIM(tbl_HR_Data[[#This Row],[Position]])</f>
        <v>Manager</v>
      </c>
      <c r="P740" t="str">
        <f>IFERROR(_xlfn.XLOOKUP(tbl_HR_Data[[#This Row],[Email]], Mapping[Email_Discarded], Mapping[Email_Correction]), LOWER(TRIM(tbl_HR_Data[[#This Row],[Email]])))</f>
        <v>name@company.org</v>
      </c>
      <c r="Q74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40" t="str" cm="1">
        <f t="array" ref="R740">_xlfn.REDUCE(Q740, {"-","/","_","\","(",")"}, _xlfn.LAMBDA(_xlpm.txt,_xlpm.itm, SUBSTITUTE(_xlpm.txt, _xlpm.itm, "")))</f>
        <v>Not Provided</v>
      </c>
      <c r="S740" s="3">
        <f>IFERROR(_xlfn.XLOOKUP(tbl_HR_Data[[#This Row],[Joining Date]], Mapping[Joining_Discarded], Mapping[Joining_Correction]), VALUE(tbl_HR_Data[[#This Row],[Joining Date]]))</f>
        <v>43845</v>
      </c>
      <c r="T740" t="str">
        <f>TEXT(tbl_HR_Data[[#This Row],[Joining Date]], "mmm")</f>
        <v>Jan</v>
      </c>
      <c r="U740" t="str">
        <f>TEXT(tbl_HR_Data[[#This Row],[Joining Date]], "ddd")</f>
        <v>Wed</v>
      </c>
    </row>
    <row r="741" spans="1:21" x14ac:dyDescent="0.35">
      <c r="A741" t="s">
        <v>99</v>
      </c>
      <c r="B741">
        <v>50</v>
      </c>
      <c r="C741">
        <v>55000</v>
      </c>
      <c r="D741" t="s">
        <v>11</v>
      </c>
      <c r="E741" t="s">
        <v>19</v>
      </c>
      <c r="F741" t="s">
        <v>39</v>
      </c>
      <c r="G741" s="3">
        <v>43845</v>
      </c>
      <c r="H741" t="str">
        <f>TEXT(tbl_HR_Data[[#This Row],[Joining Date]], "mmm")</f>
        <v>Jan</v>
      </c>
      <c r="I741" t="s">
        <v>95</v>
      </c>
      <c r="J741" t="s">
        <v>41</v>
      </c>
      <c r="K741" t="s">
        <v>77</v>
      </c>
      <c r="L741" t="s">
        <v>77</v>
      </c>
      <c r="M741">
        <f>IFERROR( _xlfn.XLOOKUP(TRIM(tbl_HR_Data[[#This Row],[Age]]),#REF!,#REF!), VALUE(TRIM(tbl_HR_Data[[#This Row],[Age]])))</f>
        <v>50</v>
      </c>
      <c r="N741" t="str">
        <f>IFERROR(_xlfn.XLOOKUP(tbl_HR_Data[[#This Row],[Gender]], Mapping[Gender _Discarded], Mapping[Gender_Correction]), PROPER(TRIM(tbl_HR_Data[[#This Row],[Gender]])))</f>
        <v>Male</v>
      </c>
      <c r="O741" t="str">
        <f>TRIM(tbl_HR_Data[[#This Row],[Position]])</f>
        <v>Clerk</v>
      </c>
      <c r="P741" t="str">
        <f>IFERROR(_xlfn.XLOOKUP(tbl_HR_Data[[#This Row],[Email]], Mapping[Email_Discarded], Mapping[Email_Correction]), LOWER(TRIM(tbl_HR_Data[[#This Row],[Email]])))</f>
        <v>not provided</v>
      </c>
      <c r="Q74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41" t="str" cm="1">
        <f t="array" ref="R741">_xlfn.REDUCE(Q741, {"-","/","_","\","(",")"}, _xlfn.LAMBDA(_xlpm.txt,_xlpm.itm, SUBSTITUTE(_xlpm.txt, _xlpm.itm, "")))</f>
        <v>Not Provided</v>
      </c>
      <c r="S741" s="3">
        <f>IFERROR(_xlfn.XLOOKUP(tbl_HR_Data[[#This Row],[Joining Date]], Mapping[Joining_Discarded], Mapping[Joining_Correction]), VALUE(tbl_HR_Data[[#This Row],[Joining Date]]))</f>
        <v>43845</v>
      </c>
      <c r="T741" t="str">
        <f>TEXT(tbl_HR_Data[[#This Row],[Joining Date]], "mmm")</f>
        <v>Jan</v>
      </c>
      <c r="U741" t="str">
        <f>TEXT(tbl_HR_Data[[#This Row],[Joining Date]], "ddd")</f>
        <v>Wed</v>
      </c>
    </row>
    <row r="742" spans="1:21" x14ac:dyDescent="0.35">
      <c r="A742" t="s">
        <v>105</v>
      </c>
      <c r="B742">
        <v>40</v>
      </c>
      <c r="C742">
        <v>50000</v>
      </c>
      <c r="D742" t="s">
        <v>11</v>
      </c>
      <c r="E742" t="s">
        <v>19</v>
      </c>
      <c r="F742" t="s">
        <v>43</v>
      </c>
      <c r="G742" s="3">
        <v>43845</v>
      </c>
      <c r="H742" t="str">
        <f>TEXT(tbl_HR_Data[[#This Row],[Joining Date]], "mmm")</f>
        <v>Jan</v>
      </c>
      <c r="I742" t="s">
        <v>95</v>
      </c>
      <c r="J742" t="s">
        <v>21</v>
      </c>
      <c r="K742" t="s">
        <v>22</v>
      </c>
      <c r="L742" t="s">
        <v>87</v>
      </c>
      <c r="M742">
        <f>IFERROR( _xlfn.XLOOKUP(TRIM(tbl_HR_Data[[#This Row],[Age]]),#REF!,#REF!), VALUE(TRIM(tbl_HR_Data[[#This Row],[Age]])))</f>
        <v>40</v>
      </c>
      <c r="N742" t="str">
        <f>IFERROR(_xlfn.XLOOKUP(tbl_HR_Data[[#This Row],[Gender]], Mapping[Gender _Discarded], Mapping[Gender_Correction]), PROPER(TRIM(tbl_HR_Data[[#This Row],[Gender]])))</f>
        <v>Male</v>
      </c>
      <c r="O742" t="str">
        <f>TRIM(tbl_HR_Data[[#This Row],[Position]])</f>
        <v>Assistant</v>
      </c>
      <c r="P742" t="str">
        <f>IFERROR(_xlfn.XLOOKUP(tbl_HR_Data[[#This Row],[Email]], Mapping[Email_Discarded], Mapping[Email_Correction]), LOWER(TRIM(tbl_HR_Data[[#This Row],[Email]])))</f>
        <v>user@domain.com</v>
      </c>
      <c r="Q74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742" t="str" cm="1">
        <f t="array" ref="R742">_xlfn.REDUCE(Q742, {"-","/","_","\","(",")"}, _xlfn.LAMBDA(_xlpm.txt,_xlpm.itm, SUBSTITUTE(_xlpm.txt, _xlpm.itm, "")))</f>
        <v>1234567890</v>
      </c>
      <c r="S742" s="3">
        <f>IFERROR(_xlfn.XLOOKUP(tbl_HR_Data[[#This Row],[Joining Date]], Mapping[Joining_Discarded], Mapping[Joining_Correction]), VALUE(tbl_HR_Data[[#This Row],[Joining Date]]))</f>
        <v>43845</v>
      </c>
      <c r="T742" t="str">
        <f>TEXT(tbl_HR_Data[[#This Row],[Joining Date]], "mmm")</f>
        <v>Jan</v>
      </c>
      <c r="U742" t="str">
        <f>TEXT(tbl_HR_Data[[#This Row],[Joining Date]], "ddd")</f>
        <v>Wed</v>
      </c>
    </row>
    <row r="743" spans="1:21" x14ac:dyDescent="0.35">
      <c r="A743" t="s">
        <v>103</v>
      </c>
      <c r="B743">
        <v>25</v>
      </c>
      <c r="C743">
        <v>0</v>
      </c>
      <c r="D743" t="s">
        <v>11</v>
      </c>
      <c r="E743" t="s">
        <v>26</v>
      </c>
      <c r="F743" t="s">
        <v>20</v>
      </c>
      <c r="G743" s="3">
        <v>43845</v>
      </c>
      <c r="H743" t="str">
        <f>TEXT(tbl_HR_Data[[#This Row],[Joining Date]], "mmm")</f>
        <v>Jan</v>
      </c>
      <c r="I743" t="s">
        <v>95</v>
      </c>
      <c r="J743" t="s">
        <v>14</v>
      </c>
      <c r="K743" t="s">
        <v>22</v>
      </c>
      <c r="L743" t="s">
        <v>89</v>
      </c>
      <c r="M743">
        <f>IFERROR( _xlfn.XLOOKUP(TRIM(tbl_HR_Data[[#This Row],[Age]]),#REF!,#REF!), VALUE(TRIM(tbl_HR_Data[[#This Row],[Age]])))</f>
        <v>25</v>
      </c>
      <c r="N743" t="str">
        <f>IFERROR(_xlfn.XLOOKUP(tbl_HR_Data[[#This Row],[Gender]], Mapping[Gender _Discarded], Mapping[Gender_Correction]), PROPER(TRIM(tbl_HR_Data[[#This Row],[Gender]])))</f>
        <v>Male</v>
      </c>
      <c r="O743" t="str">
        <f>TRIM(tbl_HR_Data[[#This Row],[Position]])</f>
        <v>Director</v>
      </c>
      <c r="P743" t="str">
        <f>IFERROR(_xlfn.XLOOKUP(tbl_HR_Data[[#This Row],[Email]], Mapping[Email_Discarded], Mapping[Email_Correction]), LOWER(TRIM(tbl_HR_Data[[#This Row],[Email]])))</f>
        <v>user@domain.com</v>
      </c>
      <c r="Q74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743" t="str" cm="1">
        <f t="array" ref="R743">_xlfn.REDUCE(Q743, {"-","/","_","\","(",")"}, _xlfn.LAMBDA(_xlpm.txt,_xlpm.itm, SUBSTITUTE(_xlpm.txt, _xlpm.itm, "")))</f>
        <v>5555555555</v>
      </c>
      <c r="S743" s="3">
        <f>IFERROR(_xlfn.XLOOKUP(tbl_HR_Data[[#This Row],[Joining Date]], Mapping[Joining_Discarded], Mapping[Joining_Correction]), VALUE(tbl_HR_Data[[#This Row],[Joining Date]]))</f>
        <v>43845</v>
      </c>
      <c r="T743" t="str">
        <f>TEXT(tbl_HR_Data[[#This Row],[Joining Date]], "mmm")</f>
        <v>Jan</v>
      </c>
      <c r="U743" t="str">
        <f>TEXT(tbl_HR_Data[[#This Row],[Joining Date]], "ddd")</f>
        <v>Wed</v>
      </c>
    </row>
    <row r="744" spans="1:21" x14ac:dyDescent="0.35">
      <c r="A744" t="s">
        <v>101</v>
      </c>
      <c r="B744">
        <v>40</v>
      </c>
      <c r="C744">
        <v>50000</v>
      </c>
      <c r="D744" t="s">
        <v>36</v>
      </c>
      <c r="E744" t="s">
        <v>26</v>
      </c>
      <c r="F744" t="s">
        <v>43</v>
      </c>
      <c r="G744" s="3">
        <v>43845</v>
      </c>
      <c r="H744" t="str">
        <f>TEXT(tbl_HR_Data[[#This Row],[Joining Date]], "mmm")</f>
        <v>Jan</v>
      </c>
      <c r="I744" t="s">
        <v>95</v>
      </c>
      <c r="J744" t="s">
        <v>21</v>
      </c>
      <c r="K744" t="s">
        <v>22</v>
      </c>
      <c r="L744" t="s">
        <v>77</v>
      </c>
      <c r="M744">
        <f>IFERROR( _xlfn.XLOOKUP(TRIM(tbl_HR_Data[[#This Row],[Age]]),#REF!,#REF!), VALUE(TRIM(tbl_HR_Data[[#This Row],[Age]])))</f>
        <v>40</v>
      </c>
      <c r="N744" t="str">
        <f>IFERROR(_xlfn.XLOOKUP(tbl_HR_Data[[#This Row],[Gender]], Mapping[Gender _Discarded], Mapping[Gender_Correction]), PROPER(TRIM(tbl_HR_Data[[#This Row],[Gender]])))</f>
        <v>Other</v>
      </c>
      <c r="O744" t="str">
        <f>TRIM(tbl_HR_Data[[#This Row],[Position]])</f>
        <v>Assistant</v>
      </c>
      <c r="P744" t="str">
        <f>IFERROR(_xlfn.XLOOKUP(tbl_HR_Data[[#This Row],[Email]], Mapping[Email_Discarded], Mapping[Email_Correction]), LOWER(TRIM(tbl_HR_Data[[#This Row],[Email]])))</f>
        <v>user@domain.com</v>
      </c>
      <c r="Q74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44" t="str" cm="1">
        <f t="array" ref="R744">_xlfn.REDUCE(Q744, {"-","/","_","\","(",")"}, _xlfn.LAMBDA(_xlpm.txt,_xlpm.itm, SUBSTITUTE(_xlpm.txt, _xlpm.itm, "")))</f>
        <v>Not Provided</v>
      </c>
      <c r="S744" s="3">
        <f>IFERROR(_xlfn.XLOOKUP(tbl_HR_Data[[#This Row],[Joining Date]], Mapping[Joining_Discarded], Mapping[Joining_Correction]), VALUE(tbl_HR_Data[[#This Row],[Joining Date]]))</f>
        <v>43845</v>
      </c>
      <c r="T744" t="str">
        <f>TEXT(tbl_HR_Data[[#This Row],[Joining Date]], "mmm")</f>
        <v>Jan</v>
      </c>
      <c r="U744" t="str">
        <f>TEXT(tbl_HR_Data[[#This Row],[Joining Date]], "ddd")</f>
        <v>Wed</v>
      </c>
    </row>
    <row r="745" spans="1:21" x14ac:dyDescent="0.35">
      <c r="A745" t="s">
        <v>100</v>
      </c>
      <c r="B745">
        <v>40</v>
      </c>
      <c r="C745">
        <v>0</v>
      </c>
      <c r="D745" t="s">
        <v>36</v>
      </c>
      <c r="E745" t="s">
        <v>19</v>
      </c>
      <c r="F745" t="s">
        <v>13</v>
      </c>
      <c r="G745" s="3">
        <v>43845</v>
      </c>
      <c r="H745" t="str">
        <f>TEXT(tbl_HR_Data[[#This Row],[Joining Date]], "mmm")</f>
        <v>Jan</v>
      </c>
      <c r="I745" t="s">
        <v>95</v>
      </c>
      <c r="J745" t="s">
        <v>31</v>
      </c>
      <c r="K745" t="s">
        <v>22</v>
      </c>
      <c r="L745" t="s">
        <v>88</v>
      </c>
      <c r="M745">
        <f>IFERROR( _xlfn.XLOOKUP(TRIM(tbl_HR_Data[[#This Row],[Age]]),#REF!,#REF!), VALUE(TRIM(tbl_HR_Data[[#This Row],[Age]])))</f>
        <v>40</v>
      </c>
      <c r="N745" t="str">
        <f>IFERROR(_xlfn.XLOOKUP(tbl_HR_Data[[#This Row],[Gender]], Mapping[Gender _Discarded], Mapping[Gender_Correction]), PROPER(TRIM(tbl_HR_Data[[#This Row],[Gender]])))</f>
        <v>Other</v>
      </c>
      <c r="O745" t="str">
        <f>TRIM(tbl_HR_Data[[#This Row],[Position]])</f>
        <v>Manager</v>
      </c>
      <c r="P745" t="str">
        <f>IFERROR(_xlfn.XLOOKUP(tbl_HR_Data[[#This Row],[Email]], Mapping[Email_Discarded], Mapping[Email_Correction]), LOWER(TRIM(tbl_HR_Data[[#This Row],[Email]])))</f>
        <v>user@domain.com</v>
      </c>
      <c r="Q74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745" t="str" cm="1">
        <f t="array" ref="R745">_xlfn.REDUCE(Q745, {"-","/","_","\","(",")"}, _xlfn.LAMBDA(_xlpm.txt,_xlpm.itm, SUBSTITUTE(_xlpm.txt, _xlpm.itm, "")))</f>
        <v>0987654321</v>
      </c>
      <c r="S745" s="3">
        <f>IFERROR(_xlfn.XLOOKUP(tbl_HR_Data[[#This Row],[Joining Date]], Mapping[Joining_Discarded], Mapping[Joining_Correction]), VALUE(tbl_HR_Data[[#This Row],[Joining Date]]))</f>
        <v>43845</v>
      </c>
      <c r="T745" t="str">
        <f>TEXT(tbl_HR_Data[[#This Row],[Joining Date]], "mmm")</f>
        <v>Jan</v>
      </c>
      <c r="U745" t="str">
        <f>TEXT(tbl_HR_Data[[#This Row],[Joining Date]], "ddd")</f>
        <v>Wed</v>
      </c>
    </row>
    <row r="746" spans="1:21" x14ac:dyDescent="0.35">
      <c r="A746" t="s">
        <v>106</v>
      </c>
      <c r="B746">
        <v>30</v>
      </c>
      <c r="C746">
        <v>65000</v>
      </c>
      <c r="D746" t="s">
        <v>18</v>
      </c>
      <c r="E746" t="s">
        <v>12</v>
      </c>
      <c r="F746" t="s">
        <v>44</v>
      </c>
      <c r="G746" s="3">
        <v>43845</v>
      </c>
      <c r="H746" t="str">
        <f>TEXT(tbl_HR_Data[[#This Row],[Joining Date]], "mmm")</f>
        <v>Jan</v>
      </c>
      <c r="I746" t="s">
        <v>95</v>
      </c>
      <c r="J746" t="s">
        <v>27</v>
      </c>
      <c r="K746" t="s">
        <v>15</v>
      </c>
      <c r="L746" t="s">
        <v>89</v>
      </c>
      <c r="M746">
        <f>IFERROR( _xlfn.XLOOKUP(TRIM(tbl_HR_Data[[#This Row],[Age]]),#REF!,#REF!), VALUE(TRIM(tbl_HR_Data[[#This Row],[Age]])))</f>
        <v>30</v>
      </c>
      <c r="N746" t="str">
        <f>IFERROR(_xlfn.XLOOKUP(tbl_HR_Data[[#This Row],[Gender]], Mapping[Gender _Discarded], Mapping[Gender_Correction]), PROPER(TRIM(tbl_HR_Data[[#This Row],[Gender]])))</f>
        <v>Female</v>
      </c>
      <c r="O746" t="str">
        <f>TRIM(tbl_HR_Data[[#This Row],[Position]])</f>
        <v>Analyst</v>
      </c>
      <c r="P746" t="str">
        <f>IFERROR(_xlfn.XLOOKUP(tbl_HR_Data[[#This Row],[Email]], Mapping[Email_Discarded], Mapping[Email_Correction]), LOWER(TRIM(tbl_HR_Data[[#This Row],[Email]])))</f>
        <v>email@example.com</v>
      </c>
      <c r="Q74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746" t="str" cm="1">
        <f t="array" ref="R746">_xlfn.REDUCE(Q746, {"-","/","_","\","(",")"}, _xlfn.LAMBDA(_xlpm.txt,_xlpm.itm, SUBSTITUTE(_xlpm.txt, _xlpm.itm, "")))</f>
        <v>5555555555</v>
      </c>
      <c r="S746" s="3">
        <f>IFERROR(_xlfn.XLOOKUP(tbl_HR_Data[[#This Row],[Joining Date]], Mapping[Joining_Discarded], Mapping[Joining_Correction]), VALUE(tbl_HR_Data[[#This Row],[Joining Date]]))</f>
        <v>43845</v>
      </c>
      <c r="T746" t="str">
        <f>TEXT(tbl_HR_Data[[#This Row],[Joining Date]], "mmm")</f>
        <v>Jan</v>
      </c>
      <c r="U746" t="str">
        <f>TEXT(tbl_HR_Data[[#This Row],[Joining Date]], "ddd")</f>
        <v>Wed</v>
      </c>
    </row>
    <row r="747" spans="1:21" x14ac:dyDescent="0.35">
      <c r="A747" t="s">
        <v>101</v>
      </c>
      <c r="B747">
        <v>0</v>
      </c>
      <c r="C747">
        <v>55000</v>
      </c>
      <c r="D747" t="s">
        <v>11</v>
      </c>
      <c r="E747" t="s">
        <v>30</v>
      </c>
      <c r="F747" t="s">
        <v>44</v>
      </c>
      <c r="G747" s="3">
        <v>43845</v>
      </c>
      <c r="H747" t="str">
        <f>TEXT(tbl_HR_Data[[#This Row],[Joining Date]], "mmm")</f>
        <v>Jan</v>
      </c>
      <c r="I747" t="s">
        <v>95</v>
      </c>
      <c r="J747" t="s">
        <v>27</v>
      </c>
      <c r="K747" t="s">
        <v>77</v>
      </c>
      <c r="L747" t="s">
        <v>87</v>
      </c>
      <c r="M747">
        <f>IFERROR( _xlfn.XLOOKUP(TRIM(tbl_HR_Data[[#This Row],[Age]]),#REF!,#REF!), VALUE(TRIM(tbl_HR_Data[[#This Row],[Age]])))</f>
        <v>0</v>
      </c>
      <c r="N747" t="str">
        <f>IFERROR(_xlfn.XLOOKUP(tbl_HR_Data[[#This Row],[Gender]], Mapping[Gender _Discarded], Mapping[Gender_Correction]), PROPER(TRIM(tbl_HR_Data[[#This Row],[Gender]])))</f>
        <v>Male</v>
      </c>
      <c r="O747" t="str">
        <f>TRIM(tbl_HR_Data[[#This Row],[Position]])</f>
        <v>Analyst</v>
      </c>
      <c r="P747" t="str">
        <f>IFERROR(_xlfn.XLOOKUP(tbl_HR_Data[[#This Row],[Email]], Mapping[Email_Discarded], Mapping[Email_Correction]), LOWER(TRIM(tbl_HR_Data[[#This Row],[Email]])))</f>
        <v>not provided</v>
      </c>
      <c r="Q74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747" t="str" cm="1">
        <f t="array" ref="R747">_xlfn.REDUCE(Q747, {"-","/","_","\","(",")"}, _xlfn.LAMBDA(_xlpm.txt,_xlpm.itm, SUBSTITUTE(_xlpm.txt, _xlpm.itm, "")))</f>
        <v>1234567890</v>
      </c>
      <c r="S747" s="3">
        <f>IFERROR(_xlfn.XLOOKUP(tbl_HR_Data[[#This Row],[Joining Date]], Mapping[Joining_Discarded], Mapping[Joining_Correction]), VALUE(tbl_HR_Data[[#This Row],[Joining Date]]))</f>
        <v>43845</v>
      </c>
      <c r="T747" t="str">
        <f>TEXT(tbl_HR_Data[[#This Row],[Joining Date]], "mmm")</f>
        <v>Jan</v>
      </c>
      <c r="U747" t="str">
        <f>TEXT(tbl_HR_Data[[#This Row],[Joining Date]], "ddd")</f>
        <v>Wed</v>
      </c>
    </row>
    <row r="748" spans="1:21" x14ac:dyDescent="0.35">
      <c r="A748" t="s">
        <v>101</v>
      </c>
      <c r="B748">
        <v>30</v>
      </c>
      <c r="C748">
        <v>65000</v>
      </c>
      <c r="D748" t="s">
        <v>11</v>
      </c>
      <c r="E748" t="s">
        <v>26</v>
      </c>
      <c r="F748" t="s">
        <v>20</v>
      </c>
      <c r="G748" s="3">
        <v>43845</v>
      </c>
      <c r="H748" t="str">
        <f>TEXT(tbl_HR_Data[[#This Row],[Joining Date]], "mmm")</f>
        <v>Jan</v>
      </c>
      <c r="I748" t="s">
        <v>95</v>
      </c>
      <c r="J748" t="s">
        <v>21</v>
      </c>
      <c r="K748" t="s">
        <v>22</v>
      </c>
      <c r="L748" t="s">
        <v>88</v>
      </c>
      <c r="M748">
        <f>IFERROR( _xlfn.XLOOKUP(TRIM(tbl_HR_Data[[#This Row],[Age]]),#REF!,#REF!), VALUE(TRIM(tbl_HR_Data[[#This Row],[Age]])))</f>
        <v>30</v>
      </c>
      <c r="N748" t="str">
        <f>IFERROR(_xlfn.XLOOKUP(tbl_HR_Data[[#This Row],[Gender]], Mapping[Gender _Discarded], Mapping[Gender_Correction]), PROPER(TRIM(tbl_HR_Data[[#This Row],[Gender]])))</f>
        <v>Male</v>
      </c>
      <c r="O748" t="str">
        <f>TRIM(tbl_HR_Data[[#This Row],[Position]])</f>
        <v>Director</v>
      </c>
      <c r="P748" t="str">
        <f>IFERROR(_xlfn.XLOOKUP(tbl_HR_Data[[#This Row],[Email]], Mapping[Email_Discarded], Mapping[Email_Correction]), LOWER(TRIM(tbl_HR_Data[[#This Row],[Email]])))</f>
        <v>user@domain.com</v>
      </c>
      <c r="Q74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748" t="str" cm="1">
        <f t="array" ref="R748">_xlfn.REDUCE(Q748, {"-","/","_","\","(",")"}, _xlfn.LAMBDA(_xlpm.txt,_xlpm.itm, SUBSTITUTE(_xlpm.txt, _xlpm.itm, "")))</f>
        <v>0987654321</v>
      </c>
      <c r="S748" s="3">
        <f>IFERROR(_xlfn.XLOOKUP(tbl_HR_Data[[#This Row],[Joining Date]], Mapping[Joining_Discarded], Mapping[Joining_Correction]), VALUE(tbl_HR_Data[[#This Row],[Joining Date]]))</f>
        <v>43845</v>
      </c>
      <c r="T748" t="str">
        <f>TEXT(tbl_HR_Data[[#This Row],[Joining Date]], "mmm")</f>
        <v>Jan</v>
      </c>
      <c r="U748" t="str">
        <f>TEXT(tbl_HR_Data[[#This Row],[Joining Date]], "ddd")</f>
        <v>Wed</v>
      </c>
    </row>
    <row r="749" spans="1:21" x14ac:dyDescent="0.35">
      <c r="A749" t="s">
        <v>108</v>
      </c>
      <c r="B749">
        <v>30</v>
      </c>
      <c r="C749">
        <v>65000</v>
      </c>
      <c r="D749" t="s">
        <v>36</v>
      </c>
      <c r="E749" t="s">
        <v>30</v>
      </c>
      <c r="F749" t="s">
        <v>43</v>
      </c>
      <c r="G749" s="3">
        <v>43845</v>
      </c>
      <c r="H749" t="str">
        <f>TEXT(tbl_HR_Data[[#This Row],[Joining Date]], "mmm")</f>
        <v>Jan</v>
      </c>
      <c r="I749" t="s">
        <v>95</v>
      </c>
      <c r="J749" t="s">
        <v>21</v>
      </c>
      <c r="K749" t="s">
        <v>32</v>
      </c>
      <c r="L749" t="s">
        <v>87</v>
      </c>
      <c r="M749">
        <f>IFERROR( _xlfn.XLOOKUP(TRIM(tbl_HR_Data[[#This Row],[Age]]),#REF!,#REF!), VALUE(TRIM(tbl_HR_Data[[#This Row],[Age]])))</f>
        <v>30</v>
      </c>
      <c r="N749" t="str">
        <f>IFERROR(_xlfn.XLOOKUP(tbl_HR_Data[[#This Row],[Gender]], Mapping[Gender _Discarded], Mapping[Gender_Correction]), PROPER(TRIM(tbl_HR_Data[[#This Row],[Gender]])))</f>
        <v>Other</v>
      </c>
      <c r="O749" t="str">
        <f>TRIM(tbl_HR_Data[[#This Row],[Position]])</f>
        <v>Assistant</v>
      </c>
      <c r="P749" t="str">
        <f>IFERROR(_xlfn.XLOOKUP(tbl_HR_Data[[#This Row],[Email]], Mapping[Email_Discarded], Mapping[Email_Correction]), LOWER(TRIM(tbl_HR_Data[[#This Row],[Email]])))</f>
        <v>name@company.org</v>
      </c>
      <c r="Q74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749" t="str" cm="1">
        <f t="array" ref="R749">_xlfn.REDUCE(Q749, {"-","/","_","\","(",")"}, _xlfn.LAMBDA(_xlpm.txt,_xlpm.itm, SUBSTITUTE(_xlpm.txt, _xlpm.itm, "")))</f>
        <v>1234567890</v>
      </c>
      <c r="S749" s="3">
        <f>IFERROR(_xlfn.XLOOKUP(tbl_HR_Data[[#This Row],[Joining Date]], Mapping[Joining_Discarded], Mapping[Joining_Correction]), VALUE(tbl_HR_Data[[#This Row],[Joining Date]]))</f>
        <v>43845</v>
      </c>
      <c r="T749" t="str">
        <f>TEXT(tbl_HR_Data[[#This Row],[Joining Date]], "mmm")</f>
        <v>Jan</v>
      </c>
      <c r="U749" t="str">
        <f>TEXT(tbl_HR_Data[[#This Row],[Joining Date]], "ddd")</f>
        <v>Wed</v>
      </c>
    </row>
    <row r="750" spans="1:21" x14ac:dyDescent="0.35">
      <c r="A750" t="s">
        <v>106</v>
      </c>
      <c r="B750">
        <v>0</v>
      </c>
      <c r="C750">
        <v>60000</v>
      </c>
      <c r="D750" t="s">
        <v>18</v>
      </c>
      <c r="E750" t="s">
        <v>19</v>
      </c>
      <c r="F750" t="s">
        <v>43</v>
      </c>
      <c r="G750" s="3">
        <v>43845</v>
      </c>
      <c r="H750" t="str">
        <f>TEXT(tbl_HR_Data[[#This Row],[Joining Date]], "mmm")</f>
        <v>Jan</v>
      </c>
      <c r="I750" t="s">
        <v>95</v>
      </c>
      <c r="J750" t="s">
        <v>41</v>
      </c>
      <c r="K750" t="s">
        <v>77</v>
      </c>
      <c r="L750" t="s">
        <v>89</v>
      </c>
      <c r="M750">
        <f>IFERROR( _xlfn.XLOOKUP(TRIM(tbl_HR_Data[[#This Row],[Age]]),#REF!,#REF!), VALUE(TRIM(tbl_HR_Data[[#This Row],[Age]])))</f>
        <v>0</v>
      </c>
      <c r="N750" t="str">
        <f>IFERROR(_xlfn.XLOOKUP(tbl_HR_Data[[#This Row],[Gender]], Mapping[Gender _Discarded], Mapping[Gender_Correction]), PROPER(TRIM(tbl_HR_Data[[#This Row],[Gender]])))</f>
        <v>Female</v>
      </c>
      <c r="O750" t="str">
        <f>TRIM(tbl_HR_Data[[#This Row],[Position]])</f>
        <v>Assistant</v>
      </c>
      <c r="P750" t="str">
        <f>IFERROR(_xlfn.XLOOKUP(tbl_HR_Data[[#This Row],[Email]], Mapping[Email_Discarded], Mapping[Email_Correction]), LOWER(TRIM(tbl_HR_Data[[#This Row],[Email]])))</f>
        <v>not provided</v>
      </c>
      <c r="Q75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750" t="str" cm="1">
        <f t="array" ref="R750">_xlfn.REDUCE(Q750, {"-","/","_","\","(",")"}, _xlfn.LAMBDA(_xlpm.txt,_xlpm.itm, SUBSTITUTE(_xlpm.txt, _xlpm.itm, "")))</f>
        <v>5555555555</v>
      </c>
      <c r="S750" s="3">
        <f>IFERROR(_xlfn.XLOOKUP(tbl_HR_Data[[#This Row],[Joining Date]], Mapping[Joining_Discarded], Mapping[Joining_Correction]), VALUE(tbl_HR_Data[[#This Row],[Joining Date]]))</f>
        <v>43845</v>
      </c>
      <c r="T750" t="str">
        <f>TEXT(tbl_HR_Data[[#This Row],[Joining Date]], "mmm")</f>
        <v>Jan</v>
      </c>
      <c r="U750" t="str">
        <f>TEXT(tbl_HR_Data[[#This Row],[Joining Date]], "ddd")</f>
        <v>Wed</v>
      </c>
    </row>
    <row r="751" spans="1:21" x14ac:dyDescent="0.35">
      <c r="A751" t="s">
        <v>101</v>
      </c>
      <c r="B751">
        <v>0</v>
      </c>
      <c r="C751">
        <v>65000</v>
      </c>
      <c r="D751" t="s">
        <v>18</v>
      </c>
      <c r="E751" t="s">
        <v>30</v>
      </c>
      <c r="F751" t="s">
        <v>13</v>
      </c>
      <c r="G751" s="3">
        <v>43845</v>
      </c>
      <c r="H751" t="str">
        <f>TEXT(tbl_HR_Data[[#This Row],[Joining Date]], "mmm")</f>
        <v>Jan</v>
      </c>
      <c r="I751" t="s">
        <v>95</v>
      </c>
      <c r="J751" t="s">
        <v>41</v>
      </c>
      <c r="K751" t="s">
        <v>15</v>
      </c>
      <c r="L751" t="s">
        <v>77</v>
      </c>
      <c r="M751">
        <f>IFERROR( _xlfn.XLOOKUP(TRIM(tbl_HR_Data[[#This Row],[Age]]),#REF!,#REF!), VALUE(TRIM(tbl_HR_Data[[#This Row],[Age]])))</f>
        <v>0</v>
      </c>
      <c r="N751" t="str">
        <f>IFERROR(_xlfn.XLOOKUP(tbl_HR_Data[[#This Row],[Gender]], Mapping[Gender _Discarded], Mapping[Gender_Correction]), PROPER(TRIM(tbl_HR_Data[[#This Row],[Gender]])))</f>
        <v>Female</v>
      </c>
      <c r="O751" t="str">
        <f>TRIM(tbl_HR_Data[[#This Row],[Position]])</f>
        <v>Manager</v>
      </c>
      <c r="P751" t="str">
        <f>IFERROR(_xlfn.XLOOKUP(tbl_HR_Data[[#This Row],[Email]], Mapping[Email_Discarded], Mapping[Email_Correction]), LOWER(TRIM(tbl_HR_Data[[#This Row],[Email]])))</f>
        <v>email@example.com</v>
      </c>
      <c r="Q75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51" t="str" cm="1">
        <f t="array" ref="R751">_xlfn.REDUCE(Q751, {"-","/","_","\","(",")"}, _xlfn.LAMBDA(_xlpm.txt,_xlpm.itm, SUBSTITUTE(_xlpm.txt, _xlpm.itm, "")))</f>
        <v>Not Provided</v>
      </c>
      <c r="S751" s="3">
        <f>IFERROR(_xlfn.XLOOKUP(tbl_HR_Data[[#This Row],[Joining Date]], Mapping[Joining_Discarded], Mapping[Joining_Correction]), VALUE(tbl_HR_Data[[#This Row],[Joining Date]]))</f>
        <v>43845</v>
      </c>
      <c r="T751" t="str">
        <f>TEXT(tbl_HR_Data[[#This Row],[Joining Date]], "mmm")</f>
        <v>Jan</v>
      </c>
      <c r="U751" t="str">
        <f>TEXT(tbl_HR_Data[[#This Row],[Joining Date]], "ddd")</f>
        <v>Wed</v>
      </c>
    </row>
    <row r="752" spans="1:21" x14ac:dyDescent="0.35">
      <c r="A752" t="s">
        <v>108</v>
      </c>
      <c r="B752">
        <v>35</v>
      </c>
      <c r="C752">
        <v>0</v>
      </c>
      <c r="D752" t="s">
        <v>18</v>
      </c>
      <c r="E752" t="s">
        <v>26</v>
      </c>
      <c r="F752" t="s">
        <v>39</v>
      </c>
      <c r="G752" s="3">
        <v>43845</v>
      </c>
      <c r="H752" t="str">
        <f>TEXT(tbl_HR_Data[[#This Row],[Joining Date]], "mmm")</f>
        <v>Jan</v>
      </c>
      <c r="I752" t="s">
        <v>95</v>
      </c>
      <c r="J752" t="s">
        <v>31</v>
      </c>
      <c r="K752" t="s">
        <v>32</v>
      </c>
      <c r="L752" t="s">
        <v>87</v>
      </c>
      <c r="M752">
        <f>IFERROR( _xlfn.XLOOKUP(TRIM(tbl_HR_Data[[#This Row],[Age]]),#REF!,#REF!), VALUE(TRIM(tbl_HR_Data[[#This Row],[Age]])))</f>
        <v>35</v>
      </c>
      <c r="N752" t="str">
        <f>IFERROR(_xlfn.XLOOKUP(tbl_HR_Data[[#This Row],[Gender]], Mapping[Gender _Discarded], Mapping[Gender_Correction]), PROPER(TRIM(tbl_HR_Data[[#This Row],[Gender]])))</f>
        <v>Female</v>
      </c>
      <c r="O752" t="str">
        <f>TRIM(tbl_HR_Data[[#This Row],[Position]])</f>
        <v>Clerk</v>
      </c>
      <c r="P752" t="str">
        <f>IFERROR(_xlfn.XLOOKUP(tbl_HR_Data[[#This Row],[Email]], Mapping[Email_Discarded], Mapping[Email_Correction]), LOWER(TRIM(tbl_HR_Data[[#This Row],[Email]])))</f>
        <v>name@company.org</v>
      </c>
      <c r="Q75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752" t="str" cm="1">
        <f t="array" ref="R752">_xlfn.REDUCE(Q752, {"-","/","_","\","(",")"}, _xlfn.LAMBDA(_xlpm.txt,_xlpm.itm, SUBSTITUTE(_xlpm.txt, _xlpm.itm, "")))</f>
        <v>1234567890</v>
      </c>
      <c r="S752" s="3">
        <f>IFERROR(_xlfn.XLOOKUP(tbl_HR_Data[[#This Row],[Joining Date]], Mapping[Joining_Discarded], Mapping[Joining_Correction]), VALUE(tbl_HR_Data[[#This Row],[Joining Date]]))</f>
        <v>43845</v>
      </c>
      <c r="T752" t="str">
        <f>TEXT(tbl_HR_Data[[#This Row],[Joining Date]], "mmm")</f>
        <v>Jan</v>
      </c>
      <c r="U752" t="str">
        <f>TEXT(tbl_HR_Data[[#This Row],[Joining Date]], "ddd")</f>
        <v>Wed</v>
      </c>
    </row>
    <row r="753" spans="1:21" x14ac:dyDescent="0.35">
      <c r="A753" t="s">
        <v>102</v>
      </c>
      <c r="B753">
        <v>30</v>
      </c>
      <c r="C753">
        <v>70000</v>
      </c>
      <c r="D753" t="s">
        <v>18</v>
      </c>
      <c r="E753" t="s">
        <v>12</v>
      </c>
      <c r="F753" t="s">
        <v>39</v>
      </c>
      <c r="G753" s="3">
        <v>43845</v>
      </c>
      <c r="H753" t="str">
        <f>TEXT(tbl_HR_Data[[#This Row],[Joining Date]], "mmm")</f>
        <v>Jan</v>
      </c>
      <c r="I753" t="s">
        <v>95</v>
      </c>
      <c r="J753" t="s">
        <v>31</v>
      </c>
      <c r="K753" t="s">
        <v>22</v>
      </c>
      <c r="L753" t="s">
        <v>77</v>
      </c>
      <c r="M753">
        <f>IFERROR( _xlfn.XLOOKUP(TRIM(tbl_HR_Data[[#This Row],[Age]]),#REF!,#REF!), VALUE(TRIM(tbl_HR_Data[[#This Row],[Age]])))</f>
        <v>30</v>
      </c>
      <c r="N753" t="str">
        <f>IFERROR(_xlfn.XLOOKUP(tbl_HR_Data[[#This Row],[Gender]], Mapping[Gender _Discarded], Mapping[Gender_Correction]), PROPER(TRIM(tbl_HR_Data[[#This Row],[Gender]])))</f>
        <v>Female</v>
      </c>
      <c r="O753" t="str">
        <f>TRIM(tbl_HR_Data[[#This Row],[Position]])</f>
        <v>Clerk</v>
      </c>
      <c r="P753" t="str">
        <f>IFERROR(_xlfn.XLOOKUP(tbl_HR_Data[[#This Row],[Email]], Mapping[Email_Discarded], Mapping[Email_Correction]), LOWER(TRIM(tbl_HR_Data[[#This Row],[Email]])))</f>
        <v>user@domain.com</v>
      </c>
      <c r="Q75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53" t="str" cm="1">
        <f t="array" ref="R753">_xlfn.REDUCE(Q753, {"-","/","_","\","(",")"}, _xlfn.LAMBDA(_xlpm.txt,_xlpm.itm, SUBSTITUTE(_xlpm.txt, _xlpm.itm, "")))</f>
        <v>Not Provided</v>
      </c>
      <c r="S753" s="3">
        <f>IFERROR(_xlfn.XLOOKUP(tbl_HR_Data[[#This Row],[Joining Date]], Mapping[Joining_Discarded], Mapping[Joining_Correction]), VALUE(tbl_HR_Data[[#This Row],[Joining Date]]))</f>
        <v>43845</v>
      </c>
      <c r="T753" t="str">
        <f>TEXT(tbl_HR_Data[[#This Row],[Joining Date]], "mmm")</f>
        <v>Jan</v>
      </c>
      <c r="U753" t="str">
        <f>TEXT(tbl_HR_Data[[#This Row],[Joining Date]], "ddd")</f>
        <v>Wed</v>
      </c>
    </row>
    <row r="754" spans="1:21" x14ac:dyDescent="0.35">
      <c r="A754" t="s">
        <v>102</v>
      </c>
      <c r="B754">
        <v>40</v>
      </c>
      <c r="C754">
        <v>60000</v>
      </c>
      <c r="D754" t="s">
        <v>36</v>
      </c>
      <c r="E754" t="s">
        <v>19</v>
      </c>
      <c r="F754" t="s">
        <v>43</v>
      </c>
      <c r="G754" s="3">
        <v>43845</v>
      </c>
      <c r="H754" t="str">
        <f>TEXT(tbl_HR_Data[[#This Row],[Joining Date]], "mmm")</f>
        <v>Jan</v>
      </c>
      <c r="I754" t="s">
        <v>95</v>
      </c>
      <c r="J754" t="s">
        <v>41</v>
      </c>
      <c r="K754" t="s">
        <v>15</v>
      </c>
      <c r="L754" t="s">
        <v>89</v>
      </c>
      <c r="M754">
        <f>IFERROR( _xlfn.XLOOKUP(TRIM(tbl_HR_Data[[#This Row],[Age]]),#REF!,#REF!), VALUE(TRIM(tbl_HR_Data[[#This Row],[Age]])))</f>
        <v>40</v>
      </c>
      <c r="N754" t="str">
        <f>IFERROR(_xlfn.XLOOKUP(tbl_HR_Data[[#This Row],[Gender]], Mapping[Gender _Discarded], Mapping[Gender_Correction]), PROPER(TRIM(tbl_HR_Data[[#This Row],[Gender]])))</f>
        <v>Other</v>
      </c>
      <c r="O754" t="str">
        <f>TRIM(tbl_HR_Data[[#This Row],[Position]])</f>
        <v>Assistant</v>
      </c>
      <c r="P754" t="str">
        <f>IFERROR(_xlfn.XLOOKUP(tbl_HR_Data[[#This Row],[Email]], Mapping[Email_Discarded], Mapping[Email_Correction]), LOWER(TRIM(tbl_HR_Data[[#This Row],[Email]])))</f>
        <v>email@example.com</v>
      </c>
      <c r="Q75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754" t="str" cm="1">
        <f t="array" ref="R754">_xlfn.REDUCE(Q754, {"-","/","_","\","(",")"}, _xlfn.LAMBDA(_xlpm.txt,_xlpm.itm, SUBSTITUTE(_xlpm.txt, _xlpm.itm, "")))</f>
        <v>5555555555</v>
      </c>
      <c r="S754" s="3">
        <f>IFERROR(_xlfn.XLOOKUP(tbl_HR_Data[[#This Row],[Joining Date]], Mapping[Joining_Discarded], Mapping[Joining_Correction]), VALUE(tbl_HR_Data[[#This Row],[Joining Date]]))</f>
        <v>43845</v>
      </c>
      <c r="T754" t="str">
        <f>TEXT(tbl_HR_Data[[#This Row],[Joining Date]], "mmm")</f>
        <v>Jan</v>
      </c>
      <c r="U754" t="str">
        <f>TEXT(tbl_HR_Data[[#This Row],[Joining Date]], "ddd")</f>
        <v>Wed</v>
      </c>
    </row>
    <row r="755" spans="1:21" x14ac:dyDescent="0.35">
      <c r="A755" t="s">
        <v>108</v>
      </c>
      <c r="B755">
        <v>40</v>
      </c>
      <c r="C755">
        <v>70000</v>
      </c>
      <c r="D755" t="s">
        <v>11</v>
      </c>
      <c r="E755" t="s">
        <v>37</v>
      </c>
      <c r="F755" t="s">
        <v>44</v>
      </c>
      <c r="G755" s="3">
        <v>43845</v>
      </c>
      <c r="H755" t="str">
        <f>TEXT(tbl_HR_Data[[#This Row],[Joining Date]], "mmm")</f>
        <v>Jan</v>
      </c>
      <c r="I755" t="s">
        <v>95</v>
      </c>
      <c r="J755" t="s">
        <v>41</v>
      </c>
      <c r="K755" t="s">
        <v>22</v>
      </c>
      <c r="L755" t="s">
        <v>88</v>
      </c>
      <c r="M755">
        <f>IFERROR( _xlfn.XLOOKUP(TRIM(tbl_HR_Data[[#This Row],[Age]]),#REF!,#REF!), VALUE(TRIM(tbl_HR_Data[[#This Row],[Age]])))</f>
        <v>40</v>
      </c>
      <c r="N755" t="str">
        <f>IFERROR(_xlfn.XLOOKUP(tbl_HR_Data[[#This Row],[Gender]], Mapping[Gender _Discarded], Mapping[Gender_Correction]), PROPER(TRIM(tbl_HR_Data[[#This Row],[Gender]])))</f>
        <v>Male</v>
      </c>
      <c r="O755" t="str">
        <f>TRIM(tbl_HR_Data[[#This Row],[Position]])</f>
        <v>Analyst</v>
      </c>
      <c r="P755" t="str">
        <f>IFERROR(_xlfn.XLOOKUP(tbl_HR_Data[[#This Row],[Email]], Mapping[Email_Discarded], Mapping[Email_Correction]), LOWER(TRIM(tbl_HR_Data[[#This Row],[Email]])))</f>
        <v>user@domain.com</v>
      </c>
      <c r="Q75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755" t="str" cm="1">
        <f t="array" ref="R755">_xlfn.REDUCE(Q755, {"-","/","_","\","(",")"}, _xlfn.LAMBDA(_xlpm.txt,_xlpm.itm, SUBSTITUTE(_xlpm.txt, _xlpm.itm, "")))</f>
        <v>0987654321</v>
      </c>
      <c r="S755" s="3">
        <f>IFERROR(_xlfn.XLOOKUP(tbl_HR_Data[[#This Row],[Joining Date]], Mapping[Joining_Discarded], Mapping[Joining_Correction]), VALUE(tbl_HR_Data[[#This Row],[Joining Date]]))</f>
        <v>43845</v>
      </c>
      <c r="T755" t="str">
        <f>TEXT(tbl_HR_Data[[#This Row],[Joining Date]], "mmm")</f>
        <v>Jan</v>
      </c>
      <c r="U755" t="str">
        <f>TEXT(tbl_HR_Data[[#This Row],[Joining Date]], "ddd")</f>
        <v>Wed</v>
      </c>
    </row>
    <row r="756" spans="1:21" x14ac:dyDescent="0.35">
      <c r="A756" t="s">
        <v>107</v>
      </c>
      <c r="B756">
        <v>30</v>
      </c>
      <c r="C756">
        <v>55000</v>
      </c>
      <c r="D756" t="s">
        <v>36</v>
      </c>
      <c r="E756" t="s">
        <v>12</v>
      </c>
      <c r="F756" t="s">
        <v>44</v>
      </c>
      <c r="G756" s="3">
        <v>43845</v>
      </c>
      <c r="H756" t="str">
        <f>TEXT(tbl_HR_Data[[#This Row],[Joining Date]], "mmm")</f>
        <v>Jan</v>
      </c>
      <c r="I756" t="s">
        <v>95</v>
      </c>
      <c r="J756" t="s">
        <v>14</v>
      </c>
      <c r="K756" t="s">
        <v>15</v>
      </c>
      <c r="L756" t="s">
        <v>88</v>
      </c>
      <c r="M756">
        <f>IFERROR( _xlfn.XLOOKUP(TRIM(tbl_HR_Data[[#This Row],[Age]]),#REF!,#REF!), VALUE(TRIM(tbl_HR_Data[[#This Row],[Age]])))</f>
        <v>30</v>
      </c>
      <c r="N756" t="str">
        <f>IFERROR(_xlfn.XLOOKUP(tbl_HR_Data[[#This Row],[Gender]], Mapping[Gender _Discarded], Mapping[Gender_Correction]), PROPER(TRIM(tbl_HR_Data[[#This Row],[Gender]])))</f>
        <v>Other</v>
      </c>
      <c r="O756" t="str">
        <f>TRIM(tbl_HR_Data[[#This Row],[Position]])</f>
        <v>Analyst</v>
      </c>
      <c r="P756" t="str">
        <f>IFERROR(_xlfn.XLOOKUP(tbl_HR_Data[[#This Row],[Email]], Mapping[Email_Discarded], Mapping[Email_Correction]), LOWER(TRIM(tbl_HR_Data[[#This Row],[Email]])))</f>
        <v>email@example.com</v>
      </c>
      <c r="Q75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756" t="str" cm="1">
        <f t="array" ref="R756">_xlfn.REDUCE(Q756, {"-","/","_","\","(",")"}, _xlfn.LAMBDA(_xlpm.txt,_xlpm.itm, SUBSTITUTE(_xlpm.txt, _xlpm.itm, "")))</f>
        <v>0987654321</v>
      </c>
      <c r="S756" s="3">
        <f>IFERROR(_xlfn.XLOOKUP(tbl_HR_Data[[#This Row],[Joining Date]], Mapping[Joining_Discarded], Mapping[Joining_Correction]), VALUE(tbl_HR_Data[[#This Row],[Joining Date]]))</f>
        <v>43845</v>
      </c>
      <c r="T756" t="str">
        <f>TEXT(tbl_HR_Data[[#This Row],[Joining Date]], "mmm")</f>
        <v>Jan</v>
      </c>
      <c r="U756" t="str">
        <f>TEXT(tbl_HR_Data[[#This Row],[Joining Date]], "ddd")</f>
        <v>Wed</v>
      </c>
    </row>
    <row r="757" spans="1:21" x14ac:dyDescent="0.35">
      <c r="A757" t="s">
        <v>102</v>
      </c>
      <c r="B757">
        <v>25</v>
      </c>
      <c r="C757">
        <v>50000</v>
      </c>
      <c r="D757" t="s">
        <v>36</v>
      </c>
      <c r="E757" t="s">
        <v>19</v>
      </c>
      <c r="F757" t="s">
        <v>43</v>
      </c>
      <c r="G757" s="3">
        <v>43845</v>
      </c>
      <c r="H757" t="str">
        <f>TEXT(tbl_HR_Data[[#This Row],[Joining Date]], "mmm")</f>
        <v>Jan</v>
      </c>
      <c r="I757" t="s">
        <v>95</v>
      </c>
      <c r="J757" t="s">
        <v>31</v>
      </c>
      <c r="K757" t="s">
        <v>32</v>
      </c>
      <c r="L757" t="s">
        <v>77</v>
      </c>
      <c r="M757">
        <f>IFERROR( _xlfn.XLOOKUP(TRIM(tbl_HR_Data[[#This Row],[Age]]),#REF!,#REF!), VALUE(TRIM(tbl_HR_Data[[#This Row],[Age]])))</f>
        <v>25</v>
      </c>
      <c r="N757" t="str">
        <f>IFERROR(_xlfn.XLOOKUP(tbl_HR_Data[[#This Row],[Gender]], Mapping[Gender _Discarded], Mapping[Gender_Correction]), PROPER(TRIM(tbl_HR_Data[[#This Row],[Gender]])))</f>
        <v>Other</v>
      </c>
      <c r="O757" t="str">
        <f>TRIM(tbl_HR_Data[[#This Row],[Position]])</f>
        <v>Assistant</v>
      </c>
      <c r="P757" t="str">
        <f>IFERROR(_xlfn.XLOOKUP(tbl_HR_Data[[#This Row],[Email]], Mapping[Email_Discarded], Mapping[Email_Correction]), LOWER(TRIM(tbl_HR_Data[[#This Row],[Email]])))</f>
        <v>name@company.org</v>
      </c>
      <c r="Q75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57" t="str" cm="1">
        <f t="array" ref="R757">_xlfn.REDUCE(Q757, {"-","/","_","\","(",")"}, _xlfn.LAMBDA(_xlpm.txt,_xlpm.itm, SUBSTITUTE(_xlpm.txt, _xlpm.itm, "")))</f>
        <v>Not Provided</v>
      </c>
      <c r="S757" s="3">
        <f>IFERROR(_xlfn.XLOOKUP(tbl_HR_Data[[#This Row],[Joining Date]], Mapping[Joining_Discarded], Mapping[Joining_Correction]), VALUE(tbl_HR_Data[[#This Row],[Joining Date]]))</f>
        <v>43845</v>
      </c>
      <c r="T757" t="str">
        <f>TEXT(tbl_HR_Data[[#This Row],[Joining Date]], "mmm")</f>
        <v>Jan</v>
      </c>
      <c r="U757" t="str">
        <f>TEXT(tbl_HR_Data[[#This Row],[Joining Date]], "ddd")</f>
        <v>Wed</v>
      </c>
    </row>
    <row r="758" spans="1:21" x14ac:dyDescent="0.35">
      <c r="A758" t="s">
        <v>101</v>
      </c>
      <c r="B758">
        <v>0</v>
      </c>
      <c r="C758">
        <v>70000</v>
      </c>
      <c r="D758" t="s">
        <v>36</v>
      </c>
      <c r="E758" t="s">
        <v>19</v>
      </c>
      <c r="F758" t="s">
        <v>20</v>
      </c>
      <c r="G758" s="3">
        <v>43845</v>
      </c>
      <c r="H758" t="str">
        <f>TEXT(tbl_HR_Data[[#This Row],[Joining Date]], "mmm")</f>
        <v>Jan</v>
      </c>
      <c r="I758" t="s">
        <v>95</v>
      </c>
      <c r="J758" t="s">
        <v>21</v>
      </c>
      <c r="K758" t="s">
        <v>77</v>
      </c>
      <c r="L758" t="s">
        <v>77</v>
      </c>
      <c r="M758">
        <f>IFERROR( _xlfn.XLOOKUP(TRIM(tbl_HR_Data[[#This Row],[Age]]),#REF!,#REF!), VALUE(TRIM(tbl_HR_Data[[#This Row],[Age]])))</f>
        <v>0</v>
      </c>
      <c r="N758" t="str">
        <f>IFERROR(_xlfn.XLOOKUP(tbl_HR_Data[[#This Row],[Gender]], Mapping[Gender _Discarded], Mapping[Gender_Correction]), PROPER(TRIM(tbl_HR_Data[[#This Row],[Gender]])))</f>
        <v>Other</v>
      </c>
      <c r="O758" t="str">
        <f>TRIM(tbl_HR_Data[[#This Row],[Position]])</f>
        <v>Director</v>
      </c>
      <c r="P758" t="str">
        <f>IFERROR(_xlfn.XLOOKUP(tbl_HR_Data[[#This Row],[Email]], Mapping[Email_Discarded], Mapping[Email_Correction]), LOWER(TRIM(tbl_HR_Data[[#This Row],[Email]])))</f>
        <v>not provided</v>
      </c>
      <c r="Q75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58" t="str" cm="1">
        <f t="array" ref="R758">_xlfn.REDUCE(Q758, {"-","/","_","\","(",")"}, _xlfn.LAMBDA(_xlpm.txt,_xlpm.itm, SUBSTITUTE(_xlpm.txt, _xlpm.itm, "")))</f>
        <v>Not Provided</v>
      </c>
      <c r="S758" s="3">
        <f>IFERROR(_xlfn.XLOOKUP(tbl_HR_Data[[#This Row],[Joining Date]], Mapping[Joining_Discarded], Mapping[Joining_Correction]), VALUE(tbl_HR_Data[[#This Row],[Joining Date]]))</f>
        <v>43845</v>
      </c>
      <c r="T758" t="str">
        <f>TEXT(tbl_HR_Data[[#This Row],[Joining Date]], "mmm")</f>
        <v>Jan</v>
      </c>
      <c r="U758" t="str">
        <f>TEXT(tbl_HR_Data[[#This Row],[Joining Date]], "ddd")</f>
        <v>Wed</v>
      </c>
    </row>
    <row r="759" spans="1:21" x14ac:dyDescent="0.35">
      <c r="A759" t="s">
        <v>104</v>
      </c>
      <c r="B759">
        <v>25</v>
      </c>
      <c r="C759">
        <v>0</v>
      </c>
      <c r="D759" t="s">
        <v>18</v>
      </c>
      <c r="E759" t="s">
        <v>12</v>
      </c>
      <c r="F759" t="s">
        <v>20</v>
      </c>
      <c r="G759" s="3">
        <v>43845</v>
      </c>
      <c r="H759" t="str">
        <f>TEXT(tbl_HR_Data[[#This Row],[Joining Date]], "mmm")</f>
        <v>Jan</v>
      </c>
      <c r="I759" t="s">
        <v>95</v>
      </c>
      <c r="J759" t="s">
        <v>27</v>
      </c>
      <c r="K759" t="s">
        <v>22</v>
      </c>
      <c r="L759" t="s">
        <v>77</v>
      </c>
      <c r="M759">
        <f>IFERROR( _xlfn.XLOOKUP(TRIM(tbl_HR_Data[[#This Row],[Age]]),#REF!,#REF!), VALUE(TRIM(tbl_HR_Data[[#This Row],[Age]])))</f>
        <v>25</v>
      </c>
      <c r="N759" t="str">
        <f>IFERROR(_xlfn.XLOOKUP(tbl_HR_Data[[#This Row],[Gender]], Mapping[Gender _Discarded], Mapping[Gender_Correction]), PROPER(TRIM(tbl_HR_Data[[#This Row],[Gender]])))</f>
        <v>Female</v>
      </c>
      <c r="O759" t="str">
        <f>TRIM(tbl_HR_Data[[#This Row],[Position]])</f>
        <v>Director</v>
      </c>
      <c r="P759" t="str">
        <f>IFERROR(_xlfn.XLOOKUP(tbl_HR_Data[[#This Row],[Email]], Mapping[Email_Discarded], Mapping[Email_Correction]), LOWER(TRIM(tbl_HR_Data[[#This Row],[Email]])))</f>
        <v>user@domain.com</v>
      </c>
      <c r="Q75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59" t="str" cm="1">
        <f t="array" ref="R759">_xlfn.REDUCE(Q759, {"-","/","_","\","(",")"}, _xlfn.LAMBDA(_xlpm.txt,_xlpm.itm, SUBSTITUTE(_xlpm.txt, _xlpm.itm, "")))</f>
        <v>Not Provided</v>
      </c>
      <c r="S759" s="3">
        <f>IFERROR(_xlfn.XLOOKUP(tbl_HR_Data[[#This Row],[Joining Date]], Mapping[Joining_Discarded], Mapping[Joining_Correction]), VALUE(tbl_HR_Data[[#This Row],[Joining Date]]))</f>
        <v>43845</v>
      </c>
      <c r="T759" t="str">
        <f>TEXT(tbl_HR_Data[[#This Row],[Joining Date]], "mmm")</f>
        <v>Jan</v>
      </c>
      <c r="U759" t="str">
        <f>TEXT(tbl_HR_Data[[#This Row],[Joining Date]], "ddd")</f>
        <v>Wed</v>
      </c>
    </row>
    <row r="760" spans="1:21" x14ac:dyDescent="0.35">
      <c r="A760" t="s">
        <v>105</v>
      </c>
      <c r="B760">
        <v>0</v>
      </c>
      <c r="C760">
        <v>50000</v>
      </c>
      <c r="D760" t="s">
        <v>18</v>
      </c>
      <c r="E760" t="s">
        <v>30</v>
      </c>
      <c r="F760" t="s">
        <v>39</v>
      </c>
      <c r="G760" s="3">
        <v>43845</v>
      </c>
      <c r="H760" t="str">
        <f>TEXT(tbl_HR_Data[[#This Row],[Joining Date]], "mmm")</f>
        <v>Jan</v>
      </c>
      <c r="I760" t="s">
        <v>95</v>
      </c>
      <c r="J760" t="s">
        <v>21</v>
      </c>
      <c r="K760" t="s">
        <v>15</v>
      </c>
      <c r="L760" t="s">
        <v>88</v>
      </c>
      <c r="M760">
        <f>IFERROR( _xlfn.XLOOKUP(TRIM(tbl_HR_Data[[#This Row],[Age]]),#REF!,#REF!), VALUE(TRIM(tbl_HR_Data[[#This Row],[Age]])))</f>
        <v>0</v>
      </c>
      <c r="N760" t="str">
        <f>IFERROR(_xlfn.XLOOKUP(tbl_HR_Data[[#This Row],[Gender]], Mapping[Gender _Discarded], Mapping[Gender_Correction]), PROPER(TRIM(tbl_HR_Data[[#This Row],[Gender]])))</f>
        <v>Female</v>
      </c>
      <c r="O760" t="str">
        <f>TRIM(tbl_HR_Data[[#This Row],[Position]])</f>
        <v>Clerk</v>
      </c>
      <c r="P760" t="str">
        <f>IFERROR(_xlfn.XLOOKUP(tbl_HR_Data[[#This Row],[Email]], Mapping[Email_Discarded], Mapping[Email_Correction]), LOWER(TRIM(tbl_HR_Data[[#This Row],[Email]])))</f>
        <v>email@example.com</v>
      </c>
      <c r="Q76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760" t="str" cm="1">
        <f t="array" ref="R760">_xlfn.REDUCE(Q760, {"-","/","_","\","(",")"}, _xlfn.LAMBDA(_xlpm.txt,_xlpm.itm, SUBSTITUTE(_xlpm.txt, _xlpm.itm, "")))</f>
        <v>0987654321</v>
      </c>
      <c r="S760" s="3">
        <f>IFERROR(_xlfn.XLOOKUP(tbl_HR_Data[[#This Row],[Joining Date]], Mapping[Joining_Discarded], Mapping[Joining_Correction]), VALUE(tbl_HR_Data[[#This Row],[Joining Date]]))</f>
        <v>43845</v>
      </c>
      <c r="T760" t="str">
        <f>TEXT(tbl_HR_Data[[#This Row],[Joining Date]], "mmm")</f>
        <v>Jan</v>
      </c>
      <c r="U760" t="str">
        <f>TEXT(tbl_HR_Data[[#This Row],[Joining Date]], "ddd")</f>
        <v>Wed</v>
      </c>
    </row>
    <row r="761" spans="1:21" x14ac:dyDescent="0.35">
      <c r="A761" t="s">
        <v>99</v>
      </c>
      <c r="B761">
        <v>35</v>
      </c>
      <c r="C761">
        <v>70000</v>
      </c>
      <c r="D761" t="s">
        <v>18</v>
      </c>
      <c r="E761" t="s">
        <v>37</v>
      </c>
      <c r="F761" t="s">
        <v>44</v>
      </c>
      <c r="G761" s="3">
        <v>43845</v>
      </c>
      <c r="H761" t="str">
        <f>TEXT(tbl_HR_Data[[#This Row],[Joining Date]], "mmm")</f>
        <v>Jan</v>
      </c>
      <c r="I761" t="s">
        <v>95</v>
      </c>
      <c r="J761" t="s">
        <v>27</v>
      </c>
      <c r="K761" t="s">
        <v>32</v>
      </c>
      <c r="L761" t="s">
        <v>89</v>
      </c>
      <c r="M761">
        <f>IFERROR( _xlfn.XLOOKUP(TRIM(tbl_HR_Data[[#This Row],[Age]]),#REF!,#REF!), VALUE(TRIM(tbl_HR_Data[[#This Row],[Age]])))</f>
        <v>35</v>
      </c>
      <c r="N761" t="str">
        <f>IFERROR(_xlfn.XLOOKUP(tbl_HR_Data[[#This Row],[Gender]], Mapping[Gender _Discarded], Mapping[Gender_Correction]), PROPER(TRIM(tbl_HR_Data[[#This Row],[Gender]])))</f>
        <v>Female</v>
      </c>
      <c r="O761" t="str">
        <f>TRIM(tbl_HR_Data[[#This Row],[Position]])</f>
        <v>Analyst</v>
      </c>
      <c r="P761" t="str">
        <f>IFERROR(_xlfn.XLOOKUP(tbl_HR_Data[[#This Row],[Email]], Mapping[Email_Discarded], Mapping[Email_Correction]), LOWER(TRIM(tbl_HR_Data[[#This Row],[Email]])))</f>
        <v>name@company.org</v>
      </c>
      <c r="Q76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761" t="str" cm="1">
        <f t="array" ref="R761">_xlfn.REDUCE(Q761, {"-","/","_","\","(",")"}, _xlfn.LAMBDA(_xlpm.txt,_xlpm.itm, SUBSTITUTE(_xlpm.txt, _xlpm.itm, "")))</f>
        <v>5555555555</v>
      </c>
      <c r="S761" s="3">
        <f>IFERROR(_xlfn.XLOOKUP(tbl_HR_Data[[#This Row],[Joining Date]], Mapping[Joining_Discarded], Mapping[Joining_Correction]), VALUE(tbl_HR_Data[[#This Row],[Joining Date]]))</f>
        <v>43845</v>
      </c>
      <c r="T761" t="str">
        <f>TEXT(tbl_HR_Data[[#This Row],[Joining Date]], "mmm")</f>
        <v>Jan</v>
      </c>
      <c r="U761" t="str">
        <f>TEXT(tbl_HR_Data[[#This Row],[Joining Date]], "ddd")</f>
        <v>Wed</v>
      </c>
    </row>
    <row r="762" spans="1:21" x14ac:dyDescent="0.35">
      <c r="A762" t="s">
        <v>99</v>
      </c>
      <c r="B762">
        <v>25</v>
      </c>
      <c r="C762">
        <v>50000</v>
      </c>
      <c r="D762" t="s">
        <v>36</v>
      </c>
      <c r="E762" t="s">
        <v>37</v>
      </c>
      <c r="F762" t="s">
        <v>20</v>
      </c>
      <c r="G762" s="3">
        <v>43845</v>
      </c>
      <c r="H762" t="str">
        <f>TEXT(tbl_HR_Data[[#This Row],[Joining Date]], "mmm")</f>
        <v>Jan</v>
      </c>
      <c r="I762" t="s">
        <v>95</v>
      </c>
      <c r="J762" t="s">
        <v>31</v>
      </c>
      <c r="K762" t="s">
        <v>77</v>
      </c>
      <c r="L762" t="s">
        <v>89</v>
      </c>
      <c r="M762">
        <f>IFERROR( _xlfn.XLOOKUP(TRIM(tbl_HR_Data[[#This Row],[Age]]),#REF!,#REF!), VALUE(TRIM(tbl_HR_Data[[#This Row],[Age]])))</f>
        <v>25</v>
      </c>
      <c r="N762" t="str">
        <f>IFERROR(_xlfn.XLOOKUP(tbl_HR_Data[[#This Row],[Gender]], Mapping[Gender _Discarded], Mapping[Gender_Correction]), PROPER(TRIM(tbl_HR_Data[[#This Row],[Gender]])))</f>
        <v>Other</v>
      </c>
      <c r="O762" t="str">
        <f>TRIM(tbl_HR_Data[[#This Row],[Position]])</f>
        <v>Director</v>
      </c>
      <c r="P762" t="str">
        <f>IFERROR(_xlfn.XLOOKUP(tbl_HR_Data[[#This Row],[Email]], Mapping[Email_Discarded], Mapping[Email_Correction]), LOWER(TRIM(tbl_HR_Data[[#This Row],[Email]])))</f>
        <v>not provided</v>
      </c>
      <c r="Q76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762" t="str" cm="1">
        <f t="array" ref="R762">_xlfn.REDUCE(Q762, {"-","/","_","\","(",")"}, _xlfn.LAMBDA(_xlpm.txt,_xlpm.itm, SUBSTITUTE(_xlpm.txt, _xlpm.itm, "")))</f>
        <v>5555555555</v>
      </c>
      <c r="S762" s="3">
        <f>IFERROR(_xlfn.XLOOKUP(tbl_HR_Data[[#This Row],[Joining Date]], Mapping[Joining_Discarded], Mapping[Joining_Correction]), VALUE(tbl_HR_Data[[#This Row],[Joining Date]]))</f>
        <v>43845</v>
      </c>
      <c r="T762" t="str">
        <f>TEXT(tbl_HR_Data[[#This Row],[Joining Date]], "mmm")</f>
        <v>Jan</v>
      </c>
      <c r="U762" t="str">
        <f>TEXT(tbl_HR_Data[[#This Row],[Joining Date]], "ddd")</f>
        <v>Wed</v>
      </c>
    </row>
    <row r="763" spans="1:21" x14ac:dyDescent="0.35">
      <c r="A763" t="s">
        <v>107</v>
      </c>
      <c r="B763">
        <v>25</v>
      </c>
      <c r="C763">
        <v>65000</v>
      </c>
      <c r="D763" t="s">
        <v>36</v>
      </c>
      <c r="E763" t="s">
        <v>30</v>
      </c>
      <c r="F763" t="s">
        <v>44</v>
      </c>
      <c r="G763" s="3">
        <v>43845</v>
      </c>
      <c r="H763" t="str">
        <f>TEXT(tbl_HR_Data[[#This Row],[Joining Date]], "mmm")</f>
        <v>Jan</v>
      </c>
      <c r="I763" t="s">
        <v>95</v>
      </c>
      <c r="J763" t="s">
        <v>41</v>
      </c>
      <c r="K763" t="s">
        <v>15</v>
      </c>
      <c r="L763" t="s">
        <v>87</v>
      </c>
      <c r="M763">
        <f>IFERROR( _xlfn.XLOOKUP(TRIM(tbl_HR_Data[[#This Row],[Age]]),#REF!,#REF!), VALUE(TRIM(tbl_HR_Data[[#This Row],[Age]])))</f>
        <v>25</v>
      </c>
      <c r="N763" t="str">
        <f>IFERROR(_xlfn.XLOOKUP(tbl_HR_Data[[#This Row],[Gender]], Mapping[Gender _Discarded], Mapping[Gender_Correction]), PROPER(TRIM(tbl_HR_Data[[#This Row],[Gender]])))</f>
        <v>Other</v>
      </c>
      <c r="O763" t="str">
        <f>TRIM(tbl_HR_Data[[#This Row],[Position]])</f>
        <v>Analyst</v>
      </c>
      <c r="P763" t="str">
        <f>IFERROR(_xlfn.XLOOKUP(tbl_HR_Data[[#This Row],[Email]], Mapping[Email_Discarded], Mapping[Email_Correction]), LOWER(TRIM(tbl_HR_Data[[#This Row],[Email]])))</f>
        <v>email@example.com</v>
      </c>
      <c r="Q76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763" t="str" cm="1">
        <f t="array" ref="R763">_xlfn.REDUCE(Q763, {"-","/","_","\","(",")"}, _xlfn.LAMBDA(_xlpm.txt,_xlpm.itm, SUBSTITUTE(_xlpm.txt, _xlpm.itm, "")))</f>
        <v>1234567890</v>
      </c>
      <c r="S763" s="3">
        <f>IFERROR(_xlfn.XLOOKUP(tbl_HR_Data[[#This Row],[Joining Date]], Mapping[Joining_Discarded], Mapping[Joining_Correction]), VALUE(tbl_HR_Data[[#This Row],[Joining Date]]))</f>
        <v>43845</v>
      </c>
      <c r="T763" t="str">
        <f>TEXT(tbl_HR_Data[[#This Row],[Joining Date]], "mmm")</f>
        <v>Jan</v>
      </c>
      <c r="U763" t="str">
        <f>TEXT(tbl_HR_Data[[#This Row],[Joining Date]], "ddd")</f>
        <v>Wed</v>
      </c>
    </row>
    <row r="764" spans="1:21" x14ac:dyDescent="0.35">
      <c r="A764" t="s">
        <v>99</v>
      </c>
      <c r="B764">
        <v>0</v>
      </c>
      <c r="C764">
        <v>60000</v>
      </c>
      <c r="D764" t="s">
        <v>18</v>
      </c>
      <c r="E764" t="s">
        <v>19</v>
      </c>
      <c r="F764" t="s">
        <v>44</v>
      </c>
      <c r="G764" s="3">
        <v>43845</v>
      </c>
      <c r="H764" t="str">
        <f>TEXT(tbl_HR_Data[[#This Row],[Joining Date]], "mmm")</f>
        <v>Jan</v>
      </c>
      <c r="I764" t="s">
        <v>95</v>
      </c>
      <c r="J764" t="s">
        <v>41</v>
      </c>
      <c r="K764" t="s">
        <v>77</v>
      </c>
      <c r="L764" t="s">
        <v>89</v>
      </c>
      <c r="M764">
        <f>IFERROR( _xlfn.XLOOKUP(TRIM(tbl_HR_Data[[#This Row],[Age]]),#REF!,#REF!), VALUE(TRIM(tbl_HR_Data[[#This Row],[Age]])))</f>
        <v>0</v>
      </c>
      <c r="N764" t="str">
        <f>IFERROR(_xlfn.XLOOKUP(tbl_HR_Data[[#This Row],[Gender]], Mapping[Gender _Discarded], Mapping[Gender_Correction]), PROPER(TRIM(tbl_HR_Data[[#This Row],[Gender]])))</f>
        <v>Female</v>
      </c>
      <c r="O764" t="str">
        <f>TRIM(tbl_HR_Data[[#This Row],[Position]])</f>
        <v>Analyst</v>
      </c>
      <c r="P764" t="str">
        <f>IFERROR(_xlfn.XLOOKUP(tbl_HR_Data[[#This Row],[Email]], Mapping[Email_Discarded], Mapping[Email_Correction]), LOWER(TRIM(tbl_HR_Data[[#This Row],[Email]])))</f>
        <v>not provided</v>
      </c>
      <c r="Q76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764" t="str" cm="1">
        <f t="array" ref="R764">_xlfn.REDUCE(Q764, {"-","/","_","\","(",")"}, _xlfn.LAMBDA(_xlpm.txt,_xlpm.itm, SUBSTITUTE(_xlpm.txt, _xlpm.itm, "")))</f>
        <v>5555555555</v>
      </c>
      <c r="S764" s="3">
        <f>IFERROR(_xlfn.XLOOKUP(tbl_HR_Data[[#This Row],[Joining Date]], Mapping[Joining_Discarded], Mapping[Joining_Correction]), VALUE(tbl_HR_Data[[#This Row],[Joining Date]]))</f>
        <v>43845</v>
      </c>
      <c r="T764" t="str">
        <f>TEXT(tbl_HR_Data[[#This Row],[Joining Date]], "mmm")</f>
        <v>Jan</v>
      </c>
      <c r="U764" t="str">
        <f>TEXT(tbl_HR_Data[[#This Row],[Joining Date]], "ddd")</f>
        <v>Wed</v>
      </c>
    </row>
    <row r="765" spans="1:21" x14ac:dyDescent="0.35">
      <c r="A765" t="s">
        <v>107</v>
      </c>
      <c r="B765">
        <v>30</v>
      </c>
      <c r="C765">
        <v>60000</v>
      </c>
      <c r="D765" t="s">
        <v>18</v>
      </c>
      <c r="E765" t="s">
        <v>37</v>
      </c>
      <c r="F765" t="s">
        <v>20</v>
      </c>
      <c r="G765" s="3">
        <v>43845</v>
      </c>
      <c r="H765" t="str">
        <f>TEXT(tbl_HR_Data[[#This Row],[Joining Date]], "mmm")</f>
        <v>Jan</v>
      </c>
      <c r="I765" t="s">
        <v>95</v>
      </c>
      <c r="J765" t="s">
        <v>31</v>
      </c>
      <c r="K765" t="s">
        <v>15</v>
      </c>
      <c r="L765" t="s">
        <v>88</v>
      </c>
      <c r="M765">
        <f>IFERROR( _xlfn.XLOOKUP(TRIM(tbl_HR_Data[[#This Row],[Age]]),#REF!,#REF!), VALUE(TRIM(tbl_HR_Data[[#This Row],[Age]])))</f>
        <v>30</v>
      </c>
      <c r="N765" t="str">
        <f>IFERROR(_xlfn.XLOOKUP(tbl_HR_Data[[#This Row],[Gender]], Mapping[Gender _Discarded], Mapping[Gender_Correction]), PROPER(TRIM(tbl_HR_Data[[#This Row],[Gender]])))</f>
        <v>Female</v>
      </c>
      <c r="O765" t="str">
        <f>TRIM(tbl_HR_Data[[#This Row],[Position]])</f>
        <v>Director</v>
      </c>
      <c r="P765" t="str">
        <f>IFERROR(_xlfn.XLOOKUP(tbl_HR_Data[[#This Row],[Email]], Mapping[Email_Discarded], Mapping[Email_Correction]), LOWER(TRIM(tbl_HR_Data[[#This Row],[Email]])))</f>
        <v>email@example.com</v>
      </c>
      <c r="Q76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765" t="str" cm="1">
        <f t="array" ref="R765">_xlfn.REDUCE(Q765, {"-","/","_","\","(",")"}, _xlfn.LAMBDA(_xlpm.txt,_xlpm.itm, SUBSTITUTE(_xlpm.txt, _xlpm.itm, "")))</f>
        <v>0987654321</v>
      </c>
      <c r="S765" s="3">
        <f>IFERROR(_xlfn.XLOOKUP(tbl_HR_Data[[#This Row],[Joining Date]], Mapping[Joining_Discarded], Mapping[Joining_Correction]), VALUE(tbl_HR_Data[[#This Row],[Joining Date]]))</f>
        <v>43845</v>
      </c>
      <c r="T765" t="str">
        <f>TEXT(tbl_HR_Data[[#This Row],[Joining Date]], "mmm")</f>
        <v>Jan</v>
      </c>
      <c r="U765" t="str">
        <f>TEXT(tbl_HR_Data[[#This Row],[Joining Date]], "ddd")</f>
        <v>Wed</v>
      </c>
    </row>
    <row r="766" spans="1:21" x14ac:dyDescent="0.35">
      <c r="A766" t="s">
        <v>105</v>
      </c>
      <c r="B766">
        <v>30</v>
      </c>
      <c r="C766">
        <v>65000</v>
      </c>
      <c r="D766" t="s">
        <v>18</v>
      </c>
      <c r="E766" t="s">
        <v>12</v>
      </c>
      <c r="F766" t="s">
        <v>13</v>
      </c>
      <c r="G766" s="3">
        <v>43845</v>
      </c>
      <c r="H766" t="str">
        <f>TEXT(tbl_HR_Data[[#This Row],[Joining Date]], "mmm")</f>
        <v>Jan</v>
      </c>
      <c r="I766" t="s">
        <v>95</v>
      </c>
      <c r="J766" t="s">
        <v>14</v>
      </c>
      <c r="K766" t="s">
        <v>77</v>
      </c>
      <c r="L766" t="s">
        <v>87</v>
      </c>
      <c r="M766">
        <f>IFERROR( _xlfn.XLOOKUP(TRIM(tbl_HR_Data[[#This Row],[Age]]),#REF!,#REF!), VALUE(TRIM(tbl_HR_Data[[#This Row],[Age]])))</f>
        <v>30</v>
      </c>
      <c r="N766" t="str">
        <f>IFERROR(_xlfn.XLOOKUP(tbl_HR_Data[[#This Row],[Gender]], Mapping[Gender _Discarded], Mapping[Gender_Correction]), PROPER(TRIM(tbl_HR_Data[[#This Row],[Gender]])))</f>
        <v>Female</v>
      </c>
      <c r="O766" t="str">
        <f>TRIM(tbl_HR_Data[[#This Row],[Position]])</f>
        <v>Manager</v>
      </c>
      <c r="P766" t="str">
        <f>IFERROR(_xlfn.XLOOKUP(tbl_HR_Data[[#This Row],[Email]], Mapping[Email_Discarded], Mapping[Email_Correction]), LOWER(TRIM(tbl_HR_Data[[#This Row],[Email]])))</f>
        <v>not provided</v>
      </c>
      <c r="Q76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766" t="str" cm="1">
        <f t="array" ref="R766">_xlfn.REDUCE(Q766, {"-","/","_","\","(",")"}, _xlfn.LAMBDA(_xlpm.txt,_xlpm.itm, SUBSTITUTE(_xlpm.txt, _xlpm.itm, "")))</f>
        <v>1234567890</v>
      </c>
      <c r="S766" s="3">
        <f>IFERROR(_xlfn.XLOOKUP(tbl_HR_Data[[#This Row],[Joining Date]], Mapping[Joining_Discarded], Mapping[Joining_Correction]), VALUE(tbl_HR_Data[[#This Row],[Joining Date]]))</f>
        <v>43845</v>
      </c>
      <c r="T766" t="str">
        <f>TEXT(tbl_HR_Data[[#This Row],[Joining Date]], "mmm")</f>
        <v>Jan</v>
      </c>
      <c r="U766" t="str">
        <f>TEXT(tbl_HR_Data[[#This Row],[Joining Date]], "ddd")</f>
        <v>Wed</v>
      </c>
    </row>
    <row r="767" spans="1:21" x14ac:dyDescent="0.35">
      <c r="A767" t="s">
        <v>105</v>
      </c>
      <c r="B767">
        <v>30</v>
      </c>
      <c r="C767">
        <v>65000</v>
      </c>
      <c r="D767" t="s">
        <v>18</v>
      </c>
      <c r="E767" t="s">
        <v>12</v>
      </c>
      <c r="F767" t="s">
        <v>20</v>
      </c>
      <c r="G767" s="3">
        <v>43845</v>
      </c>
      <c r="H767" t="str">
        <f>TEXT(tbl_HR_Data[[#This Row],[Joining Date]], "mmm")</f>
        <v>Jan</v>
      </c>
      <c r="I767" t="s">
        <v>95</v>
      </c>
      <c r="J767" t="s">
        <v>14</v>
      </c>
      <c r="K767" t="s">
        <v>32</v>
      </c>
      <c r="L767" t="s">
        <v>87</v>
      </c>
      <c r="M767">
        <f>IFERROR( _xlfn.XLOOKUP(TRIM(tbl_HR_Data[[#This Row],[Age]]),#REF!,#REF!), VALUE(TRIM(tbl_HR_Data[[#This Row],[Age]])))</f>
        <v>30</v>
      </c>
      <c r="N767" t="str">
        <f>IFERROR(_xlfn.XLOOKUP(tbl_HR_Data[[#This Row],[Gender]], Mapping[Gender _Discarded], Mapping[Gender_Correction]), PROPER(TRIM(tbl_HR_Data[[#This Row],[Gender]])))</f>
        <v>Female</v>
      </c>
      <c r="O767" t="str">
        <f>TRIM(tbl_HR_Data[[#This Row],[Position]])</f>
        <v>Director</v>
      </c>
      <c r="P767" t="str">
        <f>IFERROR(_xlfn.XLOOKUP(tbl_HR_Data[[#This Row],[Email]], Mapping[Email_Discarded], Mapping[Email_Correction]), LOWER(TRIM(tbl_HR_Data[[#This Row],[Email]])))</f>
        <v>name@company.org</v>
      </c>
      <c r="Q76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767" t="str" cm="1">
        <f t="array" ref="R767">_xlfn.REDUCE(Q767, {"-","/","_","\","(",")"}, _xlfn.LAMBDA(_xlpm.txt,_xlpm.itm, SUBSTITUTE(_xlpm.txt, _xlpm.itm, "")))</f>
        <v>1234567890</v>
      </c>
      <c r="S767" s="3">
        <f>IFERROR(_xlfn.XLOOKUP(tbl_HR_Data[[#This Row],[Joining Date]], Mapping[Joining_Discarded], Mapping[Joining_Correction]), VALUE(tbl_HR_Data[[#This Row],[Joining Date]]))</f>
        <v>43845</v>
      </c>
      <c r="T767" t="str">
        <f>TEXT(tbl_HR_Data[[#This Row],[Joining Date]], "mmm")</f>
        <v>Jan</v>
      </c>
      <c r="U767" t="str">
        <f>TEXT(tbl_HR_Data[[#This Row],[Joining Date]], "ddd")</f>
        <v>Wed</v>
      </c>
    </row>
    <row r="768" spans="1:21" x14ac:dyDescent="0.35">
      <c r="A768" t="s">
        <v>107</v>
      </c>
      <c r="B768">
        <v>40</v>
      </c>
      <c r="C768">
        <v>70000</v>
      </c>
      <c r="D768" t="s">
        <v>18</v>
      </c>
      <c r="E768" t="s">
        <v>30</v>
      </c>
      <c r="F768" t="s">
        <v>44</v>
      </c>
      <c r="G768" s="3">
        <v>43845</v>
      </c>
      <c r="H768" t="str">
        <f>TEXT(tbl_HR_Data[[#This Row],[Joining Date]], "mmm")</f>
        <v>Jan</v>
      </c>
      <c r="I768" t="s">
        <v>95</v>
      </c>
      <c r="J768" t="s">
        <v>27</v>
      </c>
      <c r="K768" t="s">
        <v>22</v>
      </c>
      <c r="L768" t="s">
        <v>89</v>
      </c>
      <c r="M768">
        <f>IFERROR( _xlfn.XLOOKUP(TRIM(tbl_HR_Data[[#This Row],[Age]]),#REF!,#REF!), VALUE(TRIM(tbl_HR_Data[[#This Row],[Age]])))</f>
        <v>40</v>
      </c>
      <c r="N768" t="str">
        <f>IFERROR(_xlfn.XLOOKUP(tbl_HR_Data[[#This Row],[Gender]], Mapping[Gender _Discarded], Mapping[Gender_Correction]), PROPER(TRIM(tbl_HR_Data[[#This Row],[Gender]])))</f>
        <v>Female</v>
      </c>
      <c r="O768" t="str">
        <f>TRIM(tbl_HR_Data[[#This Row],[Position]])</f>
        <v>Analyst</v>
      </c>
      <c r="P768" t="str">
        <f>IFERROR(_xlfn.XLOOKUP(tbl_HR_Data[[#This Row],[Email]], Mapping[Email_Discarded], Mapping[Email_Correction]), LOWER(TRIM(tbl_HR_Data[[#This Row],[Email]])))</f>
        <v>user@domain.com</v>
      </c>
      <c r="Q76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768" t="str" cm="1">
        <f t="array" ref="R768">_xlfn.REDUCE(Q768, {"-","/","_","\","(",")"}, _xlfn.LAMBDA(_xlpm.txt,_xlpm.itm, SUBSTITUTE(_xlpm.txt, _xlpm.itm, "")))</f>
        <v>5555555555</v>
      </c>
      <c r="S768" s="3">
        <f>IFERROR(_xlfn.XLOOKUP(tbl_HR_Data[[#This Row],[Joining Date]], Mapping[Joining_Discarded], Mapping[Joining_Correction]), VALUE(tbl_HR_Data[[#This Row],[Joining Date]]))</f>
        <v>43845</v>
      </c>
      <c r="T768" t="str">
        <f>TEXT(tbl_HR_Data[[#This Row],[Joining Date]], "mmm")</f>
        <v>Jan</v>
      </c>
      <c r="U768" t="str">
        <f>TEXT(tbl_HR_Data[[#This Row],[Joining Date]], "ddd")</f>
        <v>Wed</v>
      </c>
    </row>
    <row r="769" spans="1:21" x14ac:dyDescent="0.35">
      <c r="A769" t="s">
        <v>108</v>
      </c>
      <c r="B769">
        <v>30</v>
      </c>
      <c r="C769">
        <v>65000</v>
      </c>
      <c r="D769" t="s">
        <v>36</v>
      </c>
      <c r="E769" t="s">
        <v>37</v>
      </c>
      <c r="F769" t="s">
        <v>39</v>
      </c>
      <c r="G769" s="3">
        <v>43845</v>
      </c>
      <c r="H769" t="str">
        <f>TEXT(tbl_HR_Data[[#This Row],[Joining Date]], "mmm")</f>
        <v>Jan</v>
      </c>
      <c r="I769" t="s">
        <v>95</v>
      </c>
      <c r="J769" t="s">
        <v>14</v>
      </c>
      <c r="K769" t="s">
        <v>22</v>
      </c>
      <c r="L769" t="s">
        <v>77</v>
      </c>
      <c r="M769">
        <f>IFERROR( _xlfn.XLOOKUP(TRIM(tbl_HR_Data[[#This Row],[Age]]),#REF!,#REF!), VALUE(TRIM(tbl_HR_Data[[#This Row],[Age]])))</f>
        <v>30</v>
      </c>
      <c r="N769" t="str">
        <f>IFERROR(_xlfn.XLOOKUP(tbl_HR_Data[[#This Row],[Gender]], Mapping[Gender _Discarded], Mapping[Gender_Correction]), PROPER(TRIM(tbl_HR_Data[[#This Row],[Gender]])))</f>
        <v>Other</v>
      </c>
      <c r="O769" t="str">
        <f>TRIM(tbl_HR_Data[[#This Row],[Position]])</f>
        <v>Clerk</v>
      </c>
      <c r="P769" t="str">
        <f>IFERROR(_xlfn.XLOOKUP(tbl_HR_Data[[#This Row],[Email]], Mapping[Email_Discarded], Mapping[Email_Correction]), LOWER(TRIM(tbl_HR_Data[[#This Row],[Email]])))</f>
        <v>user@domain.com</v>
      </c>
      <c r="Q76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69" t="str" cm="1">
        <f t="array" ref="R769">_xlfn.REDUCE(Q769, {"-","/","_","\","(",")"}, _xlfn.LAMBDA(_xlpm.txt,_xlpm.itm, SUBSTITUTE(_xlpm.txt, _xlpm.itm, "")))</f>
        <v>Not Provided</v>
      </c>
      <c r="S769" s="3">
        <f>IFERROR(_xlfn.XLOOKUP(tbl_HR_Data[[#This Row],[Joining Date]], Mapping[Joining_Discarded], Mapping[Joining_Correction]), VALUE(tbl_HR_Data[[#This Row],[Joining Date]]))</f>
        <v>43845</v>
      </c>
      <c r="T769" t="str">
        <f>TEXT(tbl_HR_Data[[#This Row],[Joining Date]], "mmm")</f>
        <v>Jan</v>
      </c>
      <c r="U769" t="str">
        <f>TEXT(tbl_HR_Data[[#This Row],[Joining Date]], "ddd")</f>
        <v>Wed</v>
      </c>
    </row>
    <row r="770" spans="1:21" x14ac:dyDescent="0.35">
      <c r="A770" t="s">
        <v>107</v>
      </c>
      <c r="B770">
        <v>25</v>
      </c>
      <c r="C770">
        <v>65000</v>
      </c>
      <c r="D770" t="s">
        <v>18</v>
      </c>
      <c r="E770" t="s">
        <v>19</v>
      </c>
      <c r="F770" t="s">
        <v>20</v>
      </c>
      <c r="G770" s="3">
        <v>43881</v>
      </c>
      <c r="H770" t="str">
        <f>TEXT(tbl_HR_Data[[#This Row],[Joining Date]], "mmm")</f>
        <v>Feb</v>
      </c>
      <c r="I770" t="s">
        <v>92</v>
      </c>
      <c r="J770" t="s">
        <v>21</v>
      </c>
      <c r="K770" t="s">
        <v>22</v>
      </c>
      <c r="L770" t="s">
        <v>87</v>
      </c>
      <c r="M770">
        <f>IFERROR( _xlfn.XLOOKUP(TRIM(tbl_HR_Data[[#This Row],[Age]]),#REF!,#REF!), VALUE(TRIM(tbl_HR_Data[[#This Row],[Age]])))</f>
        <v>25</v>
      </c>
      <c r="N770" t="str">
        <f>IFERROR(_xlfn.XLOOKUP(tbl_HR_Data[[#This Row],[Gender]], Mapping[Gender _Discarded], Mapping[Gender_Correction]), PROPER(TRIM(tbl_HR_Data[[#This Row],[Gender]])))</f>
        <v>Female</v>
      </c>
      <c r="O770" t="str">
        <f>TRIM(tbl_HR_Data[[#This Row],[Position]])</f>
        <v>Director</v>
      </c>
      <c r="P770" t="str">
        <f>IFERROR(_xlfn.XLOOKUP(tbl_HR_Data[[#This Row],[Email]], Mapping[Email_Discarded], Mapping[Email_Correction]), LOWER(TRIM(tbl_HR_Data[[#This Row],[Email]])))</f>
        <v>user@domain.com</v>
      </c>
      <c r="Q77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770" t="str" cm="1">
        <f t="array" ref="R770">_xlfn.REDUCE(Q770, {"-","/","_","\","(",")"}, _xlfn.LAMBDA(_xlpm.txt,_xlpm.itm, SUBSTITUTE(_xlpm.txt, _xlpm.itm, "")))</f>
        <v>1234567890</v>
      </c>
      <c r="S770" s="3">
        <f>IFERROR(_xlfn.XLOOKUP(tbl_HR_Data[[#This Row],[Joining Date]], Mapping[Joining_Discarded], Mapping[Joining_Correction]), VALUE(tbl_HR_Data[[#This Row],[Joining Date]]))</f>
        <v>43881</v>
      </c>
      <c r="T770" t="str">
        <f>TEXT(tbl_HR_Data[[#This Row],[Joining Date]], "mmm")</f>
        <v>Feb</v>
      </c>
      <c r="U770" t="str">
        <f>TEXT(tbl_HR_Data[[#This Row],[Joining Date]], "ddd")</f>
        <v>Thu</v>
      </c>
    </row>
    <row r="771" spans="1:21" x14ac:dyDescent="0.35">
      <c r="A771" t="s">
        <v>100</v>
      </c>
      <c r="B771">
        <v>40</v>
      </c>
      <c r="C771">
        <v>0</v>
      </c>
      <c r="D771" t="s">
        <v>36</v>
      </c>
      <c r="E771" t="s">
        <v>19</v>
      </c>
      <c r="F771" t="s">
        <v>43</v>
      </c>
      <c r="G771" s="3">
        <v>43881</v>
      </c>
      <c r="H771" t="str">
        <f>TEXT(tbl_HR_Data[[#This Row],[Joining Date]], "mmm")</f>
        <v>Feb</v>
      </c>
      <c r="I771" t="s">
        <v>92</v>
      </c>
      <c r="J771" t="s">
        <v>31</v>
      </c>
      <c r="K771" t="s">
        <v>77</v>
      </c>
      <c r="L771" t="s">
        <v>77</v>
      </c>
      <c r="M771">
        <f>IFERROR( _xlfn.XLOOKUP(TRIM(tbl_HR_Data[[#This Row],[Age]]),#REF!,#REF!), VALUE(TRIM(tbl_HR_Data[[#This Row],[Age]])))</f>
        <v>40</v>
      </c>
      <c r="N771" t="str">
        <f>IFERROR(_xlfn.XLOOKUP(tbl_HR_Data[[#This Row],[Gender]], Mapping[Gender _Discarded], Mapping[Gender_Correction]), PROPER(TRIM(tbl_HR_Data[[#This Row],[Gender]])))</f>
        <v>Other</v>
      </c>
      <c r="O771" t="str">
        <f>TRIM(tbl_HR_Data[[#This Row],[Position]])</f>
        <v>Assistant</v>
      </c>
      <c r="P771" t="str">
        <f>IFERROR(_xlfn.XLOOKUP(tbl_HR_Data[[#This Row],[Email]], Mapping[Email_Discarded], Mapping[Email_Correction]), LOWER(TRIM(tbl_HR_Data[[#This Row],[Email]])))</f>
        <v>not provided</v>
      </c>
      <c r="Q77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71" t="str" cm="1">
        <f t="array" ref="R771">_xlfn.REDUCE(Q771, {"-","/","_","\","(",")"}, _xlfn.LAMBDA(_xlpm.txt,_xlpm.itm, SUBSTITUTE(_xlpm.txt, _xlpm.itm, "")))</f>
        <v>Not Provided</v>
      </c>
      <c r="S771" s="3">
        <f>IFERROR(_xlfn.XLOOKUP(tbl_HR_Data[[#This Row],[Joining Date]], Mapping[Joining_Discarded], Mapping[Joining_Correction]), VALUE(tbl_HR_Data[[#This Row],[Joining Date]]))</f>
        <v>43881</v>
      </c>
      <c r="T771" t="str">
        <f>TEXT(tbl_HR_Data[[#This Row],[Joining Date]], "mmm")</f>
        <v>Feb</v>
      </c>
      <c r="U771" t="str">
        <f>TEXT(tbl_HR_Data[[#This Row],[Joining Date]], "ddd")</f>
        <v>Thu</v>
      </c>
    </row>
    <row r="772" spans="1:21" x14ac:dyDescent="0.35">
      <c r="A772" t="s">
        <v>105</v>
      </c>
      <c r="B772">
        <v>30</v>
      </c>
      <c r="C772">
        <v>55000</v>
      </c>
      <c r="D772" t="s">
        <v>36</v>
      </c>
      <c r="E772" t="s">
        <v>12</v>
      </c>
      <c r="F772" t="s">
        <v>13</v>
      </c>
      <c r="G772" s="3">
        <v>43881</v>
      </c>
      <c r="H772" t="str">
        <f>TEXT(tbl_HR_Data[[#This Row],[Joining Date]], "mmm")</f>
        <v>Feb</v>
      </c>
      <c r="I772" t="s">
        <v>92</v>
      </c>
      <c r="J772" t="s">
        <v>21</v>
      </c>
      <c r="K772" t="s">
        <v>77</v>
      </c>
      <c r="L772" t="s">
        <v>89</v>
      </c>
      <c r="M772">
        <f>IFERROR( _xlfn.XLOOKUP(TRIM(tbl_HR_Data[[#This Row],[Age]]),#REF!,#REF!), VALUE(TRIM(tbl_HR_Data[[#This Row],[Age]])))</f>
        <v>30</v>
      </c>
      <c r="N772" t="str">
        <f>IFERROR(_xlfn.XLOOKUP(tbl_HR_Data[[#This Row],[Gender]], Mapping[Gender _Discarded], Mapping[Gender_Correction]), PROPER(TRIM(tbl_HR_Data[[#This Row],[Gender]])))</f>
        <v>Other</v>
      </c>
      <c r="O772" t="str">
        <f>TRIM(tbl_HR_Data[[#This Row],[Position]])</f>
        <v>Manager</v>
      </c>
      <c r="P772" t="str">
        <f>IFERROR(_xlfn.XLOOKUP(tbl_HR_Data[[#This Row],[Email]], Mapping[Email_Discarded], Mapping[Email_Correction]), LOWER(TRIM(tbl_HR_Data[[#This Row],[Email]])))</f>
        <v>not provided</v>
      </c>
      <c r="Q77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772" t="str" cm="1">
        <f t="array" ref="R772">_xlfn.REDUCE(Q772, {"-","/","_","\","(",")"}, _xlfn.LAMBDA(_xlpm.txt,_xlpm.itm, SUBSTITUTE(_xlpm.txt, _xlpm.itm, "")))</f>
        <v>5555555555</v>
      </c>
      <c r="S772" s="3">
        <f>IFERROR(_xlfn.XLOOKUP(tbl_HR_Data[[#This Row],[Joining Date]], Mapping[Joining_Discarded], Mapping[Joining_Correction]), VALUE(tbl_HR_Data[[#This Row],[Joining Date]]))</f>
        <v>43881</v>
      </c>
      <c r="T772" t="str">
        <f>TEXT(tbl_HR_Data[[#This Row],[Joining Date]], "mmm")</f>
        <v>Feb</v>
      </c>
      <c r="U772" t="str">
        <f>TEXT(tbl_HR_Data[[#This Row],[Joining Date]], "ddd")</f>
        <v>Thu</v>
      </c>
    </row>
    <row r="773" spans="1:21" x14ac:dyDescent="0.35">
      <c r="A773" t="s">
        <v>103</v>
      </c>
      <c r="B773">
        <v>30</v>
      </c>
      <c r="C773">
        <v>70000</v>
      </c>
      <c r="D773" t="s">
        <v>11</v>
      </c>
      <c r="E773" t="s">
        <v>19</v>
      </c>
      <c r="F773" t="s">
        <v>44</v>
      </c>
      <c r="G773" s="3">
        <v>43881</v>
      </c>
      <c r="H773" t="str">
        <f>TEXT(tbl_HR_Data[[#This Row],[Joining Date]], "mmm")</f>
        <v>Feb</v>
      </c>
      <c r="I773" t="s">
        <v>92</v>
      </c>
      <c r="J773" t="s">
        <v>31</v>
      </c>
      <c r="K773" t="s">
        <v>15</v>
      </c>
      <c r="L773" t="s">
        <v>88</v>
      </c>
      <c r="M773">
        <f>IFERROR( _xlfn.XLOOKUP(TRIM(tbl_HR_Data[[#This Row],[Age]]),#REF!,#REF!), VALUE(TRIM(tbl_HR_Data[[#This Row],[Age]])))</f>
        <v>30</v>
      </c>
      <c r="N773" t="str">
        <f>IFERROR(_xlfn.XLOOKUP(tbl_HR_Data[[#This Row],[Gender]], Mapping[Gender _Discarded], Mapping[Gender_Correction]), PROPER(TRIM(tbl_HR_Data[[#This Row],[Gender]])))</f>
        <v>Male</v>
      </c>
      <c r="O773" t="str">
        <f>TRIM(tbl_HR_Data[[#This Row],[Position]])</f>
        <v>Analyst</v>
      </c>
      <c r="P773" t="str">
        <f>IFERROR(_xlfn.XLOOKUP(tbl_HR_Data[[#This Row],[Email]], Mapping[Email_Discarded], Mapping[Email_Correction]), LOWER(TRIM(tbl_HR_Data[[#This Row],[Email]])))</f>
        <v>email@example.com</v>
      </c>
      <c r="Q77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773" t="str" cm="1">
        <f t="array" ref="R773">_xlfn.REDUCE(Q773, {"-","/","_","\","(",")"}, _xlfn.LAMBDA(_xlpm.txt,_xlpm.itm, SUBSTITUTE(_xlpm.txt, _xlpm.itm, "")))</f>
        <v>0987654321</v>
      </c>
      <c r="S773" s="3">
        <f>IFERROR(_xlfn.XLOOKUP(tbl_HR_Data[[#This Row],[Joining Date]], Mapping[Joining_Discarded], Mapping[Joining_Correction]), VALUE(tbl_HR_Data[[#This Row],[Joining Date]]))</f>
        <v>43881</v>
      </c>
      <c r="T773" t="str">
        <f>TEXT(tbl_HR_Data[[#This Row],[Joining Date]], "mmm")</f>
        <v>Feb</v>
      </c>
      <c r="U773" t="str">
        <f>TEXT(tbl_HR_Data[[#This Row],[Joining Date]], "ddd")</f>
        <v>Thu</v>
      </c>
    </row>
    <row r="774" spans="1:21" x14ac:dyDescent="0.35">
      <c r="A774" t="s">
        <v>99</v>
      </c>
      <c r="B774">
        <v>0</v>
      </c>
      <c r="C774">
        <v>60000</v>
      </c>
      <c r="D774" t="s">
        <v>11</v>
      </c>
      <c r="E774" t="s">
        <v>30</v>
      </c>
      <c r="F774" t="s">
        <v>39</v>
      </c>
      <c r="G774" s="3">
        <v>43881</v>
      </c>
      <c r="H774" t="str">
        <f>TEXT(tbl_HR_Data[[#This Row],[Joining Date]], "mmm")</f>
        <v>Feb</v>
      </c>
      <c r="I774" t="s">
        <v>92</v>
      </c>
      <c r="J774" t="s">
        <v>27</v>
      </c>
      <c r="K774" t="s">
        <v>77</v>
      </c>
      <c r="L774" t="s">
        <v>77</v>
      </c>
      <c r="M774">
        <f>IFERROR( _xlfn.XLOOKUP(TRIM(tbl_HR_Data[[#This Row],[Age]]),#REF!,#REF!), VALUE(TRIM(tbl_HR_Data[[#This Row],[Age]])))</f>
        <v>0</v>
      </c>
      <c r="N774" t="str">
        <f>IFERROR(_xlfn.XLOOKUP(tbl_HR_Data[[#This Row],[Gender]], Mapping[Gender _Discarded], Mapping[Gender_Correction]), PROPER(TRIM(tbl_HR_Data[[#This Row],[Gender]])))</f>
        <v>Male</v>
      </c>
      <c r="O774" t="str">
        <f>TRIM(tbl_HR_Data[[#This Row],[Position]])</f>
        <v>Clerk</v>
      </c>
      <c r="P774" t="str">
        <f>IFERROR(_xlfn.XLOOKUP(tbl_HR_Data[[#This Row],[Email]], Mapping[Email_Discarded], Mapping[Email_Correction]), LOWER(TRIM(tbl_HR_Data[[#This Row],[Email]])))</f>
        <v>not provided</v>
      </c>
      <c r="Q77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74" t="str" cm="1">
        <f t="array" ref="R774">_xlfn.REDUCE(Q774, {"-","/","_","\","(",")"}, _xlfn.LAMBDA(_xlpm.txt,_xlpm.itm, SUBSTITUTE(_xlpm.txt, _xlpm.itm, "")))</f>
        <v>Not Provided</v>
      </c>
      <c r="S774" s="3">
        <f>IFERROR(_xlfn.XLOOKUP(tbl_HR_Data[[#This Row],[Joining Date]], Mapping[Joining_Discarded], Mapping[Joining_Correction]), VALUE(tbl_HR_Data[[#This Row],[Joining Date]]))</f>
        <v>43881</v>
      </c>
      <c r="T774" t="str">
        <f>TEXT(tbl_HR_Data[[#This Row],[Joining Date]], "mmm")</f>
        <v>Feb</v>
      </c>
      <c r="U774" t="str">
        <f>TEXT(tbl_HR_Data[[#This Row],[Joining Date]], "ddd")</f>
        <v>Thu</v>
      </c>
    </row>
    <row r="775" spans="1:21" x14ac:dyDescent="0.35">
      <c r="A775" t="s">
        <v>99</v>
      </c>
      <c r="B775">
        <v>40</v>
      </c>
      <c r="C775">
        <v>65000</v>
      </c>
      <c r="D775" t="s">
        <v>11</v>
      </c>
      <c r="E775" t="s">
        <v>30</v>
      </c>
      <c r="F775" t="s">
        <v>43</v>
      </c>
      <c r="G775" s="3">
        <v>43881</v>
      </c>
      <c r="H775" t="str">
        <f>TEXT(tbl_HR_Data[[#This Row],[Joining Date]], "mmm")</f>
        <v>Feb</v>
      </c>
      <c r="I775" t="s">
        <v>92</v>
      </c>
      <c r="J775" t="s">
        <v>31</v>
      </c>
      <c r="K775" t="s">
        <v>32</v>
      </c>
      <c r="L775" t="s">
        <v>77</v>
      </c>
      <c r="M775">
        <f>IFERROR( _xlfn.XLOOKUP(TRIM(tbl_HR_Data[[#This Row],[Age]]),#REF!,#REF!), VALUE(TRIM(tbl_HR_Data[[#This Row],[Age]])))</f>
        <v>40</v>
      </c>
      <c r="N775" t="str">
        <f>IFERROR(_xlfn.XLOOKUP(tbl_HR_Data[[#This Row],[Gender]], Mapping[Gender _Discarded], Mapping[Gender_Correction]), PROPER(TRIM(tbl_HR_Data[[#This Row],[Gender]])))</f>
        <v>Male</v>
      </c>
      <c r="O775" t="str">
        <f>TRIM(tbl_HR_Data[[#This Row],[Position]])</f>
        <v>Assistant</v>
      </c>
      <c r="P775" t="str">
        <f>IFERROR(_xlfn.XLOOKUP(tbl_HR_Data[[#This Row],[Email]], Mapping[Email_Discarded], Mapping[Email_Correction]), LOWER(TRIM(tbl_HR_Data[[#This Row],[Email]])))</f>
        <v>name@company.org</v>
      </c>
      <c r="Q77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75" t="str" cm="1">
        <f t="array" ref="R775">_xlfn.REDUCE(Q775, {"-","/","_","\","(",")"}, _xlfn.LAMBDA(_xlpm.txt,_xlpm.itm, SUBSTITUTE(_xlpm.txt, _xlpm.itm, "")))</f>
        <v>Not Provided</v>
      </c>
      <c r="S775" s="3">
        <f>IFERROR(_xlfn.XLOOKUP(tbl_HR_Data[[#This Row],[Joining Date]], Mapping[Joining_Discarded], Mapping[Joining_Correction]), VALUE(tbl_HR_Data[[#This Row],[Joining Date]]))</f>
        <v>43881</v>
      </c>
      <c r="T775" t="str">
        <f>TEXT(tbl_HR_Data[[#This Row],[Joining Date]], "mmm")</f>
        <v>Feb</v>
      </c>
      <c r="U775" t="str">
        <f>TEXT(tbl_HR_Data[[#This Row],[Joining Date]], "ddd")</f>
        <v>Thu</v>
      </c>
    </row>
    <row r="776" spans="1:21" x14ac:dyDescent="0.35">
      <c r="A776" t="s">
        <v>100</v>
      </c>
      <c r="B776">
        <v>25</v>
      </c>
      <c r="C776">
        <v>0</v>
      </c>
      <c r="D776" t="s">
        <v>36</v>
      </c>
      <c r="E776" t="s">
        <v>26</v>
      </c>
      <c r="F776" t="s">
        <v>13</v>
      </c>
      <c r="G776" s="3">
        <v>43881</v>
      </c>
      <c r="H776" t="str">
        <f>TEXT(tbl_HR_Data[[#This Row],[Joining Date]], "mmm")</f>
        <v>Feb</v>
      </c>
      <c r="I776" t="s">
        <v>92</v>
      </c>
      <c r="J776" t="s">
        <v>27</v>
      </c>
      <c r="K776" t="s">
        <v>32</v>
      </c>
      <c r="L776" t="s">
        <v>87</v>
      </c>
      <c r="M776">
        <f>IFERROR( _xlfn.XLOOKUP(TRIM(tbl_HR_Data[[#This Row],[Age]]),#REF!,#REF!), VALUE(TRIM(tbl_HR_Data[[#This Row],[Age]])))</f>
        <v>25</v>
      </c>
      <c r="N776" t="str">
        <f>IFERROR(_xlfn.XLOOKUP(tbl_HR_Data[[#This Row],[Gender]], Mapping[Gender _Discarded], Mapping[Gender_Correction]), PROPER(TRIM(tbl_HR_Data[[#This Row],[Gender]])))</f>
        <v>Other</v>
      </c>
      <c r="O776" t="str">
        <f>TRIM(tbl_HR_Data[[#This Row],[Position]])</f>
        <v>Manager</v>
      </c>
      <c r="P776" t="str">
        <f>IFERROR(_xlfn.XLOOKUP(tbl_HR_Data[[#This Row],[Email]], Mapping[Email_Discarded], Mapping[Email_Correction]), LOWER(TRIM(tbl_HR_Data[[#This Row],[Email]])))</f>
        <v>name@company.org</v>
      </c>
      <c r="Q77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776" t="str" cm="1">
        <f t="array" ref="R776">_xlfn.REDUCE(Q776, {"-","/","_","\","(",")"}, _xlfn.LAMBDA(_xlpm.txt,_xlpm.itm, SUBSTITUTE(_xlpm.txt, _xlpm.itm, "")))</f>
        <v>1234567890</v>
      </c>
      <c r="S776" s="3">
        <f>IFERROR(_xlfn.XLOOKUP(tbl_HR_Data[[#This Row],[Joining Date]], Mapping[Joining_Discarded], Mapping[Joining_Correction]), VALUE(tbl_HR_Data[[#This Row],[Joining Date]]))</f>
        <v>43881</v>
      </c>
      <c r="T776" t="str">
        <f>TEXT(tbl_HR_Data[[#This Row],[Joining Date]], "mmm")</f>
        <v>Feb</v>
      </c>
      <c r="U776" t="str">
        <f>TEXT(tbl_HR_Data[[#This Row],[Joining Date]], "ddd")</f>
        <v>Thu</v>
      </c>
    </row>
    <row r="777" spans="1:21" x14ac:dyDescent="0.35">
      <c r="A777" t="s">
        <v>104</v>
      </c>
      <c r="B777">
        <v>40</v>
      </c>
      <c r="C777">
        <v>60000</v>
      </c>
      <c r="D777" t="s">
        <v>11</v>
      </c>
      <c r="E777" t="s">
        <v>30</v>
      </c>
      <c r="F777" t="s">
        <v>13</v>
      </c>
      <c r="G777" s="3">
        <v>43881</v>
      </c>
      <c r="H777" t="str">
        <f>TEXT(tbl_HR_Data[[#This Row],[Joining Date]], "mmm")</f>
        <v>Feb</v>
      </c>
      <c r="I777" t="s">
        <v>92</v>
      </c>
      <c r="J777" t="s">
        <v>31</v>
      </c>
      <c r="K777" t="s">
        <v>77</v>
      </c>
      <c r="L777" t="s">
        <v>88</v>
      </c>
      <c r="M777">
        <f>IFERROR( _xlfn.XLOOKUP(TRIM(tbl_HR_Data[[#This Row],[Age]]),#REF!,#REF!), VALUE(TRIM(tbl_HR_Data[[#This Row],[Age]])))</f>
        <v>40</v>
      </c>
      <c r="N777" t="str">
        <f>IFERROR(_xlfn.XLOOKUP(tbl_HR_Data[[#This Row],[Gender]], Mapping[Gender _Discarded], Mapping[Gender_Correction]), PROPER(TRIM(tbl_HR_Data[[#This Row],[Gender]])))</f>
        <v>Male</v>
      </c>
      <c r="O777" t="str">
        <f>TRIM(tbl_HR_Data[[#This Row],[Position]])</f>
        <v>Manager</v>
      </c>
      <c r="P777" t="str">
        <f>IFERROR(_xlfn.XLOOKUP(tbl_HR_Data[[#This Row],[Email]], Mapping[Email_Discarded], Mapping[Email_Correction]), LOWER(TRIM(tbl_HR_Data[[#This Row],[Email]])))</f>
        <v>not provided</v>
      </c>
      <c r="Q77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777" t="str" cm="1">
        <f t="array" ref="R777">_xlfn.REDUCE(Q777, {"-","/","_","\","(",")"}, _xlfn.LAMBDA(_xlpm.txt,_xlpm.itm, SUBSTITUTE(_xlpm.txt, _xlpm.itm, "")))</f>
        <v>0987654321</v>
      </c>
      <c r="S777" s="3">
        <f>IFERROR(_xlfn.XLOOKUP(tbl_HR_Data[[#This Row],[Joining Date]], Mapping[Joining_Discarded], Mapping[Joining_Correction]), VALUE(tbl_HR_Data[[#This Row],[Joining Date]]))</f>
        <v>43881</v>
      </c>
      <c r="T777" t="str">
        <f>TEXT(tbl_HR_Data[[#This Row],[Joining Date]], "mmm")</f>
        <v>Feb</v>
      </c>
      <c r="U777" t="str">
        <f>TEXT(tbl_HR_Data[[#This Row],[Joining Date]], "ddd")</f>
        <v>Thu</v>
      </c>
    </row>
    <row r="778" spans="1:21" x14ac:dyDescent="0.35">
      <c r="A778" t="s">
        <v>99</v>
      </c>
      <c r="B778">
        <v>25</v>
      </c>
      <c r="C778">
        <v>0</v>
      </c>
      <c r="D778" t="s">
        <v>11</v>
      </c>
      <c r="E778" t="s">
        <v>37</v>
      </c>
      <c r="F778" t="s">
        <v>20</v>
      </c>
      <c r="G778" s="3">
        <v>43881</v>
      </c>
      <c r="H778" t="str">
        <f>TEXT(tbl_HR_Data[[#This Row],[Joining Date]], "mmm")</f>
        <v>Feb</v>
      </c>
      <c r="I778" t="s">
        <v>92</v>
      </c>
      <c r="J778" t="s">
        <v>14</v>
      </c>
      <c r="K778" t="s">
        <v>77</v>
      </c>
      <c r="L778" t="s">
        <v>77</v>
      </c>
      <c r="M778">
        <f>IFERROR( _xlfn.XLOOKUP(TRIM(tbl_HR_Data[[#This Row],[Age]]),#REF!,#REF!), VALUE(TRIM(tbl_HR_Data[[#This Row],[Age]])))</f>
        <v>25</v>
      </c>
      <c r="N778" t="str">
        <f>IFERROR(_xlfn.XLOOKUP(tbl_HR_Data[[#This Row],[Gender]], Mapping[Gender _Discarded], Mapping[Gender_Correction]), PROPER(TRIM(tbl_HR_Data[[#This Row],[Gender]])))</f>
        <v>Male</v>
      </c>
      <c r="O778" t="str">
        <f>TRIM(tbl_HR_Data[[#This Row],[Position]])</f>
        <v>Director</v>
      </c>
      <c r="P778" t="str">
        <f>IFERROR(_xlfn.XLOOKUP(tbl_HR_Data[[#This Row],[Email]], Mapping[Email_Discarded], Mapping[Email_Correction]), LOWER(TRIM(tbl_HR_Data[[#This Row],[Email]])))</f>
        <v>not provided</v>
      </c>
      <c r="Q77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78" t="str" cm="1">
        <f t="array" ref="R778">_xlfn.REDUCE(Q778, {"-","/","_","\","(",")"}, _xlfn.LAMBDA(_xlpm.txt,_xlpm.itm, SUBSTITUTE(_xlpm.txt, _xlpm.itm, "")))</f>
        <v>Not Provided</v>
      </c>
      <c r="S778" s="3">
        <f>IFERROR(_xlfn.XLOOKUP(tbl_HR_Data[[#This Row],[Joining Date]], Mapping[Joining_Discarded], Mapping[Joining_Correction]), VALUE(tbl_HR_Data[[#This Row],[Joining Date]]))</f>
        <v>43881</v>
      </c>
      <c r="T778" t="str">
        <f>TEXT(tbl_HR_Data[[#This Row],[Joining Date]], "mmm")</f>
        <v>Feb</v>
      </c>
      <c r="U778" t="str">
        <f>TEXT(tbl_HR_Data[[#This Row],[Joining Date]], "ddd")</f>
        <v>Thu</v>
      </c>
    </row>
    <row r="779" spans="1:21" x14ac:dyDescent="0.35">
      <c r="A779" t="s">
        <v>107</v>
      </c>
      <c r="B779">
        <v>0</v>
      </c>
      <c r="C779">
        <v>55000</v>
      </c>
      <c r="D779" t="s">
        <v>18</v>
      </c>
      <c r="E779" t="s">
        <v>19</v>
      </c>
      <c r="F779" t="s">
        <v>43</v>
      </c>
      <c r="G779" s="3">
        <v>43881</v>
      </c>
      <c r="H779" t="str">
        <f>TEXT(tbl_HR_Data[[#This Row],[Joining Date]], "mmm")</f>
        <v>Feb</v>
      </c>
      <c r="I779" t="s">
        <v>92</v>
      </c>
      <c r="J779" t="s">
        <v>31</v>
      </c>
      <c r="K779" t="s">
        <v>77</v>
      </c>
      <c r="L779" t="s">
        <v>77</v>
      </c>
      <c r="M779">
        <f>IFERROR( _xlfn.XLOOKUP(TRIM(tbl_HR_Data[[#This Row],[Age]]),#REF!,#REF!), VALUE(TRIM(tbl_HR_Data[[#This Row],[Age]])))</f>
        <v>0</v>
      </c>
      <c r="N779" t="str">
        <f>IFERROR(_xlfn.XLOOKUP(tbl_HR_Data[[#This Row],[Gender]], Mapping[Gender _Discarded], Mapping[Gender_Correction]), PROPER(TRIM(tbl_HR_Data[[#This Row],[Gender]])))</f>
        <v>Female</v>
      </c>
      <c r="O779" t="str">
        <f>TRIM(tbl_HR_Data[[#This Row],[Position]])</f>
        <v>Assistant</v>
      </c>
      <c r="P779" t="str">
        <f>IFERROR(_xlfn.XLOOKUP(tbl_HR_Data[[#This Row],[Email]], Mapping[Email_Discarded], Mapping[Email_Correction]), LOWER(TRIM(tbl_HR_Data[[#This Row],[Email]])))</f>
        <v>not provided</v>
      </c>
      <c r="Q77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79" t="str" cm="1">
        <f t="array" ref="R779">_xlfn.REDUCE(Q779, {"-","/","_","\","(",")"}, _xlfn.LAMBDA(_xlpm.txt,_xlpm.itm, SUBSTITUTE(_xlpm.txt, _xlpm.itm, "")))</f>
        <v>Not Provided</v>
      </c>
      <c r="S779" s="3">
        <f>IFERROR(_xlfn.XLOOKUP(tbl_HR_Data[[#This Row],[Joining Date]], Mapping[Joining_Discarded], Mapping[Joining_Correction]), VALUE(tbl_HR_Data[[#This Row],[Joining Date]]))</f>
        <v>43881</v>
      </c>
      <c r="T779" t="str">
        <f>TEXT(tbl_HR_Data[[#This Row],[Joining Date]], "mmm")</f>
        <v>Feb</v>
      </c>
      <c r="U779" t="str">
        <f>TEXT(tbl_HR_Data[[#This Row],[Joining Date]], "ddd")</f>
        <v>Thu</v>
      </c>
    </row>
    <row r="780" spans="1:21" x14ac:dyDescent="0.35">
      <c r="A780" t="s">
        <v>103</v>
      </c>
      <c r="B780">
        <v>30</v>
      </c>
      <c r="C780">
        <v>60000</v>
      </c>
      <c r="D780" t="s">
        <v>36</v>
      </c>
      <c r="E780" t="s">
        <v>37</v>
      </c>
      <c r="F780" t="s">
        <v>20</v>
      </c>
      <c r="G780" s="3">
        <v>43881</v>
      </c>
      <c r="H780" t="str">
        <f>TEXT(tbl_HR_Data[[#This Row],[Joining Date]], "mmm")</f>
        <v>Feb</v>
      </c>
      <c r="I780" t="s">
        <v>92</v>
      </c>
      <c r="J780" t="s">
        <v>41</v>
      </c>
      <c r="K780" t="s">
        <v>77</v>
      </c>
      <c r="L780" t="s">
        <v>87</v>
      </c>
      <c r="M780">
        <f>IFERROR( _xlfn.XLOOKUP(TRIM(tbl_HR_Data[[#This Row],[Age]]),#REF!,#REF!), VALUE(TRIM(tbl_HR_Data[[#This Row],[Age]])))</f>
        <v>30</v>
      </c>
      <c r="N780" t="str">
        <f>IFERROR(_xlfn.XLOOKUP(tbl_HR_Data[[#This Row],[Gender]], Mapping[Gender _Discarded], Mapping[Gender_Correction]), PROPER(TRIM(tbl_HR_Data[[#This Row],[Gender]])))</f>
        <v>Other</v>
      </c>
      <c r="O780" t="str">
        <f>TRIM(tbl_HR_Data[[#This Row],[Position]])</f>
        <v>Director</v>
      </c>
      <c r="P780" t="str">
        <f>IFERROR(_xlfn.XLOOKUP(tbl_HR_Data[[#This Row],[Email]], Mapping[Email_Discarded], Mapping[Email_Correction]), LOWER(TRIM(tbl_HR_Data[[#This Row],[Email]])))</f>
        <v>not provided</v>
      </c>
      <c r="Q78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780" t="str" cm="1">
        <f t="array" ref="R780">_xlfn.REDUCE(Q780, {"-","/","_","\","(",")"}, _xlfn.LAMBDA(_xlpm.txt,_xlpm.itm, SUBSTITUTE(_xlpm.txt, _xlpm.itm, "")))</f>
        <v>1234567890</v>
      </c>
      <c r="S780" s="3">
        <f>IFERROR(_xlfn.XLOOKUP(tbl_HR_Data[[#This Row],[Joining Date]], Mapping[Joining_Discarded], Mapping[Joining_Correction]), VALUE(tbl_HR_Data[[#This Row],[Joining Date]]))</f>
        <v>43881</v>
      </c>
      <c r="T780" t="str">
        <f>TEXT(tbl_HR_Data[[#This Row],[Joining Date]], "mmm")</f>
        <v>Feb</v>
      </c>
      <c r="U780" t="str">
        <f>TEXT(tbl_HR_Data[[#This Row],[Joining Date]], "ddd")</f>
        <v>Thu</v>
      </c>
    </row>
    <row r="781" spans="1:21" x14ac:dyDescent="0.35">
      <c r="A781" t="s">
        <v>99</v>
      </c>
      <c r="B781">
        <v>35</v>
      </c>
      <c r="C781">
        <v>50000</v>
      </c>
      <c r="D781" t="s">
        <v>11</v>
      </c>
      <c r="E781" t="s">
        <v>30</v>
      </c>
      <c r="F781" t="s">
        <v>20</v>
      </c>
      <c r="G781" s="3">
        <v>43881</v>
      </c>
      <c r="H781" t="str">
        <f>TEXT(tbl_HR_Data[[#This Row],[Joining Date]], "mmm")</f>
        <v>Feb</v>
      </c>
      <c r="I781" t="s">
        <v>92</v>
      </c>
      <c r="J781" t="s">
        <v>27</v>
      </c>
      <c r="K781" t="s">
        <v>77</v>
      </c>
      <c r="L781" t="s">
        <v>89</v>
      </c>
      <c r="M781">
        <f>IFERROR( _xlfn.XLOOKUP(TRIM(tbl_HR_Data[[#This Row],[Age]]),#REF!,#REF!), VALUE(TRIM(tbl_HR_Data[[#This Row],[Age]])))</f>
        <v>35</v>
      </c>
      <c r="N781" t="str">
        <f>IFERROR(_xlfn.XLOOKUP(tbl_HR_Data[[#This Row],[Gender]], Mapping[Gender _Discarded], Mapping[Gender_Correction]), PROPER(TRIM(tbl_HR_Data[[#This Row],[Gender]])))</f>
        <v>Male</v>
      </c>
      <c r="O781" t="str">
        <f>TRIM(tbl_HR_Data[[#This Row],[Position]])</f>
        <v>Director</v>
      </c>
      <c r="P781" t="str">
        <f>IFERROR(_xlfn.XLOOKUP(tbl_HR_Data[[#This Row],[Email]], Mapping[Email_Discarded], Mapping[Email_Correction]), LOWER(TRIM(tbl_HR_Data[[#This Row],[Email]])))</f>
        <v>not provided</v>
      </c>
      <c r="Q78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781" t="str" cm="1">
        <f t="array" ref="R781">_xlfn.REDUCE(Q781, {"-","/","_","\","(",")"}, _xlfn.LAMBDA(_xlpm.txt,_xlpm.itm, SUBSTITUTE(_xlpm.txt, _xlpm.itm, "")))</f>
        <v>5555555555</v>
      </c>
      <c r="S781" s="3">
        <f>IFERROR(_xlfn.XLOOKUP(tbl_HR_Data[[#This Row],[Joining Date]], Mapping[Joining_Discarded], Mapping[Joining_Correction]), VALUE(tbl_HR_Data[[#This Row],[Joining Date]]))</f>
        <v>43881</v>
      </c>
      <c r="T781" t="str">
        <f>TEXT(tbl_HR_Data[[#This Row],[Joining Date]], "mmm")</f>
        <v>Feb</v>
      </c>
      <c r="U781" t="str">
        <f>TEXT(tbl_HR_Data[[#This Row],[Joining Date]], "ddd")</f>
        <v>Thu</v>
      </c>
    </row>
    <row r="782" spans="1:21" x14ac:dyDescent="0.35">
      <c r="A782" t="s">
        <v>108</v>
      </c>
      <c r="B782">
        <v>35</v>
      </c>
      <c r="C782">
        <v>70000</v>
      </c>
      <c r="D782" t="s">
        <v>18</v>
      </c>
      <c r="E782" t="s">
        <v>30</v>
      </c>
      <c r="F782" t="s">
        <v>44</v>
      </c>
      <c r="G782" s="3">
        <v>43881</v>
      </c>
      <c r="H782" t="str">
        <f>TEXT(tbl_HR_Data[[#This Row],[Joining Date]], "mmm")</f>
        <v>Feb</v>
      </c>
      <c r="I782" t="s">
        <v>92</v>
      </c>
      <c r="J782" t="s">
        <v>41</v>
      </c>
      <c r="K782" t="s">
        <v>15</v>
      </c>
      <c r="L782" t="s">
        <v>77</v>
      </c>
      <c r="M782">
        <f>IFERROR( _xlfn.XLOOKUP(TRIM(tbl_HR_Data[[#This Row],[Age]]),#REF!,#REF!), VALUE(TRIM(tbl_HR_Data[[#This Row],[Age]])))</f>
        <v>35</v>
      </c>
      <c r="N782" t="str">
        <f>IFERROR(_xlfn.XLOOKUP(tbl_HR_Data[[#This Row],[Gender]], Mapping[Gender _Discarded], Mapping[Gender_Correction]), PROPER(TRIM(tbl_HR_Data[[#This Row],[Gender]])))</f>
        <v>Female</v>
      </c>
      <c r="O782" t="str">
        <f>TRIM(tbl_HR_Data[[#This Row],[Position]])</f>
        <v>Analyst</v>
      </c>
      <c r="P782" t="str">
        <f>IFERROR(_xlfn.XLOOKUP(tbl_HR_Data[[#This Row],[Email]], Mapping[Email_Discarded], Mapping[Email_Correction]), LOWER(TRIM(tbl_HR_Data[[#This Row],[Email]])))</f>
        <v>email@example.com</v>
      </c>
      <c r="Q78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82" t="str" cm="1">
        <f t="array" ref="R782">_xlfn.REDUCE(Q782, {"-","/","_","\","(",")"}, _xlfn.LAMBDA(_xlpm.txt,_xlpm.itm, SUBSTITUTE(_xlpm.txt, _xlpm.itm, "")))</f>
        <v>Not Provided</v>
      </c>
      <c r="S782" s="3">
        <f>IFERROR(_xlfn.XLOOKUP(tbl_HR_Data[[#This Row],[Joining Date]], Mapping[Joining_Discarded], Mapping[Joining_Correction]), VALUE(tbl_HR_Data[[#This Row],[Joining Date]]))</f>
        <v>43881</v>
      </c>
      <c r="T782" t="str">
        <f>TEXT(tbl_HR_Data[[#This Row],[Joining Date]], "mmm")</f>
        <v>Feb</v>
      </c>
      <c r="U782" t="str">
        <f>TEXT(tbl_HR_Data[[#This Row],[Joining Date]], "ddd")</f>
        <v>Thu</v>
      </c>
    </row>
    <row r="783" spans="1:21" x14ac:dyDescent="0.35">
      <c r="A783" t="s">
        <v>101</v>
      </c>
      <c r="B783">
        <v>50</v>
      </c>
      <c r="C783">
        <v>55000</v>
      </c>
      <c r="D783" t="s">
        <v>11</v>
      </c>
      <c r="E783" t="s">
        <v>12</v>
      </c>
      <c r="F783" t="s">
        <v>13</v>
      </c>
      <c r="G783" s="3">
        <v>43881</v>
      </c>
      <c r="H783" t="str">
        <f>TEXT(tbl_HR_Data[[#This Row],[Joining Date]], "mmm")</f>
        <v>Feb</v>
      </c>
      <c r="I783" t="s">
        <v>92</v>
      </c>
      <c r="J783" t="s">
        <v>41</v>
      </c>
      <c r="K783" t="s">
        <v>22</v>
      </c>
      <c r="L783" t="s">
        <v>77</v>
      </c>
      <c r="M783">
        <f>IFERROR( _xlfn.XLOOKUP(TRIM(tbl_HR_Data[[#This Row],[Age]]),#REF!,#REF!), VALUE(TRIM(tbl_HR_Data[[#This Row],[Age]])))</f>
        <v>50</v>
      </c>
      <c r="N783" t="str">
        <f>IFERROR(_xlfn.XLOOKUP(tbl_HR_Data[[#This Row],[Gender]], Mapping[Gender _Discarded], Mapping[Gender_Correction]), PROPER(TRIM(tbl_HR_Data[[#This Row],[Gender]])))</f>
        <v>Male</v>
      </c>
      <c r="O783" t="str">
        <f>TRIM(tbl_HR_Data[[#This Row],[Position]])</f>
        <v>Manager</v>
      </c>
      <c r="P783" t="str">
        <f>IFERROR(_xlfn.XLOOKUP(tbl_HR_Data[[#This Row],[Email]], Mapping[Email_Discarded], Mapping[Email_Correction]), LOWER(TRIM(tbl_HR_Data[[#This Row],[Email]])))</f>
        <v>user@domain.com</v>
      </c>
      <c r="Q78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83" t="str" cm="1">
        <f t="array" ref="R783">_xlfn.REDUCE(Q783, {"-","/","_","\","(",")"}, _xlfn.LAMBDA(_xlpm.txt,_xlpm.itm, SUBSTITUTE(_xlpm.txt, _xlpm.itm, "")))</f>
        <v>Not Provided</v>
      </c>
      <c r="S783" s="3">
        <f>IFERROR(_xlfn.XLOOKUP(tbl_HR_Data[[#This Row],[Joining Date]], Mapping[Joining_Discarded], Mapping[Joining_Correction]), VALUE(tbl_HR_Data[[#This Row],[Joining Date]]))</f>
        <v>43881</v>
      </c>
      <c r="T783" t="str">
        <f>TEXT(tbl_HR_Data[[#This Row],[Joining Date]], "mmm")</f>
        <v>Feb</v>
      </c>
      <c r="U783" t="str">
        <f>TEXT(tbl_HR_Data[[#This Row],[Joining Date]], "ddd")</f>
        <v>Thu</v>
      </c>
    </row>
    <row r="784" spans="1:21" x14ac:dyDescent="0.35">
      <c r="A784" t="s">
        <v>108</v>
      </c>
      <c r="B784">
        <v>0</v>
      </c>
      <c r="C784">
        <v>50000</v>
      </c>
      <c r="D784" t="s">
        <v>36</v>
      </c>
      <c r="E784" t="s">
        <v>30</v>
      </c>
      <c r="F784" t="s">
        <v>44</v>
      </c>
      <c r="G784" s="3">
        <v>43881</v>
      </c>
      <c r="H784" t="str">
        <f>TEXT(tbl_HR_Data[[#This Row],[Joining Date]], "mmm")</f>
        <v>Feb</v>
      </c>
      <c r="I784" t="s">
        <v>92</v>
      </c>
      <c r="J784" t="s">
        <v>21</v>
      </c>
      <c r="K784" t="s">
        <v>22</v>
      </c>
      <c r="L784" t="s">
        <v>88</v>
      </c>
      <c r="M784">
        <f>IFERROR( _xlfn.XLOOKUP(TRIM(tbl_HR_Data[[#This Row],[Age]]),#REF!,#REF!), VALUE(TRIM(tbl_HR_Data[[#This Row],[Age]])))</f>
        <v>0</v>
      </c>
      <c r="N784" t="str">
        <f>IFERROR(_xlfn.XLOOKUP(tbl_HR_Data[[#This Row],[Gender]], Mapping[Gender _Discarded], Mapping[Gender_Correction]), PROPER(TRIM(tbl_HR_Data[[#This Row],[Gender]])))</f>
        <v>Other</v>
      </c>
      <c r="O784" t="str">
        <f>TRIM(tbl_HR_Data[[#This Row],[Position]])</f>
        <v>Analyst</v>
      </c>
      <c r="P784" t="str">
        <f>IFERROR(_xlfn.XLOOKUP(tbl_HR_Data[[#This Row],[Email]], Mapping[Email_Discarded], Mapping[Email_Correction]), LOWER(TRIM(tbl_HR_Data[[#This Row],[Email]])))</f>
        <v>user@domain.com</v>
      </c>
      <c r="Q78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784" t="str" cm="1">
        <f t="array" ref="R784">_xlfn.REDUCE(Q784, {"-","/","_","\","(",")"}, _xlfn.LAMBDA(_xlpm.txt,_xlpm.itm, SUBSTITUTE(_xlpm.txt, _xlpm.itm, "")))</f>
        <v>0987654321</v>
      </c>
      <c r="S784" s="3">
        <f>IFERROR(_xlfn.XLOOKUP(tbl_HR_Data[[#This Row],[Joining Date]], Mapping[Joining_Discarded], Mapping[Joining_Correction]), VALUE(tbl_HR_Data[[#This Row],[Joining Date]]))</f>
        <v>43881</v>
      </c>
      <c r="T784" t="str">
        <f>TEXT(tbl_HR_Data[[#This Row],[Joining Date]], "mmm")</f>
        <v>Feb</v>
      </c>
      <c r="U784" t="str">
        <f>TEXT(tbl_HR_Data[[#This Row],[Joining Date]], "ddd")</f>
        <v>Thu</v>
      </c>
    </row>
    <row r="785" spans="1:21" x14ac:dyDescent="0.35">
      <c r="A785" t="s">
        <v>101</v>
      </c>
      <c r="B785">
        <v>50</v>
      </c>
      <c r="C785">
        <v>50000</v>
      </c>
      <c r="D785" t="s">
        <v>36</v>
      </c>
      <c r="E785" t="s">
        <v>19</v>
      </c>
      <c r="F785" t="s">
        <v>13</v>
      </c>
      <c r="G785" s="3">
        <v>43881</v>
      </c>
      <c r="H785" t="str">
        <f>TEXT(tbl_HR_Data[[#This Row],[Joining Date]], "mmm")</f>
        <v>Feb</v>
      </c>
      <c r="I785" t="s">
        <v>92</v>
      </c>
      <c r="J785" t="s">
        <v>14</v>
      </c>
      <c r="K785" t="s">
        <v>15</v>
      </c>
      <c r="L785" t="s">
        <v>77</v>
      </c>
      <c r="M785">
        <f>IFERROR( _xlfn.XLOOKUP(TRIM(tbl_HR_Data[[#This Row],[Age]]),#REF!,#REF!), VALUE(TRIM(tbl_HR_Data[[#This Row],[Age]])))</f>
        <v>50</v>
      </c>
      <c r="N785" t="str">
        <f>IFERROR(_xlfn.XLOOKUP(tbl_HR_Data[[#This Row],[Gender]], Mapping[Gender _Discarded], Mapping[Gender_Correction]), PROPER(TRIM(tbl_HR_Data[[#This Row],[Gender]])))</f>
        <v>Other</v>
      </c>
      <c r="O785" t="str">
        <f>TRIM(tbl_HR_Data[[#This Row],[Position]])</f>
        <v>Manager</v>
      </c>
      <c r="P785" t="str">
        <f>IFERROR(_xlfn.XLOOKUP(tbl_HR_Data[[#This Row],[Email]], Mapping[Email_Discarded], Mapping[Email_Correction]), LOWER(TRIM(tbl_HR_Data[[#This Row],[Email]])))</f>
        <v>email@example.com</v>
      </c>
      <c r="Q78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85" t="str" cm="1">
        <f t="array" ref="R785">_xlfn.REDUCE(Q785, {"-","/","_","\","(",")"}, _xlfn.LAMBDA(_xlpm.txt,_xlpm.itm, SUBSTITUTE(_xlpm.txt, _xlpm.itm, "")))</f>
        <v>Not Provided</v>
      </c>
      <c r="S785" s="3">
        <f>IFERROR(_xlfn.XLOOKUP(tbl_HR_Data[[#This Row],[Joining Date]], Mapping[Joining_Discarded], Mapping[Joining_Correction]), VALUE(tbl_HR_Data[[#This Row],[Joining Date]]))</f>
        <v>43881</v>
      </c>
      <c r="T785" t="str">
        <f>TEXT(tbl_HR_Data[[#This Row],[Joining Date]], "mmm")</f>
        <v>Feb</v>
      </c>
      <c r="U785" t="str">
        <f>TEXT(tbl_HR_Data[[#This Row],[Joining Date]], "ddd")</f>
        <v>Thu</v>
      </c>
    </row>
    <row r="786" spans="1:21" x14ac:dyDescent="0.35">
      <c r="A786" t="s">
        <v>100</v>
      </c>
      <c r="B786">
        <v>50</v>
      </c>
      <c r="C786">
        <v>55000</v>
      </c>
      <c r="D786" t="s">
        <v>11</v>
      </c>
      <c r="E786" t="s">
        <v>37</v>
      </c>
      <c r="F786" t="s">
        <v>13</v>
      </c>
      <c r="G786" s="3">
        <v>43881</v>
      </c>
      <c r="H786" t="str">
        <f>TEXT(tbl_HR_Data[[#This Row],[Joining Date]], "mmm")</f>
        <v>Feb</v>
      </c>
      <c r="I786" t="s">
        <v>92</v>
      </c>
      <c r="J786" t="s">
        <v>41</v>
      </c>
      <c r="K786" t="s">
        <v>77</v>
      </c>
      <c r="L786" t="s">
        <v>89</v>
      </c>
      <c r="M786">
        <f>IFERROR( _xlfn.XLOOKUP(TRIM(tbl_HR_Data[[#This Row],[Age]]),#REF!,#REF!), VALUE(TRIM(tbl_HR_Data[[#This Row],[Age]])))</f>
        <v>50</v>
      </c>
      <c r="N786" t="str">
        <f>IFERROR(_xlfn.XLOOKUP(tbl_HR_Data[[#This Row],[Gender]], Mapping[Gender _Discarded], Mapping[Gender_Correction]), PROPER(TRIM(tbl_HR_Data[[#This Row],[Gender]])))</f>
        <v>Male</v>
      </c>
      <c r="O786" t="str">
        <f>TRIM(tbl_HR_Data[[#This Row],[Position]])</f>
        <v>Manager</v>
      </c>
      <c r="P786" t="str">
        <f>IFERROR(_xlfn.XLOOKUP(tbl_HR_Data[[#This Row],[Email]], Mapping[Email_Discarded], Mapping[Email_Correction]), LOWER(TRIM(tbl_HR_Data[[#This Row],[Email]])))</f>
        <v>not provided</v>
      </c>
      <c r="Q78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786" t="str" cm="1">
        <f t="array" ref="R786">_xlfn.REDUCE(Q786, {"-","/","_","\","(",")"}, _xlfn.LAMBDA(_xlpm.txt,_xlpm.itm, SUBSTITUTE(_xlpm.txt, _xlpm.itm, "")))</f>
        <v>5555555555</v>
      </c>
      <c r="S786" s="3">
        <f>IFERROR(_xlfn.XLOOKUP(tbl_HR_Data[[#This Row],[Joining Date]], Mapping[Joining_Discarded], Mapping[Joining_Correction]), VALUE(tbl_HR_Data[[#This Row],[Joining Date]]))</f>
        <v>43881</v>
      </c>
      <c r="T786" t="str">
        <f>TEXT(tbl_HR_Data[[#This Row],[Joining Date]], "mmm")</f>
        <v>Feb</v>
      </c>
      <c r="U786" t="str">
        <f>TEXT(tbl_HR_Data[[#This Row],[Joining Date]], "ddd")</f>
        <v>Thu</v>
      </c>
    </row>
    <row r="787" spans="1:21" x14ac:dyDescent="0.35">
      <c r="A787" t="s">
        <v>101</v>
      </c>
      <c r="B787">
        <v>35</v>
      </c>
      <c r="C787">
        <v>70000</v>
      </c>
      <c r="D787" t="s">
        <v>11</v>
      </c>
      <c r="E787" t="s">
        <v>12</v>
      </c>
      <c r="F787" t="s">
        <v>13</v>
      </c>
      <c r="G787" s="3">
        <v>43881</v>
      </c>
      <c r="H787" t="str">
        <f>TEXT(tbl_HR_Data[[#This Row],[Joining Date]], "mmm")</f>
        <v>Feb</v>
      </c>
      <c r="I787" t="s">
        <v>92</v>
      </c>
      <c r="J787" t="s">
        <v>27</v>
      </c>
      <c r="K787" t="s">
        <v>15</v>
      </c>
      <c r="L787" t="s">
        <v>88</v>
      </c>
      <c r="M787">
        <f>IFERROR( _xlfn.XLOOKUP(TRIM(tbl_HR_Data[[#This Row],[Age]]),#REF!,#REF!), VALUE(TRIM(tbl_HR_Data[[#This Row],[Age]])))</f>
        <v>35</v>
      </c>
      <c r="N787" t="str">
        <f>IFERROR(_xlfn.XLOOKUP(tbl_HR_Data[[#This Row],[Gender]], Mapping[Gender _Discarded], Mapping[Gender_Correction]), PROPER(TRIM(tbl_HR_Data[[#This Row],[Gender]])))</f>
        <v>Male</v>
      </c>
      <c r="O787" t="str">
        <f>TRIM(tbl_HR_Data[[#This Row],[Position]])</f>
        <v>Manager</v>
      </c>
      <c r="P787" t="str">
        <f>IFERROR(_xlfn.XLOOKUP(tbl_HR_Data[[#This Row],[Email]], Mapping[Email_Discarded], Mapping[Email_Correction]), LOWER(TRIM(tbl_HR_Data[[#This Row],[Email]])))</f>
        <v>email@example.com</v>
      </c>
      <c r="Q78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787" t="str" cm="1">
        <f t="array" ref="R787">_xlfn.REDUCE(Q787, {"-","/","_","\","(",")"}, _xlfn.LAMBDA(_xlpm.txt,_xlpm.itm, SUBSTITUTE(_xlpm.txt, _xlpm.itm, "")))</f>
        <v>0987654321</v>
      </c>
      <c r="S787" s="3">
        <f>IFERROR(_xlfn.XLOOKUP(tbl_HR_Data[[#This Row],[Joining Date]], Mapping[Joining_Discarded], Mapping[Joining_Correction]), VALUE(tbl_HR_Data[[#This Row],[Joining Date]]))</f>
        <v>43881</v>
      </c>
      <c r="T787" t="str">
        <f>TEXT(tbl_HR_Data[[#This Row],[Joining Date]], "mmm")</f>
        <v>Feb</v>
      </c>
      <c r="U787" t="str">
        <f>TEXT(tbl_HR_Data[[#This Row],[Joining Date]], "ddd")</f>
        <v>Thu</v>
      </c>
    </row>
    <row r="788" spans="1:21" x14ac:dyDescent="0.35">
      <c r="A788" t="s">
        <v>99</v>
      </c>
      <c r="B788">
        <v>50</v>
      </c>
      <c r="C788">
        <v>65000</v>
      </c>
      <c r="D788" t="s">
        <v>18</v>
      </c>
      <c r="E788" t="s">
        <v>26</v>
      </c>
      <c r="F788" t="s">
        <v>13</v>
      </c>
      <c r="G788" s="3">
        <v>43881</v>
      </c>
      <c r="H788" t="str">
        <f>TEXT(tbl_HR_Data[[#This Row],[Joining Date]], "mmm")</f>
        <v>Feb</v>
      </c>
      <c r="I788" t="s">
        <v>92</v>
      </c>
      <c r="J788" t="s">
        <v>21</v>
      </c>
      <c r="K788" t="s">
        <v>15</v>
      </c>
      <c r="L788" t="s">
        <v>77</v>
      </c>
      <c r="M788">
        <f>IFERROR( _xlfn.XLOOKUP(TRIM(tbl_HR_Data[[#This Row],[Age]]),#REF!,#REF!), VALUE(TRIM(tbl_HR_Data[[#This Row],[Age]])))</f>
        <v>50</v>
      </c>
      <c r="N788" t="str">
        <f>IFERROR(_xlfn.XLOOKUP(tbl_HR_Data[[#This Row],[Gender]], Mapping[Gender _Discarded], Mapping[Gender_Correction]), PROPER(TRIM(tbl_HR_Data[[#This Row],[Gender]])))</f>
        <v>Female</v>
      </c>
      <c r="O788" t="str">
        <f>TRIM(tbl_HR_Data[[#This Row],[Position]])</f>
        <v>Manager</v>
      </c>
      <c r="P788" t="str">
        <f>IFERROR(_xlfn.XLOOKUP(tbl_HR_Data[[#This Row],[Email]], Mapping[Email_Discarded], Mapping[Email_Correction]), LOWER(TRIM(tbl_HR_Data[[#This Row],[Email]])))</f>
        <v>email@example.com</v>
      </c>
      <c r="Q78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88" t="str" cm="1">
        <f t="array" ref="R788">_xlfn.REDUCE(Q788, {"-","/","_","\","(",")"}, _xlfn.LAMBDA(_xlpm.txt,_xlpm.itm, SUBSTITUTE(_xlpm.txt, _xlpm.itm, "")))</f>
        <v>Not Provided</v>
      </c>
      <c r="S788" s="3">
        <f>IFERROR(_xlfn.XLOOKUP(tbl_HR_Data[[#This Row],[Joining Date]], Mapping[Joining_Discarded], Mapping[Joining_Correction]), VALUE(tbl_HR_Data[[#This Row],[Joining Date]]))</f>
        <v>43881</v>
      </c>
      <c r="T788" t="str">
        <f>TEXT(tbl_HR_Data[[#This Row],[Joining Date]], "mmm")</f>
        <v>Feb</v>
      </c>
      <c r="U788" t="str">
        <f>TEXT(tbl_HR_Data[[#This Row],[Joining Date]], "ddd")</f>
        <v>Thu</v>
      </c>
    </row>
    <row r="789" spans="1:21" x14ac:dyDescent="0.35">
      <c r="A789" t="s">
        <v>99</v>
      </c>
      <c r="B789">
        <v>35</v>
      </c>
      <c r="C789">
        <v>60000</v>
      </c>
      <c r="D789" t="s">
        <v>18</v>
      </c>
      <c r="E789" t="s">
        <v>37</v>
      </c>
      <c r="F789" t="s">
        <v>39</v>
      </c>
      <c r="G789" s="3">
        <v>43881</v>
      </c>
      <c r="H789" t="str">
        <f>TEXT(tbl_HR_Data[[#This Row],[Joining Date]], "mmm")</f>
        <v>Feb</v>
      </c>
      <c r="I789" t="s">
        <v>92</v>
      </c>
      <c r="J789" t="s">
        <v>31</v>
      </c>
      <c r="K789" t="s">
        <v>32</v>
      </c>
      <c r="L789" t="s">
        <v>87</v>
      </c>
      <c r="M789">
        <f>IFERROR( _xlfn.XLOOKUP(TRIM(tbl_HR_Data[[#This Row],[Age]]),#REF!,#REF!), VALUE(TRIM(tbl_HR_Data[[#This Row],[Age]])))</f>
        <v>35</v>
      </c>
      <c r="N789" t="str">
        <f>IFERROR(_xlfn.XLOOKUP(tbl_HR_Data[[#This Row],[Gender]], Mapping[Gender _Discarded], Mapping[Gender_Correction]), PROPER(TRIM(tbl_HR_Data[[#This Row],[Gender]])))</f>
        <v>Female</v>
      </c>
      <c r="O789" t="str">
        <f>TRIM(tbl_HR_Data[[#This Row],[Position]])</f>
        <v>Clerk</v>
      </c>
      <c r="P789" t="str">
        <f>IFERROR(_xlfn.XLOOKUP(tbl_HR_Data[[#This Row],[Email]], Mapping[Email_Discarded], Mapping[Email_Correction]), LOWER(TRIM(tbl_HR_Data[[#This Row],[Email]])))</f>
        <v>name@company.org</v>
      </c>
      <c r="Q78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789" t="str" cm="1">
        <f t="array" ref="R789">_xlfn.REDUCE(Q789, {"-","/","_","\","(",")"}, _xlfn.LAMBDA(_xlpm.txt,_xlpm.itm, SUBSTITUTE(_xlpm.txt, _xlpm.itm, "")))</f>
        <v>1234567890</v>
      </c>
      <c r="S789" s="3">
        <f>IFERROR(_xlfn.XLOOKUP(tbl_HR_Data[[#This Row],[Joining Date]], Mapping[Joining_Discarded], Mapping[Joining_Correction]), VALUE(tbl_HR_Data[[#This Row],[Joining Date]]))</f>
        <v>43881</v>
      </c>
      <c r="T789" t="str">
        <f>TEXT(tbl_HR_Data[[#This Row],[Joining Date]], "mmm")</f>
        <v>Feb</v>
      </c>
      <c r="U789" t="str">
        <f>TEXT(tbl_HR_Data[[#This Row],[Joining Date]], "ddd")</f>
        <v>Thu</v>
      </c>
    </row>
    <row r="790" spans="1:21" x14ac:dyDescent="0.35">
      <c r="A790" t="s">
        <v>100</v>
      </c>
      <c r="B790">
        <v>35</v>
      </c>
      <c r="C790">
        <v>70000</v>
      </c>
      <c r="D790" t="s">
        <v>11</v>
      </c>
      <c r="E790" t="s">
        <v>12</v>
      </c>
      <c r="F790" t="s">
        <v>13</v>
      </c>
      <c r="G790" s="3">
        <v>43881</v>
      </c>
      <c r="H790" t="str">
        <f>TEXT(tbl_HR_Data[[#This Row],[Joining Date]], "mmm")</f>
        <v>Feb</v>
      </c>
      <c r="I790" t="s">
        <v>92</v>
      </c>
      <c r="J790" t="s">
        <v>41</v>
      </c>
      <c r="K790" t="s">
        <v>22</v>
      </c>
      <c r="L790" t="s">
        <v>77</v>
      </c>
      <c r="M790">
        <f>IFERROR( _xlfn.XLOOKUP(TRIM(tbl_HR_Data[[#This Row],[Age]]),#REF!,#REF!), VALUE(TRIM(tbl_HR_Data[[#This Row],[Age]])))</f>
        <v>35</v>
      </c>
      <c r="N790" t="str">
        <f>IFERROR(_xlfn.XLOOKUP(tbl_HR_Data[[#This Row],[Gender]], Mapping[Gender _Discarded], Mapping[Gender_Correction]), PROPER(TRIM(tbl_HR_Data[[#This Row],[Gender]])))</f>
        <v>Male</v>
      </c>
      <c r="O790" t="str">
        <f>TRIM(tbl_HR_Data[[#This Row],[Position]])</f>
        <v>Manager</v>
      </c>
      <c r="P790" t="str">
        <f>IFERROR(_xlfn.XLOOKUP(tbl_HR_Data[[#This Row],[Email]], Mapping[Email_Discarded], Mapping[Email_Correction]), LOWER(TRIM(tbl_HR_Data[[#This Row],[Email]])))</f>
        <v>user@domain.com</v>
      </c>
      <c r="Q79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90" t="str" cm="1">
        <f t="array" ref="R790">_xlfn.REDUCE(Q790, {"-","/","_","\","(",")"}, _xlfn.LAMBDA(_xlpm.txt,_xlpm.itm, SUBSTITUTE(_xlpm.txt, _xlpm.itm, "")))</f>
        <v>Not Provided</v>
      </c>
      <c r="S790" s="3">
        <f>IFERROR(_xlfn.XLOOKUP(tbl_HR_Data[[#This Row],[Joining Date]], Mapping[Joining_Discarded], Mapping[Joining_Correction]), VALUE(tbl_HR_Data[[#This Row],[Joining Date]]))</f>
        <v>43881</v>
      </c>
      <c r="T790" t="str">
        <f>TEXT(tbl_HR_Data[[#This Row],[Joining Date]], "mmm")</f>
        <v>Feb</v>
      </c>
      <c r="U790" t="str">
        <f>TEXT(tbl_HR_Data[[#This Row],[Joining Date]], "ddd")</f>
        <v>Thu</v>
      </c>
    </row>
    <row r="791" spans="1:21" x14ac:dyDescent="0.35">
      <c r="A791" t="s">
        <v>99</v>
      </c>
      <c r="B791">
        <v>25</v>
      </c>
      <c r="C791">
        <v>0</v>
      </c>
      <c r="D791" t="s">
        <v>11</v>
      </c>
      <c r="E791" t="s">
        <v>19</v>
      </c>
      <c r="F791" t="s">
        <v>39</v>
      </c>
      <c r="G791" s="3">
        <v>43881</v>
      </c>
      <c r="H791" t="str">
        <f>TEXT(tbl_HR_Data[[#This Row],[Joining Date]], "mmm")</f>
        <v>Feb</v>
      </c>
      <c r="I791" t="s">
        <v>92</v>
      </c>
      <c r="J791" t="s">
        <v>21</v>
      </c>
      <c r="K791" t="s">
        <v>32</v>
      </c>
      <c r="L791" t="s">
        <v>88</v>
      </c>
      <c r="M791">
        <f>IFERROR( _xlfn.XLOOKUP(TRIM(tbl_HR_Data[[#This Row],[Age]]),#REF!,#REF!), VALUE(TRIM(tbl_HR_Data[[#This Row],[Age]])))</f>
        <v>25</v>
      </c>
      <c r="N791" t="str">
        <f>IFERROR(_xlfn.XLOOKUP(tbl_HR_Data[[#This Row],[Gender]], Mapping[Gender _Discarded], Mapping[Gender_Correction]), PROPER(TRIM(tbl_HR_Data[[#This Row],[Gender]])))</f>
        <v>Male</v>
      </c>
      <c r="O791" t="str">
        <f>TRIM(tbl_HR_Data[[#This Row],[Position]])</f>
        <v>Clerk</v>
      </c>
      <c r="P791" t="str">
        <f>IFERROR(_xlfn.XLOOKUP(tbl_HR_Data[[#This Row],[Email]], Mapping[Email_Discarded], Mapping[Email_Correction]), LOWER(TRIM(tbl_HR_Data[[#This Row],[Email]])))</f>
        <v>name@company.org</v>
      </c>
      <c r="Q79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791" t="str" cm="1">
        <f t="array" ref="R791">_xlfn.REDUCE(Q791, {"-","/","_","\","(",")"}, _xlfn.LAMBDA(_xlpm.txt,_xlpm.itm, SUBSTITUTE(_xlpm.txt, _xlpm.itm, "")))</f>
        <v>0987654321</v>
      </c>
      <c r="S791" s="3">
        <f>IFERROR(_xlfn.XLOOKUP(tbl_HR_Data[[#This Row],[Joining Date]], Mapping[Joining_Discarded], Mapping[Joining_Correction]), VALUE(tbl_HR_Data[[#This Row],[Joining Date]]))</f>
        <v>43881</v>
      </c>
      <c r="T791" t="str">
        <f>TEXT(tbl_HR_Data[[#This Row],[Joining Date]], "mmm")</f>
        <v>Feb</v>
      </c>
      <c r="U791" t="str">
        <f>TEXT(tbl_HR_Data[[#This Row],[Joining Date]], "ddd")</f>
        <v>Thu</v>
      </c>
    </row>
    <row r="792" spans="1:21" x14ac:dyDescent="0.35">
      <c r="A792" t="s">
        <v>107</v>
      </c>
      <c r="B792">
        <v>30</v>
      </c>
      <c r="C792">
        <v>55000</v>
      </c>
      <c r="D792" t="s">
        <v>36</v>
      </c>
      <c r="E792" t="s">
        <v>30</v>
      </c>
      <c r="F792" t="s">
        <v>39</v>
      </c>
      <c r="G792" s="3">
        <v>43881</v>
      </c>
      <c r="H792" t="str">
        <f>TEXT(tbl_HR_Data[[#This Row],[Joining Date]], "mmm")</f>
        <v>Feb</v>
      </c>
      <c r="I792" t="s">
        <v>92</v>
      </c>
      <c r="J792" t="s">
        <v>31</v>
      </c>
      <c r="K792" t="s">
        <v>77</v>
      </c>
      <c r="L792" t="s">
        <v>89</v>
      </c>
      <c r="M792">
        <f>IFERROR( _xlfn.XLOOKUP(TRIM(tbl_HR_Data[[#This Row],[Age]]),#REF!,#REF!), VALUE(TRIM(tbl_HR_Data[[#This Row],[Age]])))</f>
        <v>30</v>
      </c>
      <c r="N792" t="str">
        <f>IFERROR(_xlfn.XLOOKUP(tbl_HR_Data[[#This Row],[Gender]], Mapping[Gender _Discarded], Mapping[Gender_Correction]), PROPER(TRIM(tbl_HR_Data[[#This Row],[Gender]])))</f>
        <v>Other</v>
      </c>
      <c r="O792" t="str">
        <f>TRIM(tbl_HR_Data[[#This Row],[Position]])</f>
        <v>Clerk</v>
      </c>
      <c r="P792" t="str">
        <f>IFERROR(_xlfn.XLOOKUP(tbl_HR_Data[[#This Row],[Email]], Mapping[Email_Discarded], Mapping[Email_Correction]), LOWER(TRIM(tbl_HR_Data[[#This Row],[Email]])))</f>
        <v>not provided</v>
      </c>
      <c r="Q79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792" t="str" cm="1">
        <f t="array" ref="R792">_xlfn.REDUCE(Q792, {"-","/","_","\","(",")"}, _xlfn.LAMBDA(_xlpm.txt,_xlpm.itm, SUBSTITUTE(_xlpm.txt, _xlpm.itm, "")))</f>
        <v>5555555555</v>
      </c>
      <c r="S792" s="3">
        <f>IFERROR(_xlfn.XLOOKUP(tbl_HR_Data[[#This Row],[Joining Date]], Mapping[Joining_Discarded], Mapping[Joining_Correction]), VALUE(tbl_HR_Data[[#This Row],[Joining Date]]))</f>
        <v>43881</v>
      </c>
      <c r="T792" t="str">
        <f>TEXT(tbl_HR_Data[[#This Row],[Joining Date]], "mmm")</f>
        <v>Feb</v>
      </c>
      <c r="U792" t="str">
        <f>TEXT(tbl_HR_Data[[#This Row],[Joining Date]], "ddd")</f>
        <v>Thu</v>
      </c>
    </row>
    <row r="793" spans="1:21" x14ac:dyDescent="0.35">
      <c r="A793" t="s">
        <v>107</v>
      </c>
      <c r="B793">
        <v>40</v>
      </c>
      <c r="C793">
        <v>50000</v>
      </c>
      <c r="D793" t="s">
        <v>36</v>
      </c>
      <c r="E793" t="s">
        <v>19</v>
      </c>
      <c r="F793" t="s">
        <v>13</v>
      </c>
      <c r="G793" s="3">
        <v>43881</v>
      </c>
      <c r="H793" t="str">
        <f>TEXT(tbl_HR_Data[[#This Row],[Joining Date]], "mmm")</f>
        <v>Feb</v>
      </c>
      <c r="I793" t="s">
        <v>92</v>
      </c>
      <c r="J793" t="s">
        <v>14</v>
      </c>
      <c r="K793" t="s">
        <v>22</v>
      </c>
      <c r="L793" t="s">
        <v>88</v>
      </c>
      <c r="M793">
        <f>IFERROR( _xlfn.XLOOKUP(TRIM(tbl_HR_Data[[#This Row],[Age]]),#REF!,#REF!), VALUE(TRIM(tbl_HR_Data[[#This Row],[Age]])))</f>
        <v>40</v>
      </c>
      <c r="N793" t="str">
        <f>IFERROR(_xlfn.XLOOKUP(tbl_HR_Data[[#This Row],[Gender]], Mapping[Gender _Discarded], Mapping[Gender_Correction]), PROPER(TRIM(tbl_HR_Data[[#This Row],[Gender]])))</f>
        <v>Other</v>
      </c>
      <c r="O793" t="str">
        <f>TRIM(tbl_HR_Data[[#This Row],[Position]])</f>
        <v>Manager</v>
      </c>
      <c r="P793" t="str">
        <f>IFERROR(_xlfn.XLOOKUP(tbl_HR_Data[[#This Row],[Email]], Mapping[Email_Discarded], Mapping[Email_Correction]), LOWER(TRIM(tbl_HR_Data[[#This Row],[Email]])))</f>
        <v>user@domain.com</v>
      </c>
      <c r="Q79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793" t="str" cm="1">
        <f t="array" ref="R793">_xlfn.REDUCE(Q793, {"-","/","_","\","(",")"}, _xlfn.LAMBDA(_xlpm.txt,_xlpm.itm, SUBSTITUTE(_xlpm.txt, _xlpm.itm, "")))</f>
        <v>0987654321</v>
      </c>
      <c r="S793" s="3">
        <f>IFERROR(_xlfn.XLOOKUP(tbl_HR_Data[[#This Row],[Joining Date]], Mapping[Joining_Discarded], Mapping[Joining_Correction]), VALUE(tbl_HR_Data[[#This Row],[Joining Date]]))</f>
        <v>43881</v>
      </c>
      <c r="T793" t="str">
        <f>TEXT(tbl_HR_Data[[#This Row],[Joining Date]], "mmm")</f>
        <v>Feb</v>
      </c>
      <c r="U793" t="str">
        <f>TEXT(tbl_HR_Data[[#This Row],[Joining Date]], "ddd")</f>
        <v>Thu</v>
      </c>
    </row>
    <row r="794" spans="1:21" x14ac:dyDescent="0.35">
      <c r="A794" t="s">
        <v>106</v>
      </c>
      <c r="B794">
        <v>25</v>
      </c>
      <c r="C794">
        <v>65000</v>
      </c>
      <c r="D794" t="s">
        <v>18</v>
      </c>
      <c r="E794" t="s">
        <v>37</v>
      </c>
      <c r="F794" t="s">
        <v>13</v>
      </c>
      <c r="G794" s="3">
        <v>43881</v>
      </c>
      <c r="H794" t="str">
        <f>TEXT(tbl_HR_Data[[#This Row],[Joining Date]], "mmm")</f>
        <v>Feb</v>
      </c>
      <c r="I794" t="s">
        <v>92</v>
      </c>
      <c r="J794" t="s">
        <v>27</v>
      </c>
      <c r="K794" t="s">
        <v>15</v>
      </c>
      <c r="L794" t="s">
        <v>89</v>
      </c>
      <c r="M794">
        <f>IFERROR( _xlfn.XLOOKUP(TRIM(tbl_HR_Data[[#This Row],[Age]]),#REF!,#REF!), VALUE(TRIM(tbl_HR_Data[[#This Row],[Age]])))</f>
        <v>25</v>
      </c>
      <c r="N794" t="str">
        <f>IFERROR(_xlfn.XLOOKUP(tbl_HR_Data[[#This Row],[Gender]], Mapping[Gender _Discarded], Mapping[Gender_Correction]), PROPER(TRIM(tbl_HR_Data[[#This Row],[Gender]])))</f>
        <v>Female</v>
      </c>
      <c r="O794" t="str">
        <f>TRIM(tbl_HR_Data[[#This Row],[Position]])</f>
        <v>Manager</v>
      </c>
      <c r="P794" t="str">
        <f>IFERROR(_xlfn.XLOOKUP(tbl_HR_Data[[#This Row],[Email]], Mapping[Email_Discarded], Mapping[Email_Correction]), LOWER(TRIM(tbl_HR_Data[[#This Row],[Email]])))</f>
        <v>email@example.com</v>
      </c>
      <c r="Q79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794" t="str" cm="1">
        <f t="array" ref="R794">_xlfn.REDUCE(Q794, {"-","/","_","\","(",")"}, _xlfn.LAMBDA(_xlpm.txt,_xlpm.itm, SUBSTITUTE(_xlpm.txt, _xlpm.itm, "")))</f>
        <v>5555555555</v>
      </c>
      <c r="S794" s="3">
        <f>IFERROR(_xlfn.XLOOKUP(tbl_HR_Data[[#This Row],[Joining Date]], Mapping[Joining_Discarded], Mapping[Joining_Correction]), VALUE(tbl_HR_Data[[#This Row],[Joining Date]]))</f>
        <v>43881</v>
      </c>
      <c r="T794" t="str">
        <f>TEXT(tbl_HR_Data[[#This Row],[Joining Date]], "mmm")</f>
        <v>Feb</v>
      </c>
      <c r="U794" t="str">
        <f>TEXT(tbl_HR_Data[[#This Row],[Joining Date]], "ddd")</f>
        <v>Thu</v>
      </c>
    </row>
    <row r="795" spans="1:21" x14ac:dyDescent="0.35">
      <c r="A795" t="s">
        <v>107</v>
      </c>
      <c r="B795">
        <v>30</v>
      </c>
      <c r="C795">
        <v>55000</v>
      </c>
      <c r="D795" t="s">
        <v>36</v>
      </c>
      <c r="E795" t="s">
        <v>26</v>
      </c>
      <c r="F795" t="s">
        <v>43</v>
      </c>
      <c r="G795" s="3">
        <v>43881</v>
      </c>
      <c r="H795" t="str">
        <f>TEXT(tbl_HR_Data[[#This Row],[Joining Date]], "mmm")</f>
        <v>Feb</v>
      </c>
      <c r="I795" t="s">
        <v>92</v>
      </c>
      <c r="J795" t="s">
        <v>14</v>
      </c>
      <c r="K795" t="s">
        <v>32</v>
      </c>
      <c r="L795" t="s">
        <v>77</v>
      </c>
      <c r="M795">
        <f>IFERROR( _xlfn.XLOOKUP(TRIM(tbl_HR_Data[[#This Row],[Age]]),#REF!,#REF!), VALUE(TRIM(tbl_HR_Data[[#This Row],[Age]])))</f>
        <v>30</v>
      </c>
      <c r="N795" t="str">
        <f>IFERROR(_xlfn.XLOOKUP(tbl_HR_Data[[#This Row],[Gender]], Mapping[Gender _Discarded], Mapping[Gender_Correction]), PROPER(TRIM(tbl_HR_Data[[#This Row],[Gender]])))</f>
        <v>Other</v>
      </c>
      <c r="O795" t="str">
        <f>TRIM(tbl_HR_Data[[#This Row],[Position]])</f>
        <v>Assistant</v>
      </c>
      <c r="P795" t="str">
        <f>IFERROR(_xlfn.XLOOKUP(tbl_HR_Data[[#This Row],[Email]], Mapping[Email_Discarded], Mapping[Email_Correction]), LOWER(TRIM(tbl_HR_Data[[#This Row],[Email]])))</f>
        <v>name@company.org</v>
      </c>
      <c r="Q79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95" t="str" cm="1">
        <f t="array" ref="R795">_xlfn.REDUCE(Q795, {"-","/","_","\","(",")"}, _xlfn.LAMBDA(_xlpm.txt,_xlpm.itm, SUBSTITUTE(_xlpm.txt, _xlpm.itm, "")))</f>
        <v>Not Provided</v>
      </c>
      <c r="S795" s="3">
        <f>IFERROR(_xlfn.XLOOKUP(tbl_HR_Data[[#This Row],[Joining Date]], Mapping[Joining_Discarded], Mapping[Joining_Correction]), VALUE(tbl_HR_Data[[#This Row],[Joining Date]]))</f>
        <v>43881</v>
      </c>
      <c r="T795" t="str">
        <f>TEXT(tbl_HR_Data[[#This Row],[Joining Date]], "mmm")</f>
        <v>Feb</v>
      </c>
      <c r="U795" t="str">
        <f>TEXT(tbl_HR_Data[[#This Row],[Joining Date]], "ddd")</f>
        <v>Thu</v>
      </c>
    </row>
    <row r="796" spans="1:21" x14ac:dyDescent="0.35">
      <c r="A796" t="s">
        <v>106</v>
      </c>
      <c r="B796">
        <v>25</v>
      </c>
      <c r="C796">
        <v>0</v>
      </c>
      <c r="D796" t="s">
        <v>36</v>
      </c>
      <c r="E796" t="s">
        <v>26</v>
      </c>
      <c r="F796" t="s">
        <v>43</v>
      </c>
      <c r="G796" s="3">
        <v>43881</v>
      </c>
      <c r="H796" t="str">
        <f>TEXT(tbl_HR_Data[[#This Row],[Joining Date]], "mmm")</f>
        <v>Feb</v>
      </c>
      <c r="I796" t="s">
        <v>92</v>
      </c>
      <c r="J796" t="s">
        <v>27</v>
      </c>
      <c r="K796" t="s">
        <v>77</v>
      </c>
      <c r="L796" t="s">
        <v>77</v>
      </c>
      <c r="M796">
        <f>IFERROR( _xlfn.XLOOKUP(TRIM(tbl_HR_Data[[#This Row],[Age]]),#REF!,#REF!), VALUE(TRIM(tbl_HR_Data[[#This Row],[Age]])))</f>
        <v>25</v>
      </c>
      <c r="N796" t="str">
        <f>IFERROR(_xlfn.XLOOKUP(tbl_HR_Data[[#This Row],[Gender]], Mapping[Gender _Discarded], Mapping[Gender_Correction]), PROPER(TRIM(tbl_HR_Data[[#This Row],[Gender]])))</f>
        <v>Other</v>
      </c>
      <c r="O796" t="str">
        <f>TRIM(tbl_HR_Data[[#This Row],[Position]])</f>
        <v>Assistant</v>
      </c>
      <c r="P796" t="str">
        <f>IFERROR(_xlfn.XLOOKUP(tbl_HR_Data[[#This Row],[Email]], Mapping[Email_Discarded], Mapping[Email_Correction]), LOWER(TRIM(tbl_HR_Data[[#This Row],[Email]])))</f>
        <v>not provided</v>
      </c>
      <c r="Q79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96" t="str" cm="1">
        <f t="array" ref="R796">_xlfn.REDUCE(Q796, {"-","/","_","\","(",")"}, _xlfn.LAMBDA(_xlpm.txt,_xlpm.itm, SUBSTITUTE(_xlpm.txt, _xlpm.itm, "")))</f>
        <v>Not Provided</v>
      </c>
      <c r="S796" s="3">
        <f>IFERROR(_xlfn.XLOOKUP(tbl_HR_Data[[#This Row],[Joining Date]], Mapping[Joining_Discarded], Mapping[Joining_Correction]), VALUE(tbl_HR_Data[[#This Row],[Joining Date]]))</f>
        <v>43881</v>
      </c>
      <c r="T796" t="str">
        <f>TEXT(tbl_HR_Data[[#This Row],[Joining Date]], "mmm")</f>
        <v>Feb</v>
      </c>
      <c r="U796" t="str">
        <f>TEXT(tbl_HR_Data[[#This Row],[Joining Date]], "ddd")</f>
        <v>Thu</v>
      </c>
    </row>
    <row r="797" spans="1:21" x14ac:dyDescent="0.35">
      <c r="A797" t="s">
        <v>104</v>
      </c>
      <c r="B797">
        <v>35</v>
      </c>
      <c r="C797">
        <v>0</v>
      </c>
      <c r="D797" t="s">
        <v>36</v>
      </c>
      <c r="E797" t="s">
        <v>30</v>
      </c>
      <c r="F797" t="s">
        <v>44</v>
      </c>
      <c r="G797" s="3">
        <v>43881</v>
      </c>
      <c r="H797" t="str">
        <f>TEXT(tbl_HR_Data[[#This Row],[Joining Date]], "mmm")</f>
        <v>Feb</v>
      </c>
      <c r="I797" t="s">
        <v>92</v>
      </c>
      <c r="J797" t="s">
        <v>27</v>
      </c>
      <c r="K797" t="s">
        <v>15</v>
      </c>
      <c r="L797" t="s">
        <v>77</v>
      </c>
      <c r="M797">
        <f>IFERROR( _xlfn.XLOOKUP(TRIM(tbl_HR_Data[[#This Row],[Age]]),#REF!,#REF!), VALUE(TRIM(tbl_HR_Data[[#This Row],[Age]])))</f>
        <v>35</v>
      </c>
      <c r="N797" t="str">
        <f>IFERROR(_xlfn.XLOOKUP(tbl_HR_Data[[#This Row],[Gender]], Mapping[Gender _Discarded], Mapping[Gender_Correction]), PROPER(TRIM(tbl_HR_Data[[#This Row],[Gender]])))</f>
        <v>Other</v>
      </c>
      <c r="O797" t="str">
        <f>TRIM(tbl_HR_Data[[#This Row],[Position]])</f>
        <v>Analyst</v>
      </c>
      <c r="P797" t="str">
        <f>IFERROR(_xlfn.XLOOKUP(tbl_HR_Data[[#This Row],[Email]], Mapping[Email_Discarded], Mapping[Email_Correction]), LOWER(TRIM(tbl_HR_Data[[#This Row],[Email]])))</f>
        <v>email@example.com</v>
      </c>
      <c r="Q79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97" t="str" cm="1">
        <f t="array" ref="R797">_xlfn.REDUCE(Q797, {"-","/","_","\","(",")"}, _xlfn.LAMBDA(_xlpm.txt,_xlpm.itm, SUBSTITUTE(_xlpm.txt, _xlpm.itm, "")))</f>
        <v>Not Provided</v>
      </c>
      <c r="S797" s="3">
        <f>IFERROR(_xlfn.XLOOKUP(tbl_HR_Data[[#This Row],[Joining Date]], Mapping[Joining_Discarded], Mapping[Joining_Correction]), VALUE(tbl_HR_Data[[#This Row],[Joining Date]]))</f>
        <v>43881</v>
      </c>
      <c r="T797" t="str">
        <f>TEXT(tbl_HR_Data[[#This Row],[Joining Date]], "mmm")</f>
        <v>Feb</v>
      </c>
      <c r="U797" t="str">
        <f>TEXT(tbl_HR_Data[[#This Row],[Joining Date]], "ddd")</f>
        <v>Thu</v>
      </c>
    </row>
    <row r="798" spans="1:21" x14ac:dyDescent="0.35">
      <c r="A798" t="s">
        <v>104</v>
      </c>
      <c r="B798">
        <v>25</v>
      </c>
      <c r="C798">
        <v>70000</v>
      </c>
      <c r="D798" t="s">
        <v>11</v>
      </c>
      <c r="E798" t="s">
        <v>26</v>
      </c>
      <c r="F798" t="s">
        <v>13</v>
      </c>
      <c r="G798" s="3">
        <v>43881</v>
      </c>
      <c r="H798" t="str">
        <f>TEXT(tbl_HR_Data[[#This Row],[Joining Date]], "mmm")</f>
        <v>Feb</v>
      </c>
      <c r="I798" t="s">
        <v>92</v>
      </c>
      <c r="J798" t="s">
        <v>41</v>
      </c>
      <c r="K798" t="s">
        <v>22</v>
      </c>
      <c r="L798" t="s">
        <v>77</v>
      </c>
      <c r="M798">
        <f>IFERROR( _xlfn.XLOOKUP(TRIM(tbl_HR_Data[[#This Row],[Age]]),#REF!,#REF!), VALUE(TRIM(tbl_HR_Data[[#This Row],[Age]])))</f>
        <v>25</v>
      </c>
      <c r="N798" t="str">
        <f>IFERROR(_xlfn.XLOOKUP(tbl_HR_Data[[#This Row],[Gender]], Mapping[Gender _Discarded], Mapping[Gender_Correction]), PROPER(TRIM(tbl_HR_Data[[#This Row],[Gender]])))</f>
        <v>Male</v>
      </c>
      <c r="O798" t="str">
        <f>TRIM(tbl_HR_Data[[#This Row],[Position]])</f>
        <v>Manager</v>
      </c>
      <c r="P798" t="str">
        <f>IFERROR(_xlfn.XLOOKUP(tbl_HR_Data[[#This Row],[Email]], Mapping[Email_Discarded], Mapping[Email_Correction]), LOWER(TRIM(tbl_HR_Data[[#This Row],[Email]])))</f>
        <v>user@domain.com</v>
      </c>
      <c r="Q79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798" t="str" cm="1">
        <f t="array" ref="R798">_xlfn.REDUCE(Q798, {"-","/","_","\","(",")"}, _xlfn.LAMBDA(_xlpm.txt,_xlpm.itm, SUBSTITUTE(_xlpm.txt, _xlpm.itm, "")))</f>
        <v>Not Provided</v>
      </c>
      <c r="S798" s="3">
        <f>IFERROR(_xlfn.XLOOKUP(tbl_HR_Data[[#This Row],[Joining Date]], Mapping[Joining_Discarded], Mapping[Joining_Correction]), VALUE(tbl_HR_Data[[#This Row],[Joining Date]]))</f>
        <v>43881</v>
      </c>
      <c r="T798" t="str">
        <f>TEXT(tbl_HR_Data[[#This Row],[Joining Date]], "mmm")</f>
        <v>Feb</v>
      </c>
      <c r="U798" t="str">
        <f>TEXT(tbl_HR_Data[[#This Row],[Joining Date]], "ddd")</f>
        <v>Thu</v>
      </c>
    </row>
    <row r="799" spans="1:21" x14ac:dyDescent="0.35">
      <c r="A799" t="s">
        <v>102</v>
      </c>
      <c r="B799">
        <v>35</v>
      </c>
      <c r="C799">
        <v>55000</v>
      </c>
      <c r="D799" t="s">
        <v>18</v>
      </c>
      <c r="E799" t="s">
        <v>26</v>
      </c>
      <c r="F799" t="s">
        <v>43</v>
      </c>
      <c r="G799" s="3">
        <v>43881</v>
      </c>
      <c r="H799" t="str">
        <f>TEXT(tbl_HR_Data[[#This Row],[Joining Date]], "mmm")</f>
        <v>Feb</v>
      </c>
      <c r="I799" t="s">
        <v>92</v>
      </c>
      <c r="J799" t="s">
        <v>21</v>
      </c>
      <c r="K799" t="s">
        <v>22</v>
      </c>
      <c r="L799" t="s">
        <v>89</v>
      </c>
      <c r="M799">
        <f>IFERROR( _xlfn.XLOOKUP(TRIM(tbl_HR_Data[[#This Row],[Age]]),#REF!,#REF!), VALUE(TRIM(tbl_HR_Data[[#This Row],[Age]])))</f>
        <v>35</v>
      </c>
      <c r="N799" t="str">
        <f>IFERROR(_xlfn.XLOOKUP(tbl_HR_Data[[#This Row],[Gender]], Mapping[Gender _Discarded], Mapping[Gender_Correction]), PROPER(TRIM(tbl_HR_Data[[#This Row],[Gender]])))</f>
        <v>Female</v>
      </c>
      <c r="O799" t="str">
        <f>TRIM(tbl_HR_Data[[#This Row],[Position]])</f>
        <v>Assistant</v>
      </c>
      <c r="P799" t="str">
        <f>IFERROR(_xlfn.XLOOKUP(tbl_HR_Data[[#This Row],[Email]], Mapping[Email_Discarded], Mapping[Email_Correction]), LOWER(TRIM(tbl_HR_Data[[#This Row],[Email]])))</f>
        <v>user@domain.com</v>
      </c>
      <c r="Q79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799" t="str" cm="1">
        <f t="array" ref="R799">_xlfn.REDUCE(Q799, {"-","/","_","\","(",")"}, _xlfn.LAMBDA(_xlpm.txt,_xlpm.itm, SUBSTITUTE(_xlpm.txt, _xlpm.itm, "")))</f>
        <v>5555555555</v>
      </c>
      <c r="S799" s="3">
        <f>IFERROR(_xlfn.XLOOKUP(tbl_HR_Data[[#This Row],[Joining Date]], Mapping[Joining_Discarded], Mapping[Joining_Correction]), VALUE(tbl_HR_Data[[#This Row],[Joining Date]]))</f>
        <v>43881</v>
      </c>
      <c r="T799" t="str">
        <f>TEXT(tbl_HR_Data[[#This Row],[Joining Date]], "mmm")</f>
        <v>Feb</v>
      </c>
      <c r="U799" t="str">
        <f>TEXT(tbl_HR_Data[[#This Row],[Joining Date]], "ddd")</f>
        <v>Thu</v>
      </c>
    </row>
    <row r="800" spans="1:21" x14ac:dyDescent="0.35">
      <c r="A800" t="s">
        <v>107</v>
      </c>
      <c r="B800">
        <v>30</v>
      </c>
      <c r="C800">
        <v>70000</v>
      </c>
      <c r="D800" t="s">
        <v>11</v>
      </c>
      <c r="E800" t="s">
        <v>12</v>
      </c>
      <c r="F800" t="s">
        <v>39</v>
      </c>
      <c r="G800" s="3">
        <v>43881</v>
      </c>
      <c r="H800" t="str">
        <f>TEXT(tbl_HR_Data[[#This Row],[Joining Date]], "mmm")</f>
        <v>Feb</v>
      </c>
      <c r="I800" t="s">
        <v>92</v>
      </c>
      <c r="J800" t="s">
        <v>31</v>
      </c>
      <c r="K800" t="s">
        <v>77</v>
      </c>
      <c r="L800" t="s">
        <v>77</v>
      </c>
      <c r="M800">
        <f>IFERROR( _xlfn.XLOOKUP(TRIM(tbl_HR_Data[[#This Row],[Age]]),#REF!,#REF!), VALUE(TRIM(tbl_HR_Data[[#This Row],[Age]])))</f>
        <v>30</v>
      </c>
      <c r="N800" t="str">
        <f>IFERROR(_xlfn.XLOOKUP(tbl_HR_Data[[#This Row],[Gender]], Mapping[Gender _Discarded], Mapping[Gender_Correction]), PROPER(TRIM(tbl_HR_Data[[#This Row],[Gender]])))</f>
        <v>Male</v>
      </c>
      <c r="O800" t="str">
        <f>TRIM(tbl_HR_Data[[#This Row],[Position]])</f>
        <v>Clerk</v>
      </c>
      <c r="P800" t="str">
        <f>IFERROR(_xlfn.XLOOKUP(tbl_HR_Data[[#This Row],[Email]], Mapping[Email_Discarded], Mapping[Email_Correction]), LOWER(TRIM(tbl_HR_Data[[#This Row],[Email]])))</f>
        <v>not provided</v>
      </c>
      <c r="Q80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00" t="str" cm="1">
        <f t="array" ref="R800">_xlfn.REDUCE(Q800, {"-","/","_","\","(",")"}, _xlfn.LAMBDA(_xlpm.txt,_xlpm.itm, SUBSTITUTE(_xlpm.txt, _xlpm.itm, "")))</f>
        <v>Not Provided</v>
      </c>
      <c r="S800" s="3">
        <f>IFERROR(_xlfn.XLOOKUP(tbl_HR_Data[[#This Row],[Joining Date]], Mapping[Joining_Discarded], Mapping[Joining_Correction]), VALUE(tbl_HR_Data[[#This Row],[Joining Date]]))</f>
        <v>43881</v>
      </c>
      <c r="T800" t="str">
        <f>TEXT(tbl_HR_Data[[#This Row],[Joining Date]], "mmm")</f>
        <v>Feb</v>
      </c>
      <c r="U800" t="str">
        <f>TEXT(tbl_HR_Data[[#This Row],[Joining Date]], "ddd")</f>
        <v>Thu</v>
      </c>
    </row>
    <row r="801" spans="1:21" x14ac:dyDescent="0.35">
      <c r="A801" t="s">
        <v>99</v>
      </c>
      <c r="B801">
        <v>35</v>
      </c>
      <c r="C801">
        <v>65000</v>
      </c>
      <c r="D801" t="s">
        <v>36</v>
      </c>
      <c r="E801" t="s">
        <v>12</v>
      </c>
      <c r="F801" t="s">
        <v>13</v>
      </c>
      <c r="G801" s="3">
        <v>43881</v>
      </c>
      <c r="H801" t="str">
        <f>TEXT(tbl_HR_Data[[#This Row],[Joining Date]], "mmm")</f>
        <v>Feb</v>
      </c>
      <c r="I801" t="s">
        <v>92</v>
      </c>
      <c r="J801" t="s">
        <v>31</v>
      </c>
      <c r="K801" t="s">
        <v>32</v>
      </c>
      <c r="L801" t="s">
        <v>89</v>
      </c>
      <c r="M801">
        <f>IFERROR( _xlfn.XLOOKUP(TRIM(tbl_HR_Data[[#This Row],[Age]]),#REF!,#REF!), VALUE(TRIM(tbl_HR_Data[[#This Row],[Age]])))</f>
        <v>35</v>
      </c>
      <c r="N801" t="str">
        <f>IFERROR(_xlfn.XLOOKUP(tbl_HR_Data[[#This Row],[Gender]], Mapping[Gender _Discarded], Mapping[Gender_Correction]), PROPER(TRIM(tbl_HR_Data[[#This Row],[Gender]])))</f>
        <v>Other</v>
      </c>
      <c r="O801" t="str">
        <f>TRIM(tbl_HR_Data[[#This Row],[Position]])</f>
        <v>Manager</v>
      </c>
      <c r="P801" t="str">
        <f>IFERROR(_xlfn.XLOOKUP(tbl_HR_Data[[#This Row],[Email]], Mapping[Email_Discarded], Mapping[Email_Correction]), LOWER(TRIM(tbl_HR_Data[[#This Row],[Email]])))</f>
        <v>name@company.org</v>
      </c>
      <c r="Q80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801" t="str" cm="1">
        <f t="array" ref="R801">_xlfn.REDUCE(Q801, {"-","/","_","\","(",")"}, _xlfn.LAMBDA(_xlpm.txt,_xlpm.itm, SUBSTITUTE(_xlpm.txt, _xlpm.itm, "")))</f>
        <v>5555555555</v>
      </c>
      <c r="S801" s="3">
        <f>IFERROR(_xlfn.XLOOKUP(tbl_HR_Data[[#This Row],[Joining Date]], Mapping[Joining_Discarded], Mapping[Joining_Correction]), VALUE(tbl_HR_Data[[#This Row],[Joining Date]]))</f>
        <v>43881</v>
      </c>
      <c r="T801" t="str">
        <f>TEXT(tbl_HR_Data[[#This Row],[Joining Date]], "mmm")</f>
        <v>Feb</v>
      </c>
      <c r="U801" t="str">
        <f>TEXT(tbl_HR_Data[[#This Row],[Joining Date]], "ddd")</f>
        <v>Thu</v>
      </c>
    </row>
    <row r="802" spans="1:21" x14ac:dyDescent="0.35">
      <c r="A802" t="s">
        <v>102</v>
      </c>
      <c r="B802">
        <v>50</v>
      </c>
      <c r="C802">
        <v>55000</v>
      </c>
      <c r="D802" t="s">
        <v>11</v>
      </c>
      <c r="E802" t="s">
        <v>12</v>
      </c>
      <c r="F802" t="s">
        <v>39</v>
      </c>
      <c r="G802" s="3">
        <v>43881</v>
      </c>
      <c r="H802" t="str">
        <f>TEXT(tbl_HR_Data[[#This Row],[Joining Date]], "mmm")</f>
        <v>Feb</v>
      </c>
      <c r="I802" t="s">
        <v>92</v>
      </c>
      <c r="J802" t="s">
        <v>27</v>
      </c>
      <c r="K802" t="s">
        <v>77</v>
      </c>
      <c r="L802" t="s">
        <v>77</v>
      </c>
      <c r="M802">
        <f>IFERROR( _xlfn.XLOOKUP(TRIM(tbl_HR_Data[[#This Row],[Age]]),#REF!,#REF!), VALUE(TRIM(tbl_HR_Data[[#This Row],[Age]])))</f>
        <v>50</v>
      </c>
      <c r="N802" t="str">
        <f>IFERROR(_xlfn.XLOOKUP(tbl_HR_Data[[#This Row],[Gender]], Mapping[Gender _Discarded], Mapping[Gender_Correction]), PROPER(TRIM(tbl_HR_Data[[#This Row],[Gender]])))</f>
        <v>Male</v>
      </c>
      <c r="O802" t="str">
        <f>TRIM(tbl_HR_Data[[#This Row],[Position]])</f>
        <v>Clerk</v>
      </c>
      <c r="P802" t="str">
        <f>IFERROR(_xlfn.XLOOKUP(tbl_HR_Data[[#This Row],[Email]], Mapping[Email_Discarded], Mapping[Email_Correction]), LOWER(TRIM(tbl_HR_Data[[#This Row],[Email]])))</f>
        <v>not provided</v>
      </c>
      <c r="Q80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02" t="str" cm="1">
        <f t="array" ref="R802">_xlfn.REDUCE(Q802, {"-","/","_","\","(",")"}, _xlfn.LAMBDA(_xlpm.txt,_xlpm.itm, SUBSTITUTE(_xlpm.txt, _xlpm.itm, "")))</f>
        <v>Not Provided</v>
      </c>
      <c r="S802" s="3">
        <f>IFERROR(_xlfn.XLOOKUP(tbl_HR_Data[[#This Row],[Joining Date]], Mapping[Joining_Discarded], Mapping[Joining_Correction]), VALUE(tbl_HR_Data[[#This Row],[Joining Date]]))</f>
        <v>43881</v>
      </c>
      <c r="T802" t="str">
        <f>TEXT(tbl_HR_Data[[#This Row],[Joining Date]], "mmm")</f>
        <v>Feb</v>
      </c>
      <c r="U802" t="str">
        <f>TEXT(tbl_HR_Data[[#This Row],[Joining Date]], "ddd")</f>
        <v>Thu</v>
      </c>
    </row>
    <row r="803" spans="1:21" x14ac:dyDescent="0.35">
      <c r="A803" t="s">
        <v>102</v>
      </c>
      <c r="B803">
        <v>30</v>
      </c>
      <c r="C803">
        <v>60000</v>
      </c>
      <c r="D803" t="s">
        <v>11</v>
      </c>
      <c r="E803" t="s">
        <v>26</v>
      </c>
      <c r="F803" t="s">
        <v>13</v>
      </c>
      <c r="G803" s="3">
        <v>43881</v>
      </c>
      <c r="H803" t="str">
        <f>TEXT(tbl_HR_Data[[#This Row],[Joining Date]], "mmm")</f>
        <v>Feb</v>
      </c>
      <c r="I803" t="s">
        <v>92</v>
      </c>
      <c r="J803" t="s">
        <v>27</v>
      </c>
      <c r="K803" t="s">
        <v>32</v>
      </c>
      <c r="L803" t="s">
        <v>77</v>
      </c>
      <c r="M803">
        <f>IFERROR( _xlfn.XLOOKUP(TRIM(tbl_HR_Data[[#This Row],[Age]]),#REF!,#REF!), VALUE(TRIM(tbl_HR_Data[[#This Row],[Age]])))</f>
        <v>30</v>
      </c>
      <c r="N803" t="str">
        <f>IFERROR(_xlfn.XLOOKUP(tbl_HR_Data[[#This Row],[Gender]], Mapping[Gender _Discarded], Mapping[Gender_Correction]), PROPER(TRIM(tbl_HR_Data[[#This Row],[Gender]])))</f>
        <v>Male</v>
      </c>
      <c r="O803" t="str">
        <f>TRIM(tbl_HR_Data[[#This Row],[Position]])</f>
        <v>Manager</v>
      </c>
      <c r="P803" t="str">
        <f>IFERROR(_xlfn.XLOOKUP(tbl_HR_Data[[#This Row],[Email]], Mapping[Email_Discarded], Mapping[Email_Correction]), LOWER(TRIM(tbl_HR_Data[[#This Row],[Email]])))</f>
        <v>name@company.org</v>
      </c>
      <c r="Q80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03" t="str" cm="1">
        <f t="array" ref="R803">_xlfn.REDUCE(Q803, {"-","/","_","\","(",")"}, _xlfn.LAMBDA(_xlpm.txt,_xlpm.itm, SUBSTITUTE(_xlpm.txt, _xlpm.itm, "")))</f>
        <v>Not Provided</v>
      </c>
      <c r="S803" s="3">
        <f>IFERROR(_xlfn.XLOOKUP(tbl_HR_Data[[#This Row],[Joining Date]], Mapping[Joining_Discarded], Mapping[Joining_Correction]), VALUE(tbl_HR_Data[[#This Row],[Joining Date]]))</f>
        <v>43881</v>
      </c>
      <c r="T803" t="str">
        <f>TEXT(tbl_HR_Data[[#This Row],[Joining Date]], "mmm")</f>
        <v>Feb</v>
      </c>
      <c r="U803" t="str">
        <f>TEXT(tbl_HR_Data[[#This Row],[Joining Date]], "ddd")</f>
        <v>Thu</v>
      </c>
    </row>
    <row r="804" spans="1:21" x14ac:dyDescent="0.35">
      <c r="A804" t="s">
        <v>108</v>
      </c>
      <c r="B804">
        <v>40</v>
      </c>
      <c r="C804">
        <v>65000</v>
      </c>
      <c r="D804" t="s">
        <v>11</v>
      </c>
      <c r="E804" t="s">
        <v>37</v>
      </c>
      <c r="F804" t="s">
        <v>44</v>
      </c>
      <c r="G804" s="3">
        <v>43881</v>
      </c>
      <c r="H804" t="str">
        <f>TEXT(tbl_HR_Data[[#This Row],[Joining Date]], "mmm")</f>
        <v>Feb</v>
      </c>
      <c r="I804" t="s">
        <v>92</v>
      </c>
      <c r="J804" t="s">
        <v>14</v>
      </c>
      <c r="K804" t="s">
        <v>15</v>
      </c>
      <c r="L804" t="s">
        <v>89</v>
      </c>
      <c r="M804">
        <f>IFERROR( _xlfn.XLOOKUP(TRIM(tbl_HR_Data[[#This Row],[Age]]),#REF!,#REF!), VALUE(TRIM(tbl_HR_Data[[#This Row],[Age]])))</f>
        <v>40</v>
      </c>
      <c r="N804" t="str">
        <f>IFERROR(_xlfn.XLOOKUP(tbl_HR_Data[[#This Row],[Gender]], Mapping[Gender _Discarded], Mapping[Gender_Correction]), PROPER(TRIM(tbl_HR_Data[[#This Row],[Gender]])))</f>
        <v>Male</v>
      </c>
      <c r="O804" t="str">
        <f>TRIM(tbl_HR_Data[[#This Row],[Position]])</f>
        <v>Analyst</v>
      </c>
      <c r="P804" t="str">
        <f>IFERROR(_xlfn.XLOOKUP(tbl_HR_Data[[#This Row],[Email]], Mapping[Email_Discarded], Mapping[Email_Correction]), LOWER(TRIM(tbl_HR_Data[[#This Row],[Email]])))</f>
        <v>email@example.com</v>
      </c>
      <c r="Q80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804" t="str" cm="1">
        <f t="array" ref="R804">_xlfn.REDUCE(Q804, {"-","/","_","\","(",")"}, _xlfn.LAMBDA(_xlpm.txt,_xlpm.itm, SUBSTITUTE(_xlpm.txt, _xlpm.itm, "")))</f>
        <v>5555555555</v>
      </c>
      <c r="S804" s="3">
        <f>IFERROR(_xlfn.XLOOKUP(tbl_HR_Data[[#This Row],[Joining Date]], Mapping[Joining_Discarded], Mapping[Joining_Correction]), VALUE(tbl_HR_Data[[#This Row],[Joining Date]]))</f>
        <v>43881</v>
      </c>
      <c r="T804" t="str">
        <f>TEXT(tbl_HR_Data[[#This Row],[Joining Date]], "mmm")</f>
        <v>Feb</v>
      </c>
      <c r="U804" t="str">
        <f>TEXT(tbl_HR_Data[[#This Row],[Joining Date]], "ddd")</f>
        <v>Thu</v>
      </c>
    </row>
    <row r="805" spans="1:21" x14ac:dyDescent="0.35">
      <c r="A805" t="s">
        <v>99</v>
      </c>
      <c r="B805">
        <v>0</v>
      </c>
      <c r="C805">
        <v>55000</v>
      </c>
      <c r="D805" t="s">
        <v>11</v>
      </c>
      <c r="E805" t="s">
        <v>37</v>
      </c>
      <c r="F805" t="s">
        <v>39</v>
      </c>
      <c r="G805" s="3">
        <v>43881</v>
      </c>
      <c r="H805" t="str">
        <f>TEXT(tbl_HR_Data[[#This Row],[Joining Date]], "mmm")</f>
        <v>Feb</v>
      </c>
      <c r="I805" t="s">
        <v>92</v>
      </c>
      <c r="J805" t="s">
        <v>27</v>
      </c>
      <c r="K805" t="s">
        <v>77</v>
      </c>
      <c r="L805" t="s">
        <v>87</v>
      </c>
      <c r="M805">
        <f>IFERROR( _xlfn.XLOOKUP(TRIM(tbl_HR_Data[[#This Row],[Age]]),#REF!,#REF!), VALUE(TRIM(tbl_HR_Data[[#This Row],[Age]])))</f>
        <v>0</v>
      </c>
      <c r="N805" t="str">
        <f>IFERROR(_xlfn.XLOOKUP(tbl_HR_Data[[#This Row],[Gender]], Mapping[Gender _Discarded], Mapping[Gender_Correction]), PROPER(TRIM(tbl_HR_Data[[#This Row],[Gender]])))</f>
        <v>Male</v>
      </c>
      <c r="O805" t="str">
        <f>TRIM(tbl_HR_Data[[#This Row],[Position]])</f>
        <v>Clerk</v>
      </c>
      <c r="P805" t="str">
        <f>IFERROR(_xlfn.XLOOKUP(tbl_HR_Data[[#This Row],[Email]], Mapping[Email_Discarded], Mapping[Email_Correction]), LOWER(TRIM(tbl_HR_Data[[#This Row],[Email]])))</f>
        <v>not provided</v>
      </c>
      <c r="Q80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805" t="str" cm="1">
        <f t="array" ref="R805">_xlfn.REDUCE(Q805, {"-","/","_","\","(",")"}, _xlfn.LAMBDA(_xlpm.txt,_xlpm.itm, SUBSTITUTE(_xlpm.txt, _xlpm.itm, "")))</f>
        <v>1234567890</v>
      </c>
      <c r="S805" s="3">
        <f>IFERROR(_xlfn.XLOOKUP(tbl_HR_Data[[#This Row],[Joining Date]], Mapping[Joining_Discarded], Mapping[Joining_Correction]), VALUE(tbl_HR_Data[[#This Row],[Joining Date]]))</f>
        <v>43881</v>
      </c>
      <c r="T805" t="str">
        <f>TEXT(tbl_HR_Data[[#This Row],[Joining Date]], "mmm")</f>
        <v>Feb</v>
      </c>
      <c r="U805" t="str">
        <f>TEXT(tbl_HR_Data[[#This Row],[Joining Date]], "ddd")</f>
        <v>Thu</v>
      </c>
    </row>
    <row r="806" spans="1:21" x14ac:dyDescent="0.35">
      <c r="A806" t="s">
        <v>99</v>
      </c>
      <c r="B806">
        <v>25</v>
      </c>
      <c r="C806">
        <v>0</v>
      </c>
      <c r="D806" t="s">
        <v>36</v>
      </c>
      <c r="E806" t="s">
        <v>30</v>
      </c>
      <c r="F806" t="s">
        <v>13</v>
      </c>
      <c r="G806" s="3">
        <v>43881</v>
      </c>
      <c r="H806" t="str">
        <f>TEXT(tbl_HR_Data[[#This Row],[Joining Date]], "mmm")</f>
        <v>Feb</v>
      </c>
      <c r="I806" t="s">
        <v>92</v>
      </c>
      <c r="J806" t="s">
        <v>31</v>
      </c>
      <c r="K806" t="s">
        <v>22</v>
      </c>
      <c r="L806" t="s">
        <v>88</v>
      </c>
      <c r="M806">
        <f>IFERROR( _xlfn.XLOOKUP(TRIM(tbl_HR_Data[[#This Row],[Age]]),#REF!,#REF!), VALUE(TRIM(tbl_HR_Data[[#This Row],[Age]])))</f>
        <v>25</v>
      </c>
      <c r="N806" t="str">
        <f>IFERROR(_xlfn.XLOOKUP(tbl_HR_Data[[#This Row],[Gender]], Mapping[Gender _Discarded], Mapping[Gender_Correction]), PROPER(TRIM(tbl_HR_Data[[#This Row],[Gender]])))</f>
        <v>Other</v>
      </c>
      <c r="O806" t="str">
        <f>TRIM(tbl_HR_Data[[#This Row],[Position]])</f>
        <v>Manager</v>
      </c>
      <c r="P806" t="str">
        <f>IFERROR(_xlfn.XLOOKUP(tbl_HR_Data[[#This Row],[Email]], Mapping[Email_Discarded], Mapping[Email_Correction]), LOWER(TRIM(tbl_HR_Data[[#This Row],[Email]])))</f>
        <v>user@domain.com</v>
      </c>
      <c r="Q80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806" t="str" cm="1">
        <f t="array" ref="R806">_xlfn.REDUCE(Q806, {"-","/","_","\","(",")"}, _xlfn.LAMBDA(_xlpm.txt,_xlpm.itm, SUBSTITUTE(_xlpm.txt, _xlpm.itm, "")))</f>
        <v>0987654321</v>
      </c>
      <c r="S806" s="3">
        <f>IFERROR(_xlfn.XLOOKUP(tbl_HR_Data[[#This Row],[Joining Date]], Mapping[Joining_Discarded], Mapping[Joining_Correction]), VALUE(tbl_HR_Data[[#This Row],[Joining Date]]))</f>
        <v>43881</v>
      </c>
      <c r="T806" t="str">
        <f>TEXT(tbl_HR_Data[[#This Row],[Joining Date]], "mmm")</f>
        <v>Feb</v>
      </c>
      <c r="U806" t="str">
        <f>TEXT(tbl_HR_Data[[#This Row],[Joining Date]], "ddd")</f>
        <v>Thu</v>
      </c>
    </row>
    <row r="807" spans="1:21" x14ac:dyDescent="0.35">
      <c r="A807" t="s">
        <v>108</v>
      </c>
      <c r="B807">
        <v>25</v>
      </c>
      <c r="C807">
        <v>70000</v>
      </c>
      <c r="D807" t="s">
        <v>11</v>
      </c>
      <c r="E807" t="s">
        <v>26</v>
      </c>
      <c r="F807" t="s">
        <v>13</v>
      </c>
      <c r="G807" s="3">
        <v>43881</v>
      </c>
      <c r="H807" t="str">
        <f>TEXT(tbl_HR_Data[[#This Row],[Joining Date]], "mmm")</f>
        <v>Feb</v>
      </c>
      <c r="I807" t="s">
        <v>92</v>
      </c>
      <c r="J807" t="s">
        <v>31</v>
      </c>
      <c r="K807" t="s">
        <v>77</v>
      </c>
      <c r="L807" t="s">
        <v>88</v>
      </c>
      <c r="M807">
        <f>IFERROR( _xlfn.XLOOKUP(TRIM(tbl_HR_Data[[#This Row],[Age]]),#REF!,#REF!), VALUE(TRIM(tbl_HR_Data[[#This Row],[Age]])))</f>
        <v>25</v>
      </c>
      <c r="N807" t="str">
        <f>IFERROR(_xlfn.XLOOKUP(tbl_HR_Data[[#This Row],[Gender]], Mapping[Gender _Discarded], Mapping[Gender_Correction]), PROPER(TRIM(tbl_HR_Data[[#This Row],[Gender]])))</f>
        <v>Male</v>
      </c>
      <c r="O807" t="str">
        <f>TRIM(tbl_HR_Data[[#This Row],[Position]])</f>
        <v>Manager</v>
      </c>
      <c r="P807" t="str">
        <f>IFERROR(_xlfn.XLOOKUP(tbl_HR_Data[[#This Row],[Email]], Mapping[Email_Discarded], Mapping[Email_Correction]), LOWER(TRIM(tbl_HR_Data[[#This Row],[Email]])))</f>
        <v>not provided</v>
      </c>
      <c r="Q80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807" t="str" cm="1">
        <f t="array" ref="R807">_xlfn.REDUCE(Q807, {"-","/","_","\","(",")"}, _xlfn.LAMBDA(_xlpm.txt,_xlpm.itm, SUBSTITUTE(_xlpm.txt, _xlpm.itm, "")))</f>
        <v>0987654321</v>
      </c>
      <c r="S807" s="3">
        <f>IFERROR(_xlfn.XLOOKUP(tbl_HR_Data[[#This Row],[Joining Date]], Mapping[Joining_Discarded], Mapping[Joining_Correction]), VALUE(tbl_HR_Data[[#This Row],[Joining Date]]))</f>
        <v>43881</v>
      </c>
      <c r="T807" t="str">
        <f>TEXT(tbl_HR_Data[[#This Row],[Joining Date]], "mmm")</f>
        <v>Feb</v>
      </c>
      <c r="U807" t="str">
        <f>TEXT(tbl_HR_Data[[#This Row],[Joining Date]], "ddd")</f>
        <v>Thu</v>
      </c>
    </row>
    <row r="808" spans="1:21" x14ac:dyDescent="0.35">
      <c r="A808" t="s">
        <v>106</v>
      </c>
      <c r="B808">
        <v>50</v>
      </c>
      <c r="C808">
        <v>50000</v>
      </c>
      <c r="D808" t="s">
        <v>11</v>
      </c>
      <c r="E808" t="s">
        <v>12</v>
      </c>
      <c r="F808" t="s">
        <v>13</v>
      </c>
      <c r="G808" s="3">
        <v>43881</v>
      </c>
      <c r="H808" t="str">
        <f>TEXT(tbl_HR_Data[[#This Row],[Joining Date]], "mmm")</f>
        <v>Feb</v>
      </c>
      <c r="I808" t="s">
        <v>92</v>
      </c>
      <c r="J808" t="s">
        <v>14</v>
      </c>
      <c r="K808" t="s">
        <v>22</v>
      </c>
      <c r="L808" t="s">
        <v>88</v>
      </c>
      <c r="M808">
        <f>IFERROR( _xlfn.XLOOKUP(TRIM(tbl_HR_Data[[#This Row],[Age]]),#REF!,#REF!), VALUE(TRIM(tbl_HR_Data[[#This Row],[Age]])))</f>
        <v>50</v>
      </c>
      <c r="N808" t="str">
        <f>IFERROR(_xlfn.XLOOKUP(tbl_HR_Data[[#This Row],[Gender]], Mapping[Gender _Discarded], Mapping[Gender_Correction]), PROPER(TRIM(tbl_HR_Data[[#This Row],[Gender]])))</f>
        <v>Male</v>
      </c>
      <c r="O808" t="str">
        <f>TRIM(tbl_HR_Data[[#This Row],[Position]])</f>
        <v>Manager</v>
      </c>
      <c r="P808" t="str">
        <f>IFERROR(_xlfn.XLOOKUP(tbl_HR_Data[[#This Row],[Email]], Mapping[Email_Discarded], Mapping[Email_Correction]), LOWER(TRIM(tbl_HR_Data[[#This Row],[Email]])))</f>
        <v>user@domain.com</v>
      </c>
      <c r="Q80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808" t="str" cm="1">
        <f t="array" ref="R808">_xlfn.REDUCE(Q808, {"-","/","_","\","(",")"}, _xlfn.LAMBDA(_xlpm.txt,_xlpm.itm, SUBSTITUTE(_xlpm.txt, _xlpm.itm, "")))</f>
        <v>0987654321</v>
      </c>
      <c r="S808" s="3">
        <f>IFERROR(_xlfn.XLOOKUP(tbl_HR_Data[[#This Row],[Joining Date]], Mapping[Joining_Discarded], Mapping[Joining_Correction]), VALUE(tbl_HR_Data[[#This Row],[Joining Date]]))</f>
        <v>43881</v>
      </c>
      <c r="T808" t="str">
        <f>TEXT(tbl_HR_Data[[#This Row],[Joining Date]], "mmm")</f>
        <v>Feb</v>
      </c>
      <c r="U808" t="str">
        <f>TEXT(tbl_HR_Data[[#This Row],[Joining Date]], "ddd")</f>
        <v>Thu</v>
      </c>
    </row>
    <row r="809" spans="1:21" x14ac:dyDescent="0.35">
      <c r="A809" t="s">
        <v>106</v>
      </c>
      <c r="B809">
        <v>0</v>
      </c>
      <c r="C809">
        <v>60000</v>
      </c>
      <c r="D809" t="s">
        <v>11</v>
      </c>
      <c r="E809" t="s">
        <v>19</v>
      </c>
      <c r="F809" t="s">
        <v>20</v>
      </c>
      <c r="G809" s="3">
        <v>43881</v>
      </c>
      <c r="H809" t="str">
        <f>TEXT(tbl_HR_Data[[#This Row],[Joining Date]], "mmm")</f>
        <v>Feb</v>
      </c>
      <c r="I809" t="s">
        <v>92</v>
      </c>
      <c r="J809" t="s">
        <v>41</v>
      </c>
      <c r="K809" t="s">
        <v>77</v>
      </c>
      <c r="L809" t="s">
        <v>87</v>
      </c>
      <c r="M809">
        <f>IFERROR( _xlfn.XLOOKUP(TRIM(tbl_HR_Data[[#This Row],[Age]]),#REF!,#REF!), VALUE(TRIM(tbl_HR_Data[[#This Row],[Age]])))</f>
        <v>0</v>
      </c>
      <c r="N809" t="str">
        <f>IFERROR(_xlfn.XLOOKUP(tbl_HR_Data[[#This Row],[Gender]], Mapping[Gender _Discarded], Mapping[Gender_Correction]), PROPER(TRIM(tbl_HR_Data[[#This Row],[Gender]])))</f>
        <v>Male</v>
      </c>
      <c r="O809" t="str">
        <f>TRIM(tbl_HR_Data[[#This Row],[Position]])</f>
        <v>Director</v>
      </c>
      <c r="P809" t="str">
        <f>IFERROR(_xlfn.XLOOKUP(tbl_HR_Data[[#This Row],[Email]], Mapping[Email_Discarded], Mapping[Email_Correction]), LOWER(TRIM(tbl_HR_Data[[#This Row],[Email]])))</f>
        <v>not provided</v>
      </c>
      <c r="Q80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809" t="str" cm="1">
        <f t="array" ref="R809">_xlfn.REDUCE(Q809, {"-","/","_","\","(",")"}, _xlfn.LAMBDA(_xlpm.txt,_xlpm.itm, SUBSTITUTE(_xlpm.txt, _xlpm.itm, "")))</f>
        <v>1234567890</v>
      </c>
      <c r="S809" s="3">
        <f>IFERROR(_xlfn.XLOOKUP(tbl_HR_Data[[#This Row],[Joining Date]], Mapping[Joining_Discarded], Mapping[Joining_Correction]), VALUE(tbl_HR_Data[[#This Row],[Joining Date]]))</f>
        <v>43881</v>
      </c>
      <c r="T809" t="str">
        <f>TEXT(tbl_HR_Data[[#This Row],[Joining Date]], "mmm")</f>
        <v>Feb</v>
      </c>
      <c r="U809" t="str">
        <f>TEXT(tbl_HR_Data[[#This Row],[Joining Date]], "ddd")</f>
        <v>Thu</v>
      </c>
    </row>
    <row r="810" spans="1:21" x14ac:dyDescent="0.35">
      <c r="A810" t="s">
        <v>107</v>
      </c>
      <c r="B810">
        <v>30</v>
      </c>
      <c r="C810">
        <v>55000</v>
      </c>
      <c r="D810" t="s">
        <v>11</v>
      </c>
      <c r="E810" t="s">
        <v>12</v>
      </c>
      <c r="F810" t="s">
        <v>43</v>
      </c>
      <c r="G810" s="3">
        <v>43881</v>
      </c>
      <c r="H810" t="str">
        <f>TEXT(tbl_HR_Data[[#This Row],[Joining Date]], "mmm")</f>
        <v>Feb</v>
      </c>
      <c r="I810" t="s">
        <v>92</v>
      </c>
      <c r="J810" t="s">
        <v>27</v>
      </c>
      <c r="K810" t="s">
        <v>22</v>
      </c>
      <c r="L810" t="s">
        <v>77</v>
      </c>
      <c r="M810">
        <f>IFERROR( _xlfn.XLOOKUP(TRIM(tbl_HR_Data[[#This Row],[Age]]),#REF!,#REF!), VALUE(TRIM(tbl_HR_Data[[#This Row],[Age]])))</f>
        <v>30</v>
      </c>
      <c r="N810" t="str">
        <f>IFERROR(_xlfn.XLOOKUP(tbl_HR_Data[[#This Row],[Gender]], Mapping[Gender _Discarded], Mapping[Gender_Correction]), PROPER(TRIM(tbl_HR_Data[[#This Row],[Gender]])))</f>
        <v>Male</v>
      </c>
      <c r="O810" t="str">
        <f>TRIM(tbl_HR_Data[[#This Row],[Position]])</f>
        <v>Assistant</v>
      </c>
      <c r="P810" t="str">
        <f>IFERROR(_xlfn.XLOOKUP(tbl_HR_Data[[#This Row],[Email]], Mapping[Email_Discarded], Mapping[Email_Correction]), LOWER(TRIM(tbl_HR_Data[[#This Row],[Email]])))</f>
        <v>user@domain.com</v>
      </c>
      <c r="Q81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10" t="str" cm="1">
        <f t="array" ref="R810">_xlfn.REDUCE(Q810, {"-","/","_","\","(",")"}, _xlfn.LAMBDA(_xlpm.txt,_xlpm.itm, SUBSTITUTE(_xlpm.txt, _xlpm.itm, "")))</f>
        <v>Not Provided</v>
      </c>
      <c r="S810" s="3">
        <f>IFERROR(_xlfn.XLOOKUP(tbl_HR_Data[[#This Row],[Joining Date]], Mapping[Joining_Discarded], Mapping[Joining_Correction]), VALUE(tbl_HR_Data[[#This Row],[Joining Date]]))</f>
        <v>43881</v>
      </c>
      <c r="T810" t="str">
        <f>TEXT(tbl_HR_Data[[#This Row],[Joining Date]], "mmm")</f>
        <v>Feb</v>
      </c>
      <c r="U810" t="str">
        <f>TEXT(tbl_HR_Data[[#This Row],[Joining Date]], "ddd")</f>
        <v>Thu</v>
      </c>
    </row>
    <row r="811" spans="1:21" x14ac:dyDescent="0.35">
      <c r="A811" t="s">
        <v>102</v>
      </c>
      <c r="B811">
        <v>0</v>
      </c>
      <c r="C811">
        <v>60000</v>
      </c>
      <c r="D811" t="s">
        <v>11</v>
      </c>
      <c r="E811" t="s">
        <v>26</v>
      </c>
      <c r="F811" t="s">
        <v>43</v>
      </c>
      <c r="G811" s="3">
        <v>43881</v>
      </c>
      <c r="H811" t="str">
        <f>TEXT(tbl_HR_Data[[#This Row],[Joining Date]], "mmm")</f>
        <v>Feb</v>
      </c>
      <c r="I811" t="s">
        <v>92</v>
      </c>
      <c r="J811" t="s">
        <v>14</v>
      </c>
      <c r="K811" t="s">
        <v>77</v>
      </c>
      <c r="L811" t="s">
        <v>77</v>
      </c>
      <c r="M811">
        <f>IFERROR( _xlfn.XLOOKUP(TRIM(tbl_HR_Data[[#This Row],[Age]]),#REF!,#REF!), VALUE(TRIM(tbl_HR_Data[[#This Row],[Age]])))</f>
        <v>0</v>
      </c>
      <c r="N811" t="str">
        <f>IFERROR(_xlfn.XLOOKUP(tbl_HR_Data[[#This Row],[Gender]], Mapping[Gender _Discarded], Mapping[Gender_Correction]), PROPER(TRIM(tbl_HR_Data[[#This Row],[Gender]])))</f>
        <v>Male</v>
      </c>
      <c r="O811" t="str">
        <f>TRIM(tbl_HR_Data[[#This Row],[Position]])</f>
        <v>Assistant</v>
      </c>
      <c r="P811" t="str">
        <f>IFERROR(_xlfn.XLOOKUP(tbl_HR_Data[[#This Row],[Email]], Mapping[Email_Discarded], Mapping[Email_Correction]), LOWER(TRIM(tbl_HR_Data[[#This Row],[Email]])))</f>
        <v>not provided</v>
      </c>
      <c r="Q81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11" t="str" cm="1">
        <f t="array" ref="R811">_xlfn.REDUCE(Q811, {"-","/","_","\","(",")"}, _xlfn.LAMBDA(_xlpm.txt,_xlpm.itm, SUBSTITUTE(_xlpm.txt, _xlpm.itm, "")))</f>
        <v>Not Provided</v>
      </c>
      <c r="S811" s="3">
        <f>IFERROR(_xlfn.XLOOKUP(tbl_HR_Data[[#This Row],[Joining Date]], Mapping[Joining_Discarded], Mapping[Joining_Correction]), VALUE(tbl_HR_Data[[#This Row],[Joining Date]]))</f>
        <v>43881</v>
      </c>
      <c r="T811" t="str">
        <f>TEXT(tbl_HR_Data[[#This Row],[Joining Date]], "mmm")</f>
        <v>Feb</v>
      </c>
      <c r="U811" t="str">
        <f>TEXT(tbl_HR_Data[[#This Row],[Joining Date]], "ddd")</f>
        <v>Thu</v>
      </c>
    </row>
    <row r="812" spans="1:21" x14ac:dyDescent="0.35">
      <c r="A812" t="s">
        <v>104</v>
      </c>
      <c r="B812">
        <v>25</v>
      </c>
      <c r="C812">
        <v>0</v>
      </c>
      <c r="D812" t="s">
        <v>36</v>
      </c>
      <c r="E812" t="s">
        <v>37</v>
      </c>
      <c r="F812" t="s">
        <v>13</v>
      </c>
      <c r="G812" s="3">
        <v>43881</v>
      </c>
      <c r="H812" t="str">
        <f>TEXT(tbl_HR_Data[[#This Row],[Joining Date]], "mmm")</f>
        <v>Feb</v>
      </c>
      <c r="I812" t="s">
        <v>92</v>
      </c>
      <c r="J812" t="s">
        <v>21</v>
      </c>
      <c r="K812" t="s">
        <v>32</v>
      </c>
      <c r="L812" t="s">
        <v>89</v>
      </c>
      <c r="M812">
        <f>IFERROR( _xlfn.XLOOKUP(TRIM(tbl_HR_Data[[#This Row],[Age]]),#REF!,#REF!), VALUE(TRIM(tbl_HR_Data[[#This Row],[Age]])))</f>
        <v>25</v>
      </c>
      <c r="N812" t="str">
        <f>IFERROR(_xlfn.XLOOKUP(tbl_HR_Data[[#This Row],[Gender]], Mapping[Gender _Discarded], Mapping[Gender_Correction]), PROPER(TRIM(tbl_HR_Data[[#This Row],[Gender]])))</f>
        <v>Other</v>
      </c>
      <c r="O812" t="str">
        <f>TRIM(tbl_HR_Data[[#This Row],[Position]])</f>
        <v>Manager</v>
      </c>
      <c r="P812" t="str">
        <f>IFERROR(_xlfn.XLOOKUP(tbl_HR_Data[[#This Row],[Email]], Mapping[Email_Discarded], Mapping[Email_Correction]), LOWER(TRIM(tbl_HR_Data[[#This Row],[Email]])))</f>
        <v>name@company.org</v>
      </c>
      <c r="Q81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812" t="str" cm="1">
        <f t="array" ref="R812">_xlfn.REDUCE(Q812, {"-","/","_","\","(",")"}, _xlfn.LAMBDA(_xlpm.txt,_xlpm.itm, SUBSTITUTE(_xlpm.txt, _xlpm.itm, "")))</f>
        <v>5555555555</v>
      </c>
      <c r="S812" s="3">
        <f>IFERROR(_xlfn.XLOOKUP(tbl_HR_Data[[#This Row],[Joining Date]], Mapping[Joining_Discarded], Mapping[Joining_Correction]), VALUE(tbl_HR_Data[[#This Row],[Joining Date]]))</f>
        <v>43881</v>
      </c>
      <c r="T812" t="str">
        <f>TEXT(tbl_HR_Data[[#This Row],[Joining Date]], "mmm")</f>
        <v>Feb</v>
      </c>
      <c r="U812" t="str">
        <f>TEXT(tbl_HR_Data[[#This Row],[Joining Date]], "ddd")</f>
        <v>Thu</v>
      </c>
    </row>
    <row r="813" spans="1:21" x14ac:dyDescent="0.35">
      <c r="A813" t="s">
        <v>103</v>
      </c>
      <c r="B813">
        <v>40</v>
      </c>
      <c r="C813">
        <v>65000</v>
      </c>
      <c r="D813" t="s">
        <v>36</v>
      </c>
      <c r="E813" t="s">
        <v>19</v>
      </c>
      <c r="F813" t="s">
        <v>39</v>
      </c>
      <c r="G813" s="3">
        <v>43881</v>
      </c>
      <c r="H813" t="str">
        <f>TEXT(tbl_HR_Data[[#This Row],[Joining Date]], "mmm")</f>
        <v>Feb</v>
      </c>
      <c r="I813" t="s">
        <v>92</v>
      </c>
      <c r="J813" t="s">
        <v>21</v>
      </c>
      <c r="K813" t="s">
        <v>77</v>
      </c>
      <c r="L813" t="s">
        <v>89</v>
      </c>
      <c r="M813">
        <f>IFERROR( _xlfn.XLOOKUP(TRIM(tbl_HR_Data[[#This Row],[Age]]),#REF!,#REF!), VALUE(TRIM(tbl_HR_Data[[#This Row],[Age]])))</f>
        <v>40</v>
      </c>
      <c r="N813" t="str">
        <f>IFERROR(_xlfn.XLOOKUP(tbl_HR_Data[[#This Row],[Gender]], Mapping[Gender _Discarded], Mapping[Gender_Correction]), PROPER(TRIM(tbl_HR_Data[[#This Row],[Gender]])))</f>
        <v>Other</v>
      </c>
      <c r="O813" t="str">
        <f>TRIM(tbl_HR_Data[[#This Row],[Position]])</f>
        <v>Clerk</v>
      </c>
      <c r="P813" t="str">
        <f>IFERROR(_xlfn.XLOOKUP(tbl_HR_Data[[#This Row],[Email]], Mapping[Email_Discarded], Mapping[Email_Correction]), LOWER(TRIM(tbl_HR_Data[[#This Row],[Email]])))</f>
        <v>not provided</v>
      </c>
      <c r="Q81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813" t="str" cm="1">
        <f t="array" ref="R813">_xlfn.REDUCE(Q813, {"-","/","_","\","(",")"}, _xlfn.LAMBDA(_xlpm.txt,_xlpm.itm, SUBSTITUTE(_xlpm.txt, _xlpm.itm, "")))</f>
        <v>5555555555</v>
      </c>
      <c r="S813" s="3">
        <f>IFERROR(_xlfn.XLOOKUP(tbl_HR_Data[[#This Row],[Joining Date]], Mapping[Joining_Discarded], Mapping[Joining_Correction]), VALUE(tbl_HR_Data[[#This Row],[Joining Date]]))</f>
        <v>43881</v>
      </c>
      <c r="T813" t="str">
        <f>TEXT(tbl_HR_Data[[#This Row],[Joining Date]], "mmm")</f>
        <v>Feb</v>
      </c>
      <c r="U813" t="str">
        <f>TEXT(tbl_HR_Data[[#This Row],[Joining Date]], "ddd")</f>
        <v>Thu</v>
      </c>
    </row>
    <row r="814" spans="1:21" x14ac:dyDescent="0.35">
      <c r="A814" t="s">
        <v>104</v>
      </c>
      <c r="B814">
        <v>35</v>
      </c>
      <c r="C814">
        <v>60000</v>
      </c>
      <c r="D814" t="s">
        <v>11</v>
      </c>
      <c r="E814" t="s">
        <v>12</v>
      </c>
      <c r="F814" t="s">
        <v>39</v>
      </c>
      <c r="G814" s="3">
        <v>43881</v>
      </c>
      <c r="H814" t="str">
        <f>TEXT(tbl_HR_Data[[#This Row],[Joining Date]], "mmm")</f>
        <v>Feb</v>
      </c>
      <c r="I814" t="s">
        <v>92</v>
      </c>
      <c r="J814" t="s">
        <v>41</v>
      </c>
      <c r="K814" t="s">
        <v>77</v>
      </c>
      <c r="L814" t="s">
        <v>87</v>
      </c>
      <c r="M814">
        <f>IFERROR( _xlfn.XLOOKUP(TRIM(tbl_HR_Data[[#This Row],[Age]]),#REF!,#REF!), VALUE(TRIM(tbl_HR_Data[[#This Row],[Age]])))</f>
        <v>35</v>
      </c>
      <c r="N814" t="str">
        <f>IFERROR(_xlfn.XLOOKUP(tbl_HR_Data[[#This Row],[Gender]], Mapping[Gender _Discarded], Mapping[Gender_Correction]), PROPER(TRIM(tbl_HR_Data[[#This Row],[Gender]])))</f>
        <v>Male</v>
      </c>
      <c r="O814" t="str">
        <f>TRIM(tbl_HR_Data[[#This Row],[Position]])</f>
        <v>Clerk</v>
      </c>
      <c r="P814" t="str">
        <f>IFERROR(_xlfn.XLOOKUP(tbl_HR_Data[[#This Row],[Email]], Mapping[Email_Discarded], Mapping[Email_Correction]), LOWER(TRIM(tbl_HR_Data[[#This Row],[Email]])))</f>
        <v>not provided</v>
      </c>
      <c r="Q81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814" t="str" cm="1">
        <f t="array" ref="R814">_xlfn.REDUCE(Q814, {"-","/","_","\","(",")"}, _xlfn.LAMBDA(_xlpm.txt,_xlpm.itm, SUBSTITUTE(_xlpm.txt, _xlpm.itm, "")))</f>
        <v>1234567890</v>
      </c>
      <c r="S814" s="3">
        <f>IFERROR(_xlfn.XLOOKUP(tbl_HR_Data[[#This Row],[Joining Date]], Mapping[Joining_Discarded], Mapping[Joining_Correction]), VALUE(tbl_HR_Data[[#This Row],[Joining Date]]))</f>
        <v>43881</v>
      </c>
      <c r="T814" t="str">
        <f>TEXT(tbl_HR_Data[[#This Row],[Joining Date]], "mmm")</f>
        <v>Feb</v>
      </c>
      <c r="U814" t="str">
        <f>TEXT(tbl_HR_Data[[#This Row],[Joining Date]], "ddd")</f>
        <v>Thu</v>
      </c>
    </row>
    <row r="815" spans="1:21" x14ac:dyDescent="0.35">
      <c r="A815" t="s">
        <v>102</v>
      </c>
      <c r="B815">
        <v>30</v>
      </c>
      <c r="C815">
        <v>70000</v>
      </c>
      <c r="D815" t="s">
        <v>18</v>
      </c>
      <c r="E815" t="s">
        <v>12</v>
      </c>
      <c r="F815" t="s">
        <v>13</v>
      </c>
      <c r="G815" s="3">
        <v>43881</v>
      </c>
      <c r="H815" t="str">
        <f>TEXT(tbl_HR_Data[[#This Row],[Joining Date]], "mmm")</f>
        <v>Feb</v>
      </c>
      <c r="I815" t="s">
        <v>92</v>
      </c>
      <c r="J815" t="s">
        <v>41</v>
      </c>
      <c r="K815" t="s">
        <v>32</v>
      </c>
      <c r="L815" t="s">
        <v>87</v>
      </c>
      <c r="M815">
        <f>IFERROR( _xlfn.XLOOKUP(TRIM(tbl_HR_Data[[#This Row],[Age]]),#REF!,#REF!), VALUE(TRIM(tbl_HR_Data[[#This Row],[Age]])))</f>
        <v>30</v>
      </c>
      <c r="N815" t="str">
        <f>IFERROR(_xlfn.XLOOKUP(tbl_HR_Data[[#This Row],[Gender]], Mapping[Gender _Discarded], Mapping[Gender_Correction]), PROPER(TRIM(tbl_HR_Data[[#This Row],[Gender]])))</f>
        <v>Female</v>
      </c>
      <c r="O815" t="str">
        <f>TRIM(tbl_HR_Data[[#This Row],[Position]])</f>
        <v>Manager</v>
      </c>
      <c r="P815" t="str">
        <f>IFERROR(_xlfn.XLOOKUP(tbl_HR_Data[[#This Row],[Email]], Mapping[Email_Discarded], Mapping[Email_Correction]), LOWER(TRIM(tbl_HR_Data[[#This Row],[Email]])))</f>
        <v>name@company.org</v>
      </c>
      <c r="Q81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815" t="str" cm="1">
        <f t="array" ref="R815">_xlfn.REDUCE(Q815, {"-","/","_","\","(",")"}, _xlfn.LAMBDA(_xlpm.txt,_xlpm.itm, SUBSTITUTE(_xlpm.txt, _xlpm.itm, "")))</f>
        <v>1234567890</v>
      </c>
      <c r="S815" s="3">
        <f>IFERROR(_xlfn.XLOOKUP(tbl_HR_Data[[#This Row],[Joining Date]], Mapping[Joining_Discarded], Mapping[Joining_Correction]), VALUE(tbl_HR_Data[[#This Row],[Joining Date]]))</f>
        <v>43881</v>
      </c>
      <c r="T815" t="str">
        <f>TEXT(tbl_HR_Data[[#This Row],[Joining Date]], "mmm")</f>
        <v>Feb</v>
      </c>
      <c r="U815" t="str">
        <f>TEXT(tbl_HR_Data[[#This Row],[Joining Date]], "ddd")</f>
        <v>Thu</v>
      </c>
    </row>
    <row r="816" spans="1:21" x14ac:dyDescent="0.35">
      <c r="A816" t="s">
        <v>104</v>
      </c>
      <c r="B816">
        <v>30</v>
      </c>
      <c r="C816">
        <v>70000</v>
      </c>
      <c r="D816" t="s">
        <v>36</v>
      </c>
      <c r="E816" t="s">
        <v>37</v>
      </c>
      <c r="F816" t="s">
        <v>20</v>
      </c>
      <c r="G816" s="3">
        <v>43881</v>
      </c>
      <c r="H816" t="str">
        <f>TEXT(tbl_HR_Data[[#This Row],[Joining Date]], "mmm")</f>
        <v>Feb</v>
      </c>
      <c r="I816" t="s">
        <v>92</v>
      </c>
      <c r="J816" t="s">
        <v>31</v>
      </c>
      <c r="K816" t="s">
        <v>22</v>
      </c>
      <c r="L816" t="s">
        <v>77</v>
      </c>
      <c r="M816">
        <f>IFERROR( _xlfn.XLOOKUP(TRIM(tbl_HR_Data[[#This Row],[Age]]),#REF!,#REF!), VALUE(TRIM(tbl_HR_Data[[#This Row],[Age]])))</f>
        <v>30</v>
      </c>
      <c r="N816" t="str">
        <f>IFERROR(_xlfn.XLOOKUP(tbl_HR_Data[[#This Row],[Gender]], Mapping[Gender _Discarded], Mapping[Gender_Correction]), PROPER(TRIM(tbl_HR_Data[[#This Row],[Gender]])))</f>
        <v>Other</v>
      </c>
      <c r="O816" t="str">
        <f>TRIM(tbl_HR_Data[[#This Row],[Position]])</f>
        <v>Director</v>
      </c>
      <c r="P816" t="str">
        <f>IFERROR(_xlfn.XLOOKUP(tbl_HR_Data[[#This Row],[Email]], Mapping[Email_Discarded], Mapping[Email_Correction]), LOWER(TRIM(tbl_HR_Data[[#This Row],[Email]])))</f>
        <v>user@domain.com</v>
      </c>
      <c r="Q81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16" t="str" cm="1">
        <f t="array" ref="R816">_xlfn.REDUCE(Q816, {"-","/","_","\","(",")"}, _xlfn.LAMBDA(_xlpm.txt,_xlpm.itm, SUBSTITUTE(_xlpm.txt, _xlpm.itm, "")))</f>
        <v>Not Provided</v>
      </c>
      <c r="S816" s="3">
        <f>IFERROR(_xlfn.XLOOKUP(tbl_HR_Data[[#This Row],[Joining Date]], Mapping[Joining_Discarded], Mapping[Joining_Correction]), VALUE(tbl_HR_Data[[#This Row],[Joining Date]]))</f>
        <v>43881</v>
      </c>
      <c r="T816" t="str">
        <f>TEXT(tbl_HR_Data[[#This Row],[Joining Date]], "mmm")</f>
        <v>Feb</v>
      </c>
      <c r="U816" t="str">
        <f>TEXT(tbl_HR_Data[[#This Row],[Joining Date]], "ddd")</f>
        <v>Thu</v>
      </c>
    </row>
    <row r="817" spans="1:21" x14ac:dyDescent="0.35">
      <c r="A817" t="s">
        <v>105</v>
      </c>
      <c r="B817">
        <v>30</v>
      </c>
      <c r="C817">
        <v>70000</v>
      </c>
      <c r="D817" t="s">
        <v>18</v>
      </c>
      <c r="E817" t="s">
        <v>12</v>
      </c>
      <c r="F817" t="s">
        <v>20</v>
      </c>
      <c r="G817" s="3">
        <v>43881</v>
      </c>
      <c r="H817" t="str">
        <f>TEXT(tbl_HR_Data[[#This Row],[Joining Date]], "mmm")</f>
        <v>Feb</v>
      </c>
      <c r="I817" t="s">
        <v>92</v>
      </c>
      <c r="J817" t="s">
        <v>14</v>
      </c>
      <c r="K817" t="s">
        <v>15</v>
      </c>
      <c r="L817" t="s">
        <v>88</v>
      </c>
      <c r="M817">
        <f>IFERROR( _xlfn.XLOOKUP(TRIM(tbl_HR_Data[[#This Row],[Age]]),#REF!,#REF!), VALUE(TRIM(tbl_HR_Data[[#This Row],[Age]])))</f>
        <v>30</v>
      </c>
      <c r="N817" t="str">
        <f>IFERROR(_xlfn.XLOOKUP(tbl_HR_Data[[#This Row],[Gender]], Mapping[Gender _Discarded], Mapping[Gender_Correction]), PROPER(TRIM(tbl_HR_Data[[#This Row],[Gender]])))</f>
        <v>Female</v>
      </c>
      <c r="O817" t="str">
        <f>TRIM(tbl_HR_Data[[#This Row],[Position]])</f>
        <v>Director</v>
      </c>
      <c r="P817" t="str">
        <f>IFERROR(_xlfn.XLOOKUP(tbl_HR_Data[[#This Row],[Email]], Mapping[Email_Discarded], Mapping[Email_Correction]), LOWER(TRIM(tbl_HR_Data[[#This Row],[Email]])))</f>
        <v>email@example.com</v>
      </c>
      <c r="Q81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817" t="str" cm="1">
        <f t="array" ref="R817">_xlfn.REDUCE(Q817, {"-","/","_","\","(",")"}, _xlfn.LAMBDA(_xlpm.txt,_xlpm.itm, SUBSTITUTE(_xlpm.txt, _xlpm.itm, "")))</f>
        <v>0987654321</v>
      </c>
      <c r="S817" s="3">
        <f>IFERROR(_xlfn.XLOOKUP(tbl_HR_Data[[#This Row],[Joining Date]], Mapping[Joining_Discarded], Mapping[Joining_Correction]), VALUE(tbl_HR_Data[[#This Row],[Joining Date]]))</f>
        <v>43881</v>
      </c>
      <c r="T817" t="str">
        <f>TEXT(tbl_HR_Data[[#This Row],[Joining Date]], "mmm")</f>
        <v>Feb</v>
      </c>
      <c r="U817" t="str">
        <f>TEXT(tbl_HR_Data[[#This Row],[Joining Date]], "ddd")</f>
        <v>Thu</v>
      </c>
    </row>
    <row r="818" spans="1:21" x14ac:dyDescent="0.35">
      <c r="A818" t="s">
        <v>101</v>
      </c>
      <c r="B818">
        <v>0</v>
      </c>
      <c r="C818">
        <v>55000</v>
      </c>
      <c r="D818" t="s">
        <v>18</v>
      </c>
      <c r="E818" t="s">
        <v>37</v>
      </c>
      <c r="F818" t="s">
        <v>39</v>
      </c>
      <c r="G818" s="3">
        <v>43881</v>
      </c>
      <c r="H818" t="str">
        <f>TEXT(tbl_HR_Data[[#This Row],[Joining Date]], "mmm")</f>
        <v>Feb</v>
      </c>
      <c r="I818" t="s">
        <v>92</v>
      </c>
      <c r="J818" t="s">
        <v>14</v>
      </c>
      <c r="K818" t="s">
        <v>32</v>
      </c>
      <c r="L818" t="s">
        <v>87</v>
      </c>
      <c r="M818">
        <f>IFERROR( _xlfn.XLOOKUP(TRIM(tbl_HR_Data[[#This Row],[Age]]),#REF!,#REF!), VALUE(TRIM(tbl_HR_Data[[#This Row],[Age]])))</f>
        <v>0</v>
      </c>
      <c r="N818" t="str">
        <f>IFERROR(_xlfn.XLOOKUP(tbl_HR_Data[[#This Row],[Gender]], Mapping[Gender _Discarded], Mapping[Gender_Correction]), PROPER(TRIM(tbl_HR_Data[[#This Row],[Gender]])))</f>
        <v>Female</v>
      </c>
      <c r="O818" t="str">
        <f>TRIM(tbl_HR_Data[[#This Row],[Position]])</f>
        <v>Clerk</v>
      </c>
      <c r="P818" t="str">
        <f>IFERROR(_xlfn.XLOOKUP(tbl_HR_Data[[#This Row],[Email]], Mapping[Email_Discarded], Mapping[Email_Correction]), LOWER(TRIM(tbl_HR_Data[[#This Row],[Email]])))</f>
        <v>name@company.org</v>
      </c>
      <c r="Q81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818" t="str" cm="1">
        <f t="array" ref="R818">_xlfn.REDUCE(Q818, {"-","/","_","\","(",")"}, _xlfn.LAMBDA(_xlpm.txt,_xlpm.itm, SUBSTITUTE(_xlpm.txt, _xlpm.itm, "")))</f>
        <v>1234567890</v>
      </c>
      <c r="S818" s="3">
        <f>IFERROR(_xlfn.XLOOKUP(tbl_HR_Data[[#This Row],[Joining Date]], Mapping[Joining_Discarded], Mapping[Joining_Correction]), VALUE(tbl_HR_Data[[#This Row],[Joining Date]]))</f>
        <v>43881</v>
      </c>
      <c r="T818" t="str">
        <f>TEXT(tbl_HR_Data[[#This Row],[Joining Date]], "mmm")</f>
        <v>Feb</v>
      </c>
      <c r="U818" t="str">
        <f>TEXT(tbl_HR_Data[[#This Row],[Joining Date]], "ddd")</f>
        <v>Thu</v>
      </c>
    </row>
    <row r="819" spans="1:21" x14ac:dyDescent="0.35">
      <c r="A819" t="s">
        <v>101</v>
      </c>
      <c r="B819">
        <v>30</v>
      </c>
      <c r="C819">
        <v>0</v>
      </c>
      <c r="D819" t="s">
        <v>11</v>
      </c>
      <c r="E819" t="s">
        <v>12</v>
      </c>
      <c r="F819" t="s">
        <v>20</v>
      </c>
      <c r="G819" s="3">
        <v>43881</v>
      </c>
      <c r="H819" t="str">
        <f>TEXT(tbl_HR_Data[[#This Row],[Joining Date]], "mmm")</f>
        <v>Feb</v>
      </c>
      <c r="I819" t="s">
        <v>92</v>
      </c>
      <c r="J819" t="s">
        <v>14</v>
      </c>
      <c r="K819" t="s">
        <v>32</v>
      </c>
      <c r="L819" t="s">
        <v>87</v>
      </c>
      <c r="M819">
        <f>IFERROR( _xlfn.XLOOKUP(TRIM(tbl_HR_Data[[#This Row],[Age]]),#REF!,#REF!), VALUE(TRIM(tbl_HR_Data[[#This Row],[Age]])))</f>
        <v>30</v>
      </c>
      <c r="N819" t="str">
        <f>IFERROR(_xlfn.XLOOKUP(tbl_HR_Data[[#This Row],[Gender]], Mapping[Gender _Discarded], Mapping[Gender_Correction]), PROPER(TRIM(tbl_HR_Data[[#This Row],[Gender]])))</f>
        <v>Male</v>
      </c>
      <c r="O819" t="str">
        <f>TRIM(tbl_HR_Data[[#This Row],[Position]])</f>
        <v>Director</v>
      </c>
      <c r="P819" t="str">
        <f>IFERROR(_xlfn.XLOOKUP(tbl_HR_Data[[#This Row],[Email]], Mapping[Email_Discarded], Mapping[Email_Correction]), LOWER(TRIM(tbl_HR_Data[[#This Row],[Email]])))</f>
        <v>name@company.org</v>
      </c>
      <c r="Q81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819" t="str" cm="1">
        <f t="array" ref="R819">_xlfn.REDUCE(Q819, {"-","/","_","\","(",")"}, _xlfn.LAMBDA(_xlpm.txt,_xlpm.itm, SUBSTITUTE(_xlpm.txt, _xlpm.itm, "")))</f>
        <v>1234567890</v>
      </c>
      <c r="S819" s="3">
        <f>IFERROR(_xlfn.XLOOKUP(tbl_HR_Data[[#This Row],[Joining Date]], Mapping[Joining_Discarded], Mapping[Joining_Correction]), VALUE(tbl_HR_Data[[#This Row],[Joining Date]]))</f>
        <v>43881</v>
      </c>
      <c r="T819" t="str">
        <f>TEXT(tbl_HR_Data[[#This Row],[Joining Date]], "mmm")</f>
        <v>Feb</v>
      </c>
      <c r="U819" t="str">
        <f>TEXT(tbl_HR_Data[[#This Row],[Joining Date]], "ddd")</f>
        <v>Thu</v>
      </c>
    </row>
    <row r="820" spans="1:21" x14ac:dyDescent="0.35">
      <c r="A820" t="s">
        <v>101</v>
      </c>
      <c r="B820">
        <v>30</v>
      </c>
      <c r="C820">
        <v>70000</v>
      </c>
      <c r="D820" t="s">
        <v>18</v>
      </c>
      <c r="E820" t="s">
        <v>19</v>
      </c>
      <c r="F820" t="s">
        <v>13</v>
      </c>
      <c r="G820" s="3">
        <v>43881</v>
      </c>
      <c r="H820" t="str">
        <f>TEXT(tbl_HR_Data[[#This Row],[Joining Date]], "mmm")</f>
        <v>Feb</v>
      </c>
      <c r="I820" t="s">
        <v>92</v>
      </c>
      <c r="J820" t="s">
        <v>31</v>
      </c>
      <c r="K820" t="s">
        <v>77</v>
      </c>
      <c r="L820" t="s">
        <v>87</v>
      </c>
      <c r="M820">
        <f>IFERROR( _xlfn.XLOOKUP(TRIM(tbl_HR_Data[[#This Row],[Age]]),#REF!,#REF!), VALUE(TRIM(tbl_HR_Data[[#This Row],[Age]])))</f>
        <v>30</v>
      </c>
      <c r="N820" t="str">
        <f>IFERROR(_xlfn.XLOOKUP(tbl_HR_Data[[#This Row],[Gender]], Mapping[Gender _Discarded], Mapping[Gender_Correction]), PROPER(TRIM(tbl_HR_Data[[#This Row],[Gender]])))</f>
        <v>Female</v>
      </c>
      <c r="O820" t="str">
        <f>TRIM(tbl_HR_Data[[#This Row],[Position]])</f>
        <v>Manager</v>
      </c>
      <c r="P820" t="str">
        <f>IFERROR(_xlfn.XLOOKUP(tbl_HR_Data[[#This Row],[Email]], Mapping[Email_Discarded], Mapping[Email_Correction]), LOWER(TRIM(tbl_HR_Data[[#This Row],[Email]])))</f>
        <v>not provided</v>
      </c>
      <c r="Q82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820" t="str" cm="1">
        <f t="array" ref="R820">_xlfn.REDUCE(Q820, {"-","/","_","\","(",")"}, _xlfn.LAMBDA(_xlpm.txt,_xlpm.itm, SUBSTITUTE(_xlpm.txt, _xlpm.itm, "")))</f>
        <v>1234567890</v>
      </c>
      <c r="S820" s="3">
        <f>IFERROR(_xlfn.XLOOKUP(tbl_HR_Data[[#This Row],[Joining Date]], Mapping[Joining_Discarded], Mapping[Joining_Correction]), VALUE(tbl_HR_Data[[#This Row],[Joining Date]]))</f>
        <v>43881</v>
      </c>
      <c r="T820" t="str">
        <f>TEXT(tbl_HR_Data[[#This Row],[Joining Date]], "mmm")</f>
        <v>Feb</v>
      </c>
      <c r="U820" t="str">
        <f>TEXT(tbl_HR_Data[[#This Row],[Joining Date]], "ddd")</f>
        <v>Thu</v>
      </c>
    </row>
    <row r="821" spans="1:21" x14ac:dyDescent="0.35">
      <c r="A821" t="s">
        <v>107</v>
      </c>
      <c r="B821">
        <v>50</v>
      </c>
      <c r="C821">
        <v>70000</v>
      </c>
      <c r="D821" t="s">
        <v>18</v>
      </c>
      <c r="E821" t="s">
        <v>12</v>
      </c>
      <c r="F821" t="s">
        <v>44</v>
      </c>
      <c r="G821" s="3">
        <v>43881</v>
      </c>
      <c r="H821" t="str">
        <f>TEXT(tbl_HR_Data[[#This Row],[Joining Date]], "mmm")</f>
        <v>Feb</v>
      </c>
      <c r="I821" t="s">
        <v>92</v>
      </c>
      <c r="J821" t="s">
        <v>31</v>
      </c>
      <c r="K821" t="s">
        <v>15</v>
      </c>
      <c r="L821" t="s">
        <v>89</v>
      </c>
      <c r="M821">
        <f>IFERROR( _xlfn.XLOOKUP(TRIM(tbl_HR_Data[[#This Row],[Age]]),#REF!,#REF!), VALUE(TRIM(tbl_HR_Data[[#This Row],[Age]])))</f>
        <v>50</v>
      </c>
      <c r="N821" t="str">
        <f>IFERROR(_xlfn.XLOOKUP(tbl_HR_Data[[#This Row],[Gender]], Mapping[Gender _Discarded], Mapping[Gender_Correction]), PROPER(TRIM(tbl_HR_Data[[#This Row],[Gender]])))</f>
        <v>Female</v>
      </c>
      <c r="O821" t="str">
        <f>TRIM(tbl_HR_Data[[#This Row],[Position]])</f>
        <v>Analyst</v>
      </c>
      <c r="P821" t="str">
        <f>IFERROR(_xlfn.XLOOKUP(tbl_HR_Data[[#This Row],[Email]], Mapping[Email_Discarded], Mapping[Email_Correction]), LOWER(TRIM(tbl_HR_Data[[#This Row],[Email]])))</f>
        <v>email@example.com</v>
      </c>
      <c r="Q82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821" t="str" cm="1">
        <f t="array" ref="R821">_xlfn.REDUCE(Q821, {"-","/","_","\","(",")"}, _xlfn.LAMBDA(_xlpm.txt,_xlpm.itm, SUBSTITUTE(_xlpm.txt, _xlpm.itm, "")))</f>
        <v>5555555555</v>
      </c>
      <c r="S821" s="3">
        <f>IFERROR(_xlfn.XLOOKUP(tbl_HR_Data[[#This Row],[Joining Date]], Mapping[Joining_Discarded], Mapping[Joining_Correction]), VALUE(tbl_HR_Data[[#This Row],[Joining Date]]))</f>
        <v>43881</v>
      </c>
      <c r="T821" t="str">
        <f>TEXT(tbl_HR_Data[[#This Row],[Joining Date]], "mmm")</f>
        <v>Feb</v>
      </c>
      <c r="U821" t="str">
        <f>TEXT(tbl_HR_Data[[#This Row],[Joining Date]], "ddd")</f>
        <v>Thu</v>
      </c>
    </row>
    <row r="822" spans="1:21" x14ac:dyDescent="0.35">
      <c r="A822" t="s">
        <v>101</v>
      </c>
      <c r="B822">
        <v>30</v>
      </c>
      <c r="C822">
        <v>0</v>
      </c>
      <c r="D822" t="s">
        <v>36</v>
      </c>
      <c r="E822" t="s">
        <v>26</v>
      </c>
      <c r="F822" t="s">
        <v>13</v>
      </c>
      <c r="G822" s="3">
        <v>43881</v>
      </c>
      <c r="H822" t="str">
        <f>TEXT(tbl_HR_Data[[#This Row],[Joining Date]], "mmm")</f>
        <v>Feb</v>
      </c>
      <c r="I822" t="s">
        <v>92</v>
      </c>
      <c r="J822" t="s">
        <v>14</v>
      </c>
      <c r="K822" t="s">
        <v>77</v>
      </c>
      <c r="L822" t="s">
        <v>87</v>
      </c>
      <c r="M822">
        <f>IFERROR( _xlfn.XLOOKUP(TRIM(tbl_HR_Data[[#This Row],[Age]]),#REF!,#REF!), VALUE(TRIM(tbl_HR_Data[[#This Row],[Age]])))</f>
        <v>30</v>
      </c>
      <c r="N822" t="str">
        <f>IFERROR(_xlfn.XLOOKUP(tbl_HR_Data[[#This Row],[Gender]], Mapping[Gender _Discarded], Mapping[Gender_Correction]), PROPER(TRIM(tbl_HR_Data[[#This Row],[Gender]])))</f>
        <v>Other</v>
      </c>
      <c r="O822" t="str">
        <f>TRIM(tbl_HR_Data[[#This Row],[Position]])</f>
        <v>Manager</v>
      </c>
      <c r="P822" t="str">
        <f>IFERROR(_xlfn.XLOOKUP(tbl_HR_Data[[#This Row],[Email]], Mapping[Email_Discarded], Mapping[Email_Correction]), LOWER(TRIM(tbl_HR_Data[[#This Row],[Email]])))</f>
        <v>not provided</v>
      </c>
      <c r="Q82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822" t="str" cm="1">
        <f t="array" ref="R822">_xlfn.REDUCE(Q822, {"-","/","_","\","(",")"}, _xlfn.LAMBDA(_xlpm.txt,_xlpm.itm, SUBSTITUTE(_xlpm.txt, _xlpm.itm, "")))</f>
        <v>1234567890</v>
      </c>
      <c r="S822" s="3">
        <f>IFERROR(_xlfn.XLOOKUP(tbl_HR_Data[[#This Row],[Joining Date]], Mapping[Joining_Discarded], Mapping[Joining_Correction]), VALUE(tbl_HR_Data[[#This Row],[Joining Date]]))</f>
        <v>43881</v>
      </c>
      <c r="T822" t="str">
        <f>TEXT(tbl_HR_Data[[#This Row],[Joining Date]], "mmm")</f>
        <v>Feb</v>
      </c>
      <c r="U822" t="str">
        <f>TEXT(tbl_HR_Data[[#This Row],[Joining Date]], "ddd")</f>
        <v>Thu</v>
      </c>
    </row>
    <row r="823" spans="1:21" x14ac:dyDescent="0.35">
      <c r="A823" t="s">
        <v>102</v>
      </c>
      <c r="B823">
        <v>0</v>
      </c>
      <c r="C823">
        <v>65000</v>
      </c>
      <c r="D823" t="s">
        <v>18</v>
      </c>
      <c r="E823" t="s">
        <v>37</v>
      </c>
      <c r="F823" t="s">
        <v>44</v>
      </c>
      <c r="G823" s="3">
        <v>43881</v>
      </c>
      <c r="H823" t="str">
        <f>TEXT(tbl_HR_Data[[#This Row],[Joining Date]], "mmm")</f>
        <v>Feb</v>
      </c>
      <c r="I823" t="s">
        <v>92</v>
      </c>
      <c r="J823" t="s">
        <v>41</v>
      </c>
      <c r="K823" t="s">
        <v>77</v>
      </c>
      <c r="L823" t="s">
        <v>77</v>
      </c>
      <c r="M823">
        <f>IFERROR( _xlfn.XLOOKUP(TRIM(tbl_HR_Data[[#This Row],[Age]]),#REF!,#REF!), VALUE(TRIM(tbl_HR_Data[[#This Row],[Age]])))</f>
        <v>0</v>
      </c>
      <c r="N823" t="str">
        <f>IFERROR(_xlfn.XLOOKUP(tbl_HR_Data[[#This Row],[Gender]], Mapping[Gender _Discarded], Mapping[Gender_Correction]), PROPER(TRIM(tbl_HR_Data[[#This Row],[Gender]])))</f>
        <v>Female</v>
      </c>
      <c r="O823" t="str">
        <f>TRIM(tbl_HR_Data[[#This Row],[Position]])</f>
        <v>Analyst</v>
      </c>
      <c r="P823" t="str">
        <f>IFERROR(_xlfn.XLOOKUP(tbl_HR_Data[[#This Row],[Email]], Mapping[Email_Discarded], Mapping[Email_Correction]), LOWER(TRIM(tbl_HR_Data[[#This Row],[Email]])))</f>
        <v>not provided</v>
      </c>
      <c r="Q82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23" t="str" cm="1">
        <f t="array" ref="R823">_xlfn.REDUCE(Q823, {"-","/","_","\","(",")"}, _xlfn.LAMBDA(_xlpm.txt,_xlpm.itm, SUBSTITUTE(_xlpm.txt, _xlpm.itm, "")))</f>
        <v>Not Provided</v>
      </c>
      <c r="S823" s="3">
        <f>IFERROR(_xlfn.XLOOKUP(tbl_HR_Data[[#This Row],[Joining Date]], Mapping[Joining_Discarded], Mapping[Joining_Correction]), VALUE(tbl_HR_Data[[#This Row],[Joining Date]]))</f>
        <v>43881</v>
      </c>
      <c r="T823" t="str">
        <f>TEXT(tbl_HR_Data[[#This Row],[Joining Date]], "mmm")</f>
        <v>Feb</v>
      </c>
      <c r="U823" t="str">
        <f>TEXT(tbl_HR_Data[[#This Row],[Joining Date]], "ddd")</f>
        <v>Thu</v>
      </c>
    </row>
    <row r="824" spans="1:21" x14ac:dyDescent="0.35">
      <c r="A824" t="s">
        <v>105</v>
      </c>
      <c r="B824">
        <v>35</v>
      </c>
      <c r="C824">
        <v>60000</v>
      </c>
      <c r="D824" t="s">
        <v>36</v>
      </c>
      <c r="E824" t="s">
        <v>19</v>
      </c>
      <c r="F824" t="s">
        <v>44</v>
      </c>
      <c r="G824" s="3">
        <v>43881</v>
      </c>
      <c r="H824" t="str">
        <f>TEXT(tbl_HR_Data[[#This Row],[Joining Date]], "mmm")</f>
        <v>Feb</v>
      </c>
      <c r="I824" t="s">
        <v>92</v>
      </c>
      <c r="J824" t="s">
        <v>41</v>
      </c>
      <c r="K824" t="s">
        <v>77</v>
      </c>
      <c r="L824" t="s">
        <v>77</v>
      </c>
      <c r="M824">
        <f>IFERROR( _xlfn.XLOOKUP(TRIM(tbl_HR_Data[[#This Row],[Age]]),#REF!,#REF!), VALUE(TRIM(tbl_HR_Data[[#This Row],[Age]])))</f>
        <v>35</v>
      </c>
      <c r="N824" t="str">
        <f>IFERROR(_xlfn.XLOOKUP(tbl_HR_Data[[#This Row],[Gender]], Mapping[Gender _Discarded], Mapping[Gender_Correction]), PROPER(TRIM(tbl_HR_Data[[#This Row],[Gender]])))</f>
        <v>Other</v>
      </c>
      <c r="O824" t="str">
        <f>TRIM(tbl_HR_Data[[#This Row],[Position]])</f>
        <v>Analyst</v>
      </c>
      <c r="P824" t="str">
        <f>IFERROR(_xlfn.XLOOKUP(tbl_HR_Data[[#This Row],[Email]], Mapping[Email_Discarded], Mapping[Email_Correction]), LOWER(TRIM(tbl_HR_Data[[#This Row],[Email]])))</f>
        <v>not provided</v>
      </c>
      <c r="Q82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24" t="str" cm="1">
        <f t="array" ref="R824">_xlfn.REDUCE(Q824, {"-","/","_","\","(",")"}, _xlfn.LAMBDA(_xlpm.txt,_xlpm.itm, SUBSTITUTE(_xlpm.txt, _xlpm.itm, "")))</f>
        <v>Not Provided</v>
      </c>
      <c r="S824" s="3">
        <f>IFERROR(_xlfn.XLOOKUP(tbl_HR_Data[[#This Row],[Joining Date]], Mapping[Joining_Discarded], Mapping[Joining_Correction]), VALUE(tbl_HR_Data[[#This Row],[Joining Date]]))</f>
        <v>43881</v>
      </c>
      <c r="T824" t="str">
        <f>TEXT(tbl_HR_Data[[#This Row],[Joining Date]], "mmm")</f>
        <v>Feb</v>
      </c>
      <c r="U824" t="str">
        <f>TEXT(tbl_HR_Data[[#This Row],[Joining Date]], "ddd")</f>
        <v>Thu</v>
      </c>
    </row>
    <row r="825" spans="1:21" x14ac:dyDescent="0.35">
      <c r="A825" t="s">
        <v>106</v>
      </c>
      <c r="B825">
        <v>35</v>
      </c>
      <c r="C825">
        <v>65000</v>
      </c>
      <c r="D825" t="s">
        <v>11</v>
      </c>
      <c r="E825" t="s">
        <v>12</v>
      </c>
      <c r="F825" t="s">
        <v>39</v>
      </c>
      <c r="G825" s="3">
        <v>43881</v>
      </c>
      <c r="H825" t="str">
        <f>TEXT(tbl_HR_Data[[#This Row],[Joining Date]], "mmm")</f>
        <v>Feb</v>
      </c>
      <c r="I825" t="s">
        <v>92</v>
      </c>
      <c r="J825" t="s">
        <v>41</v>
      </c>
      <c r="K825" t="s">
        <v>32</v>
      </c>
      <c r="L825" t="s">
        <v>88</v>
      </c>
      <c r="M825">
        <f>IFERROR( _xlfn.XLOOKUP(TRIM(tbl_HR_Data[[#This Row],[Age]]),#REF!,#REF!), VALUE(TRIM(tbl_HR_Data[[#This Row],[Age]])))</f>
        <v>35</v>
      </c>
      <c r="N825" t="str">
        <f>IFERROR(_xlfn.XLOOKUP(tbl_HR_Data[[#This Row],[Gender]], Mapping[Gender _Discarded], Mapping[Gender_Correction]), PROPER(TRIM(tbl_HR_Data[[#This Row],[Gender]])))</f>
        <v>Male</v>
      </c>
      <c r="O825" t="str">
        <f>TRIM(tbl_HR_Data[[#This Row],[Position]])</f>
        <v>Clerk</v>
      </c>
      <c r="P825" t="str">
        <f>IFERROR(_xlfn.XLOOKUP(tbl_HR_Data[[#This Row],[Email]], Mapping[Email_Discarded], Mapping[Email_Correction]), LOWER(TRIM(tbl_HR_Data[[#This Row],[Email]])))</f>
        <v>name@company.org</v>
      </c>
      <c r="Q82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825" t="str" cm="1">
        <f t="array" ref="R825">_xlfn.REDUCE(Q825, {"-","/","_","\","(",")"}, _xlfn.LAMBDA(_xlpm.txt,_xlpm.itm, SUBSTITUTE(_xlpm.txt, _xlpm.itm, "")))</f>
        <v>0987654321</v>
      </c>
      <c r="S825" s="3">
        <f>IFERROR(_xlfn.XLOOKUP(tbl_HR_Data[[#This Row],[Joining Date]], Mapping[Joining_Discarded], Mapping[Joining_Correction]), VALUE(tbl_HR_Data[[#This Row],[Joining Date]]))</f>
        <v>43881</v>
      </c>
      <c r="T825" t="str">
        <f>TEXT(tbl_HR_Data[[#This Row],[Joining Date]], "mmm")</f>
        <v>Feb</v>
      </c>
      <c r="U825" t="str">
        <f>TEXT(tbl_HR_Data[[#This Row],[Joining Date]], "ddd")</f>
        <v>Thu</v>
      </c>
    </row>
    <row r="826" spans="1:21" x14ac:dyDescent="0.35">
      <c r="A826" t="s">
        <v>101</v>
      </c>
      <c r="B826">
        <v>30</v>
      </c>
      <c r="C826">
        <v>65000</v>
      </c>
      <c r="D826" t="s">
        <v>11</v>
      </c>
      <c r="E826" t="s">
        <v>19</v>
      </c>
      <c r="F826" t="s">
        <v>20</v>
      </c>
      <c r="G826" s="3">
        <v>43881</v>
      </c>
      <c r="H826" t="str">
        <f>TEXT(tbl_HR_Data[[#This Row],[Joining Date]], "mmm")</f>
        <v>Feb</v>
      </c>
      <c r="I826" t="s">
        <v>92</v>
      </c>
      <c r="J826" t="s">
        <v>14</v>
      </c>
      <c r="K826" t="s">
        <v>77</v>
      </c>
      <c r="L826" t="s">
        <v>77</v>
      </c>
      <c r="M826">
        <f>IFERROR( _xlfn.XLOOKUP(TRIM(tbl_HR_Data[[#This Row],[Age]]),#REF!,#REF!), VALUE(TRIM(tbl_HR_Data[[#This Row],[Age]])))</f>
        <v>30</v>
      </c>
      <c r="N826" t="str">
        <f>IFERROR(_xlfn.XLOOKUP(tbl_HR_Data[[#This Row],[Gender]], Mapping[Gender _Discarded], Mapping[Gender_Correction]), PROPER(TRIM(tbl_HR_Data[[#This Row],[Gender]])))</f>
        <v>Male</v>
      </c>
      <c r="O826" t="str">
        <f>TRIM(tbl_HR_Data[[#This Row],[Position]])</f>
        <v>Director</v>
      </c>
      <c r="P826" t="str">
        <f>IFERROR(_xlfn.XLOOKUP(tbl_HR_Data[[#This Row],[Email]], Mapping[Email_Discarded], Mapping[Email_Correction]), LOWER(TRIM(tbl_HR_Data[[#This Row],[Email]])))</f>
        <v>not provided</v>
      </c>
      <c r="Q82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26" t="str" cm="1">
        <f t="array" ref="R826">_xlfn.REDUCE(Q826, {"-","/","_","\","(",")"}, _xlfn.LAMBDA(_xlpm.txt,_xlpm.itm, SUBSTITUTE(_xlpm.txt, _xlpm.itm, "")))</f>
        <v>Not Provided</v>
      </c>
      <c r="S826" s="3">
        <f>IFERROR(_xlfn.XLOOKUP(tbl_HR_Data[[#This Row],[Joining Date]], Mapping[Joining_Discarded], Mapping[Joining_Correction]), VALUE(tbl_HR_Data[[#This Row],[Joining Date]]))</f>
        <v>43881</v>
      </c>
      <c r="T826" t="str">
        <f>TEXT(tbl_HR_Data[[#This Row],[Joining Date]], "mmm")</f>
        <v>Feb</v>
      </c>
      <c r="U826" t="str">
        <f>TEXT(tbl_HR_Data[[#This Row],[Joining Date]], "ddd")</f>
        <v>Thu</v>
      </c>
    </row>
    <row r="827" spans="1:21" x14ac:dyDescent="0.35">
      <c r="A827" t="s">
        <v>100</v>
      </c>
      <c r="B827">
        <v>40</v>
      </c>
      <c r="C827">
        <v>50000</v>
      </c>
      <c r="D827" t="s">
        <v>36</v>
      </c>
      <c r="E827" t="s">
        <v>26</v>
      </c>
      <c r="F827" t="s">
        <v>13</v>
      </c>
      <c r="G827" s="3">
        <v>43881</v>
      </c>
      <c r="H827" t="str">
        <f>TEXT(tbl_HR_Data[[#This Row],[Joining Date]], "mmm")</f>
        <v>Feb</v>
      </c>
      <c r="I827" t="s">
        <v>92</v>
      </c>
      <c r="J827" t="s">
        <v>41</v>
      </c>
      <c r="K827" t="s">
        <v>77</v>
      </c>
      <c r="L827" t="s">
        <v>77</v>
      </c>
      <c r="M827">
        <f>IFERROR( _xlfn.XLOOKUP(TRIM(tbl_HR_Data[[#This Row],[Age]]),#REF!,#REF!), VALUE(TRIM(tbl_HR_Data[[#This Row],[Age]])))</f>
        <v>40</v>
      </c>
      <c r="N827" t="str">
        <f>IFERROR(_xlfn.XLOOKUP(tbl_HR_Data[[#This Row],[Gender]], Mapping[Gender _Discarded], Mapping[Gender_Correction]), PROPER(TRIM(tbl_HR_Data[[#This Row],[Gender]])))</f>
        <v>Other</v>
      </c>
      <c r="O827" t="str">
        <f>TRIM(tbl_HR_Data[[#This Row],[Position]])</f>
        <v>Manager</v>
      </c>
      <c r="P827" t="str">
        <f>IFERROR(_xlfn.XLOOKUP(tbl_HR_Data[[#This Row],[Email]], Mapping[Email_Discarded], Mapping[Email_Correction]), LOWER(TRIM(tbl_HR_Data[[#This Row],[Email]])))</f>
        <v>not provided</v>
      </c>
      <c r="Q82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27" t="str" cm="1">
        <f t="array" ref="R827">_xlfn.REDUCE(Q827, {"-","/","_","\","(",")"}, _xlfn.LAMBDA(_xlpm.txt,_xlpm.itm, SUBSTITUTE(_xlpm.txt, _xlpm.itm, "")))</f>
        <v>Not Provided</v>
      </c>
      <c r="S827" s="3">
        <f>IFERROR(_xlfn.XLOOKUP(tbl_HR_Data[[#This Row],[Joining Date]], Mapping[Joining_Discarded], Mapping[Joining_Correction]), VALUE(tbl_HR_Data[[#This Row],[Joining Date]]))</f>
        <v>43881</v>
      </c>
      <c r="T827" t="str">
        <f>TEXT(tbl_HR_Data[[#This Row],[Joining Date]], "mmm")</f>
        <v>Feb</v>
      </c>
      <c r="U827" t="str">
        <f>TEXT(tbl_HR_Data[[#This Row],[Joining Date]], "ddd")</f>
        <v>Thu</v>
      </c>
    </row>
    <row r="828" spans="1:21" x14ac:dyDescent="0.35">
      <c r="A828" t="s">
        <v>105</v>
      </c>
      <c r="B828">
        <v>40</v>
      </c>
      <c r="C828">
        <v>55000</v>
      </c>
      <c r="D828" t="s">
        <v>11</v>
      </c>
      <c r="E828" t="s">
        <v>37</v>
      </c>
      <c r="F828" t="s">
        <v>20</v>
      </c>
      <c r="G828" s="3">
        <v>43881</v>
      </c>
      <c r="H828" t="str">
        <f>TEXT(tbl_HR_Data[[#This Row],[Joining Date]], "mmm")</f>
        <v>Feb</v>
      </c>
      <c r="I828" t="s">
        <v>92</v>
      </c>
      <c r="J828" t="s">
        <v>14</v>
      </c>
      <c r="K828" t="s">
        <v>22</v>
      </c>
      <c r="L828" t="s">
        <v>77</v>
      </c>
      <c r="M828">
        <f>IFERROR( _xlfn.XLOOKUP(TRIM(tbl_HR_Data[[#This Row],[Age]]),#REF!,#REF!), VALUE(TRIM(tbl_HR_Data[[#This Row],[Age]])))</f>
        <v>40</v>
      </c>
      <c r="N828" t="str">
        <f>IFERROR(_xlfn.XLOOKUP(tbl_HR_Data[[#This Row],[Gender]], Mapping[Gender _Discarded], Mapping[Gender_Correction]), PROPER(TRIM(tbl_HR_Data[[#This Row],[Gender]])))</f>
        <v>Male</v>
      </c>
      <c r="O828" t="str">
        <f>TRIM(tbl_HR_Data[[#This Row],[Position]])</f>
        <v>Director</v>
      </c>
      <c r="P828" t="str">
        <f>IFERROR(_xlfn.XLOOKUP(tbl_HR_Data[[#This Row],[Email]], Mapping[Email_Discarded], Mapping[Email_Correction]), LOWER(TRIM(tbl_HR_Data[[#This Row],[Email]])))</f>
        <v>user@domain.com</v>
      </c>
      <c r="Q82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28" t="str" cm="1">
        <f t="array" ref="R828">_xlfn.REDUCE(Q828, {"-","/","_","\","(",")"}, _xlfn.LAMBDA(_xlpm.txt,_xlpm.itm, SUBSTITUTE(_xlpm.txt, _xlpm.itm, "")))</f>
        <v>Not Provided</v>
      </c>
      <c r="S828" s="3">
        <f>IFERROR(_xlfn.XLOOKUP(tbl_HR_Data[[#This Row],[Joining Date]], Mapping[Joining_Discarded], Mapping[Joining_Correction]), VALUE(tbl_HR_Data[[#This Row],[Joining Date]]))</f>
        <v>43881</v>
      </c>
      <c r="T828" t="str">
        <f>TEXT(tbl_HR_Data[[#This Row],[Joining Date]], "mmm")</f>
        <v>Feb</v>
      </c>
      <c r="U828" t="str">
        <f>TEXT(tbl_HR_Data[[#This Row],[Joining Date]], "ddd")</f>
        <v>Thu</v>
      </c>
    </row>
    <row r="829" spans="1:21" x14ac:dyDescent="0.35">
      <c r="A829" t="s">
        <v>103</v>
      </c>
      <c r="B829">
        <v>25</v>
      </c>
      <c r="C829">
        <v>60000</v>
      </c>
      <c r="D829" t="s">
        <v>36</v>
      </c>
      <c r="E829" t="s">
        <v>19</v>
      </c>
      <c r="F829" t="s">
        <v>39</v>
      </c>
      <c r="G829" s="3">
        <v>43881</v>
      </c>
      <c r="H829" t="str">
        <f>TEXT(tbl_HR_Data[[#This Row],[Joining Date]], "mmm")</f>
        <v>Feb</v>
      </c>
      <c r="I829" t="s">
        <v>92</v>
      </c>
      <c r="J829" t="s">
        <v>31</v>
      </c>
      <c r="K829" t="s">
        <v>77</v>
      </c>
      <c r="L829" t="s">
        <v>88</v>
      </c>
      <c r="M829">
        <f>IFERROR( _xlfn.XLOOKUP(TRIM(tbl_HR_Data[[#This Row],[Age]]),#REF!,#REF!), VALUE(TRIM(tbl_HR_Data[[#This Row],[Age]])))</f>
        <v>25</v>
      </c>
      <c r="N829" t="str">
        <f>IFERROR(_xlfn.XLOOKUP(tbl_HR_Data[[#This Row],[Gender]], Mapping[Gender _Discarded], Mapping[Gender_Correction]), PROPER(TRIM(tbl_HR_Data[[#This Row],[Gender]])))</f>
        <v>Other</v>
      </c>
      <c r="O829" t="str">
        <f>TRIM(tbl_HR_Data[[#This Row],[Position]])</f>
        <v>Clerk</v>
      </c>
      <c r="P829" t="str">
        <f>IFERROR(_xlfn.XLOOKUP(tbl_HR_Data[[#This Row],[Email]], Mapping[Email_Discarded], Mapping[Email_Correction]), LOWER(TRIM(tbl_HR_Data[[#This Row],[Email]])))</f>
        <v>not provided</v>
      </c>
      <c r="Q82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829" t="str" cm="1">
        <f t="array" ref="R829">_xlfn.REDUCE(Q829, {"-","/","_","\","(",")"}, _xlfn.LAMBDA(_xlpm.txt,_xlpm.itm, SUBSTITUTE(_xlpm.txt, _xlpm.itm, "")))</f>
        <v>0987654321</v>
      </c>
      <c r="S829" s="3">
        <f>IFERROR(_xlfn.XLOOKUP(tbl_HR_Data[[#This Row],[Joining Date]], Mapping[Joining_Discarded], Mapping[Joining_Correction]), VALUE(tbl_HR_Data[[#This Row],[Joining Date]]))</f>
        <v>43881</v>
      </c>
      <c r="T829" t="str">
        <f>TEXT(tbl_HR_Data[[#This Row],[Joining Date]], "mmm")</f>
        <v>Feb</v>
      </c>
      <c r="U829" t="str">
        <f>TEXT(tbl_HR_Data[[#This Row],[Joining Date]], "ddd")</f>
        <v>Thu</v>
      </c>
    </row>
    <row r="830" spans="1:21" x14ac:dyDescent="0.35">
      <c r="A830" t="s">
        <v>101</v>
      </c>
      <c r="B830">
        <v>25</v>
      </c>
      <c r="C830">
        <v>55000</v>
      </c>
      <c r="D830" t="s">
        <v>18</v>
      </c>
      <c r="E830" t="s">
        <v>12</v>
      </c>
      <c r="F830" t="s">
        <v>39</v>
      </c>
      <c r="G830" s="3">
        <v>43881</v>
      </c>
      <c r="H830" t="str">
        <f>TEXT(tbl_HR_Data[[#This Row],[Joining Date]], "mmm")</f>
        <v>Feb</v>
      </c>
      <c r="I830" t="s">
        <v>92</v>
      </c>
      <c r="J830" t="s">
        <v>27</v>
      </c>
      <c r="K830" t="s">
        <v>77</v>
      </c>
      <c r="L830" t="s">
        <v>77</v>
      </c>
      <c r="M830">
        <f>IFERROR( _xlfn.XLOOKUP(TRIM(tbl_HR_Data[[#This Row],[Age]]),#REF!,#REF!), VALUE(TRIM(tbl_HR_Data[[#This Row],[Age]])))</f>
        <v>25</v>
      </c>
      <c r="N830" t="str">
        <f>IFERROR(_xlfn.XLOOKUP(tbl_HR_Data[[#This Row],[Gender]], Mapping[Gender _Discarded], Mapping[Gender_Correction]), PROPER(TRIM(tbl_HR_Data[[#This Row],[Gender]])))</f>
        <v>Female</v>
      </c>
      <c r="O830" t="str">
        <f>TRIM(tbl_HR_Data[[#This Row],[Position]])</f>
        <v>Clerk</v>
      </c>
      <c r="P830" t="str">
        <f>IFERROR(_xlfn.XLOOKUP(tbl_HR_Data[[#This Row],[Email]], Mapping[Email_Discarded], Mapping[Email_Correction]), LOWER(TRIM(tbl_HR_Data[[#This Row],[Email]])))</f>
        <v>not provided</v>
      </c>
      <c r="Q83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30" t="str" cm="1">
        <f t="array" ref="R830">_xlfn.REDUCE(Q830, {"-","/","_","\","(",")"}, _xlfn.LAMBDA(_xlpm.txt,_xlpm.itm, SUBSTITUTE(_xlpm.txt, _xlpm.itm, "")))</f>
        <v>Not Provided</v>
      </c>
      <c r="S830" s="3">
        <f>IFERROR(_xlfn.XLOOKUP(tbl_HR_Data[[#This Row],[Joining Date]], Mapping[Joining_Discarded], Mapping[Joining_Correction]), VALUE(tbl_HR_Data[[#This Row],[Joining Date]]))</f>
        <v>43881</v>
      </c>
      <c r="T830" t="str">
        <f>TEXT(tbl_HR_Data[[#This Row],[Joining Date]], "mmm")</f>
        <v>Feb</v>
      </c>
      <c r="U830" t="str">
        <f>TEXT(tbl_HR_Data[[#This Row],[Joining Date]], "ddd")</f>
        <v>Thu</v>
      </c>
    </row>
    <row r="831" spans="1:21" x14ac:dyDescent="0.35">
      <c r="A831" t="s">
        <v>105</v>
      </c>
      <c r="B831">
        <v>30</v>
      </c>
      <c r="C831">
        <v>70000</v>
      </c>
      <c r="D831" t="s">
        <v>11</v>
      </c>
      <c r="E831" t="s">
        <v>26</v>
      </c>
      <c r="F831" t="s">
        <v>20</v>
      </c>
      <c r="G831" s="3">
        <v>43881</v>
      </c>
      <c r="H831" t="str">
        <f>TEXT(tbl_HR_Data[[#This Row],[Joining Date]], "mmm")</f>
        <v>Feb</v>
      </c>
      <c r="I831" t="s">
        <v>92</v>
      </c>
      <c r="J831" t="s">
        <v>14</v>
      </c>
      <c r="K831" t="s">
        <v>22</v>
      </c>
      <c r="L831" t="s">
        <v>77</v>
      </c>
      <c r="M831">
        <f>IFERROR( _xlfn.XLOOKUP(TRIM(tbl_HR_Data[[#This Row],[Age]]),#REF!,#REF!), VALUE(TRIM(tbl_HR_Data[[#This Row],[Age]])))</f>
        <v>30</v>
      </c>
      <c r="N831" t="str">
        <f>IFERROR(_xlfn.XLOOKUP(tbl_HR_Data[[#This Row],[Gender]], Mapping[Gender _Discarded], Mapping[Gender_Correction]), PROPER(TRIM(tbl_HR_Data[[#This Row],[Gender]])))</f>
        <v>Male</v>
      </c>
      <c r="O831" t="str">
        <f>TRIM(tbl_HR_Data[[#This Row],[Position]])</f>
        <v>Director</v>
      </c>
      <c r="P831" t="str">
        <f>IFERROR(_xlfn.XLOOKUP(tbl_HR_Data[[#This Row],[Email]], Mapping[Email_Discarded], Mapping[Email_Correction]), LOWER(TRIM(tbl_HR_Data[[#This Row],[Email]])))</f>
        <v>user@domain.com</v>
      </c>
      <c r="Q83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31" t="str" cm="1">
        <f t="array" ref="R831">_xlfn.REDUCE(Q831, {"-","/","_","\","(",")"}, _xlfn.LAMBDA(_xlpm.txt,_xlpm.itm, SUBSTITUTE(_xlpm.txt, _xlpm.itm, "")))</f>
        <v>Not Provided</v>
      </c>
      <c r="S831" s="3">
        <f>IFERROR(_xlfn.XLOOKUP(tbl_HR_Data[[#This Row],[Joining Date]], Mapping[Joining_Discarded], Mapping[Joining_Correction]), VALUE(tbl_HR_Data[[#This Row],[Joining Date]]))</f>
        <v>43881</v>
      </c>
      <c r="T831" t="str">
        <f>TEXT(tbl_HR_Data[[#This Row],[Joining Date]], "mmm")</f>
        <v>Feb</v>
      </c>
      <c r="U831" t="str">
        <f>TEXT(tbl_HR_Data[[#This Row],[Joining Date]], "ddd")</f>
        <v>Thu</v>
      </c>
    </row>
    <row r="832" spans="1:21" x14ac:dyDescent="0.35">
      <c r="A832" t="s">
        <v>108</v>
      </c>
      <c r="B832">
        <v>30</v>
      </c>
      <c r="C832">
        <v>60000</v>
      </c>
      <c r="D832" t="s">
        <v>18</v>
      </c>
      <c r="E832" t="s">
        <v>37</v>
      </c>
      <c r="F832" t="s">
        <v>44</v>
      </c>
      <c r="G832" s="3">
        <v>43881</v>
      </c>
      <c r="H832" t="str">
        <f>TEXT(tbl_HR_Data[[#This Row],[Joining Date]], "mmm")</f>
        <v>Feb</v>
      </c>
      <c r="I832" t="s">
        <v>92</v>
      </c>
      <c r="J832" t="s">
        <v>31</v>
      </c>
      <c r="K832" t="s">
        <v>77</v>
      </c>
      <c r="L832" t="s">
        <v>87</v>
      </c>
      <c r="M832">
        <f>IFERROR( _xlfn.XLOOKUP(TRIM(tbl_HR_Data[[#This Row],[Age]]),#REF!,#REF!), VALUE(TRIM(tbl_HR_Data[[#This Row],[Age]])))</f>
        <v>30</v>
      </c>
      <c r="N832" t="str">
        <f>IFERROR(_xlfn.XLOOKUP(tbl_HR_Data[[#This Row],[Gender]], Mapping[Gender _Discarded], Mapping[Gender_Correction]), PROPER(TRIM(tbl_HR_Data[[#This Row],[Gender]])))</f>
        <v>Female</v>
      </c>
      <c r="O832" t="str">
        <f>TRIM(tbl_HR_Data[[#This Row],[Position]])</f>
        <v>Analyst</v>
      </c>
      <c r="P832" t="str">
        <f>IFERROR(_xlfn.XLOOKUP(tbl_HR_Data[[#This Row],[Email]], Mapping[Email_Discarded], Mapping[Email_Correction]), LOWER(TRIM(tbl_HR_Data[[#This Row],[Email]])))</f>
        <v>not provided</v>
      </c>
      <c r="Q83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832" t="str" cm="1">
        <f t="array" ref="R832">_xlfn.REDUCE(Q832, {"-","/","_","\","(",")"}, _xlfn.LAMBDA(_xlpm.txt,_xlpm.itm, SUBSTITUTE(_xlpm.txt, _xlpm.itm, "")))</f>
        <v>1234567890</v>
      </c>
      <c r="S832" s="3">
        <f>IFERROR(_xlfn.XLOOKUP(tbl_HR_Data[[#This Row],[Joining Date]], Mapping[Joining_Discarded], Mapping[Joining_Correction]), VALUE(tbl_HR_Data[[#This Row],[Joining Date]]))</f>
        <v>43881</v>
      </c>
      <c r="T832" t="str">
        <f>TEXT(tbl_HR_Data[[#This Row],[Joining Date]], "mmm")</f>
        <v>Feb</v>
      </c>
      <c r="U832" t="str">
        <f>TEXT(tbl_HR_Data[[#This Row],[Joining Date]], "ddd")</f>
        <v>Thu</v>
      </c>
    </row>
    <row r="833" spans="1:21" x14ac:dyDescent="0.35">
      <c r="A833" t="s">
        <v>104</v>
      </c>
      <c r="B833">
        <v>25</v>
      </c>
      <c r="C833">
        <v>0</v>
      </c>
      <c r="D833" t="s">
        <v>36</v>
      </c>
      <c r="E833" t="s">
        <v>12</v>
      </c>
      <c r="F833" t="s">
        <v>20</v>
      </c>
      <c r="G833" s="3">
        <v>43881</v>
      </c>
      <c r="H833" t="str">
        <f>TEXT(tbl_HR_Data[[#This Row],[Joining Date]], "mmm")</f>
        <v>Feb</v>
      </c>
      <c r="I833" t="s">
        <v>92</v>
      </c>
      <c r="J833" t="s">
        <v>27</v>
      </c>
      <c r="K833" t="s">
        <v>32</v>
      </c>
      <c r="L833" t="s">
        <v>89</v>
      </c>
      <c r="M833">
        <f>IFERROR( _xlfn.XLOOKUP(TRIM(tbl_HR_Data[[#This Row],[Age]]),#REF!,#REF!), VALUE(TRIM(tbl_HR_Data[[#This Row],[Age]])))</f>
        <v>25</v>
      </c>
      <c r="N833" t="str">
        <f>IFERROR(_xlfn.XLOOKUP(tbl_HR_Data[[#This Row],[Gender]], Mapping[Gender _Discarded], Mapping[Gender_Correction]), PROPER(TRIM(tbl_HR_Data[[#This Row],[Gender]])))</f>
        <v>Other</v>
      </c>
      <c r="O833" t="str">
        <f>TRIM(tbl_HR_Data[[#This Row],[Position]])</f>
        <v>Director</v>
      </c>
      <c r="P833" t="str">
        <f>IFERROR(_xlfn.XLOOKUP(tbl_HR_Data[[#This Row],[Email]], Mapping[Email_Discarded], Mapping[Email_Correction]), LOWER(TRIM(tbl_HR_Data[[#This Row],[Email]])))</f>
        <v>name@company.org</v>
      </c>
      <c r="Q83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833" t="str" cm="1">
        <f t="array" ref="R833">_xlfn.REDUCE(Q833, {"-","/","_","\","(",")"}, _xlfn.LAMBDA(_xlpm.txt,_xlpm.itm, SUBSTITUTE(_xlpm.txt, _xlpm.itm, "")))</f>
        <v>5555555555</v>
      </c>
      <c r="S833" s="3">
        <f>IFERROR(_xlfn.XLOOKUP(tbl_HR_Data[[#This Row],[Joining Date]], Mapping[Joining_Discarded], Mapping[Joining_Correction]), VALUE(tbl_HR_Data[[#This Row],[Joining Date]]))</f>
        <v>43881</v>
      </c>
      <c r="T833" t="str">
        <f>TEXT(tbl_HR_Data[[#This Row],[Joining Date]], "mmm")</f>
        <v>Feb</v>
      </c>
      <c r="U833" t="str">
        <f>TEXT(tbl_HR_Data[[#This Row],[Joining Date]], "ddd")</f>
        <v>Thu</v>
      </c>
    </row>
    <row r="834" spans="1:21" x14ac:dyDescent="0.35">
      <c r="A834" t="s">
        <v>103</v>
      </c>
      <c r="B834">
        <v>40</v>
      </c>
      <c r="C834">
        <v>0</v>
      </c>
      <c r="D834" t="s">
        <v>11</v>
      </c>
      <c r="E834" t="s">
        <v>30</v>
      </c>
      <c r="F834" t="s">
        <v>39</v>
      </c>
      <c r="G834" s="3">
        <v>43881</v>
      </c>
      <c r="H834" t="str">
        <f>TEXT(tbl_HR_Data[[#This Row],[Joining Date]], "mmm")</f>
        <v>Feb</v>
      </c>
      <c r="I834" t="s">
        <v>92</v>
      </c>
      <c r="J834" t="s">
        <v>31</v>
      </c>
      <c r="K834" t="s">
        <v>77</v>
      </c>
      <c r="L834" t="s">
        <v>87</v>
      </c>
      <c r="M834">
        <f>IFERROR( _xlfn.XLOOKUP(TRIM(tbl_HR_Data[[#This Row],[Age]]),#REF!,#REF!), VALUE(TRIM(tbl_HR_Data[[#This Row],[Age]])))</f>
        <v>40</v>
      </c>
      <c r="N834" t="str">
        <f>IFERROR(_xlfn.XLOOKUP(tbl_HR_Data[[#This Row],[Gender]], Mapping[Gender _Discarded], Mapping[Gender_Correction]), PROPER(TRIM(tbl_HR_Data[[#This Row],[Gender]])))</f>
        <v>Male</v>
      </c>
      <c r="O834" t="str">
        <f>TRIM(tbl_HR_Data[[#This Row],[Position]])</f>
        <v>Clerk</v>
      </c>
      <c r="P834" t="str">
        <f>IFERROR(_xlfn.XLOOKUP(tbl_HR_Data[[#This Row],[Email]], Mapping[Email_Discarded], Mapping[Email_Correction]), LOWER(TRIM(tbl_HR_Data[[#This Row],[Email]])))</f>
        <v>not provided</v>
      </c>
      <c r="Q83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834" t="str" cm="1">
        <f t="array" ref="R834">_xlfn.REDUCE(Q834, {"-","/","_","\","(",")"}, _xlfn.LAMBDA(_xlpm.txt,_xlpm.itm, SUBSTITUTE(_xlpm.txt, _xlpm.itm, "")))</f>
        <v>1234567890</v>
      </c>
      <c r="S834" s="3">
        <f>IFERROR(_xlfn.XLOOKUP(tbl_HR_Data[[#This Row],[Joining Date]], Mapping[Joining_Discarded], Mapping[Joining_Correction]), VALUE(tbl_HR_Data[[#This Row],[Joining Date]]))</f>
        <v>43881</v>
      </c>
      <c r="T834" t="str">
        <f>TEXT(tbl_HR_Data[[#This Row],[Joining Date]], "mmm")</f>
        <v>Feb</v>
      </c>
      <c r="U834" t="str">
        <f>TEXT(tbl_HR_Data[[#This Row],[Joining Date]], "ddd")</f>
        <v>Thu</v>
      </c>
    </row>
    <row r="835" spans="1:21" x14ac:dyDescent="0.35">
      <c r="A835" t="s">
        <v>102</v>
      </c>
      <c r="B835">
        <v>25</v>
      </c>
      <c r="C835">
        <v>0</v>
      </c>
      <c r="D835" t="s">
        <v>11</v>
      </c>
      <c r="E835" t="s">
        <v>19</v>
      </c>
      <c r="F835" t="s">
        <v>43</v>
      </c>
      <c r="G835" s="3">
        <v>43881</v>
      </c>
      <c r="H835" t="str">
        <f>TEXT(tbl_HR_Data[[#This Row],[Joining Date]], "mmm")</f>
        <v>Feb</v>
      </c>
      <c r="I835" t="s">
        <v>92</v>
      </c>
      <c r="J835" t="s">
        <v>41</v>
      </c>
      <c r="K835" t="s">
        <v>32</v>
      </c>
      <c r="L835" t="s">
        <v>88</v>
      </c>
      <c r="M835">
        <f>IFERROR( _xlfn.XLOOKUP(TRIM(tbl_HR_Data[[#This Row],[Age]]),#REF!,#REF!), VALUE(TRIM(tbl_HR_Data[[#This Row],[Age]])))</f>
        <v>25</v>
      </c>
      <c r="N835" t="str">
        <f>IFERROR(_xlfn.XLOOKUP(tbl_HR_Data[[#This Row],[Gender]], Mapping[Gender _Discarded], Mapping[Gender_Correction]), PROPER(TRIM(tbl_HR_Data[[#This Row],[Gender]])))</f>
        <v>Male</v>
      </c>
      <c r="O835" t="str">
        <f>TRIM(tbl_HR_Data[[#This Row],[Position]])</f>
        <v>Assistant</v>
      </c>
      <c r="P835" t="str">
        <f>IFERROR(_xlfn.XLOOKUP(tbl_HR_Data[[#This Row],[Email]], Mapping[Email_Discarded], Mapping[Email_Correction]), LOWER(TRIM(tbl_HR_Data[[#This Row],[Email]])))</f>
        <v>name@company.org</v>
      </c>
      <c r="Q83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835" t="str" cm="1">
        <f t="array" ref="R835">_xlfn.REDUCE(Q835, {"-","/","_","\","(",")"}, _xlfn.LAMBDA(_xlpm.txt,_xlpm.itm, SUBSTITUTE(_xlpm.txt, _xlpm.itm, "")))</f>
        <v>0987654321</v>
      </c>
      <c r="S835" s="3">
        <f>IFERROR(_xlfn.XLOOKUP(tbl_HR_Data[[#This Row],[Joining Date]], Mapping[Joining_Discarded], Mapping[Joining_Correction]), VALUE(tbl_HR_Data[[#This Row],[Joining Date]]))</f>
        <v>43881</v>
      </c>
      <c r="T835" t="str">
        <f>TEXT(tbl_HR_Data[[#This Row],[Joining Date]], "mmm")</f>
        <v>Feb</v>
      </c>
      <c r="U835" t="str">
        <f>TEXT(tbl_HR_Data[[#This Row],[Joining Date]], "ddd")</f>
        <v>Thu</v>
      </c>
    </row>
    <row r="836" spans="1:21" x14ac:dyDescent="0.35">
      <c r="A836" t="s">
        <v>99</v>
      </c>
      <c r="B836">
        <v>50</v>
      </c>
      <c r="C836">
        <v>55000</v>
      </c>
      <c r="D836" t="s">
        <v>18</v>
      </c>
      <c r="E836" t="s">
        <v>30</v>
      </c>
      <c r="F836" t="s">
        <v>20</v>
      </c>
      <c r="G836" s="3">
        <v>43881</v>
      </c>
      <c r="H836" t="str">
        <f>TEXT(tbl_HR_Data[[#This Row],[Joining Date]], "mmm")</f>
        <v>Feb</v>
      </c>
      <c r="I836" t="s">
        <v>92</v>
      </c>
      <c r="J836" t="s">
        <v>27</v>
      </c>
      <c r="K836" t="s">
        <v>22</v>
      </c>
      <c r="L836" t="s">
        <v>89</v>
      </c>
      <c r="M836">
        <f>IFERROR( _xlfn.XLOOKUP(TRIM(tbl_HR_Data[[#This Row],[Age]]),#REF!,#REF!), VALUE(TRIM(tbl_HR_Data[[#This Row],[Age]])))</f>
        <v>50</v>
      </c>
      <c r="N836" t="str">
        <f>IFERROR(_xlfn.XLOOKUP(tbl_HR_Data[[#This Row],[Gender]], Mapping[Gender _Discarded], Mapping[Gender_Correction]), PROPER(TRIM(tbl_HR_Data[[#This Row],[Gender]])))</f>
        <v>Female</v>
      </c>
      <c r="O836" t="str">
        <f>TRIM(tbl_HR_Data[[#This Row],[Position]])</f>
        <v>Director</v>
      </c>
      <c r="P836" t="str">
        <f>IFERROR(_xlfn.XLOOKUP(tbl_HR_Data[[#This Row],[Email]], Mapping[Email_Discarded], Mapping[Email_Correction]), LOWER(TRIM(tbl_HR_Data[[#This Row],[Email]])))</f>
        <v>user@domain.com</v>
      </c>
      <c r="Q83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836" t="str" cm="1">
        <f t="array" ref="R836">_xlfn.REDUCE(Q836, {"-","/","_","\","(",")"}, _xlfn.LAMBDA(_xlpm.txt,_xlpm.itm, SUBSTITUTE(_xlpm.txt, _xlpm.itm, "")))</f>
        <v>5555555555</v>
      </c>
      <c r="S836" s="3">
        <f>IFERROR(_xlfn.XLOOKUP(tbl_HR_Data[[#This Row],[Joining Date]], Mapping[Joining_Discarded], Mapping[Joining_Correction]), VALUE(tbl_HR_Data[[#This Row],[Joining Date]]))</f>
        <v>43881</v>
      </c>
      <c r="T836" t="str">
        <f>TEXT(tbl_HR_Data[[#This Row],[Joining Date]], "mmm")</f>
        <v>Feb</v>
      </c>
      <c r="U836" t="str">
        <f>TEXT(tbl_HR_Data[[#This Row],[Joining Date]], "ddd")</f>
        <v>Thu</v>
      </c>
    </row>
    <row r="837" spans="1:21" x14ac:dyDescent="0.35">
      <c r="A837" t="s">
        <v>103</v>
      </c>
      <c r="B837">
        <v>35</v>
      </c>
      <c r="C837">
        <v>65000</v>
      </c>
      <c r="D837" t="s">
        <v>18</v>
      </c>
      <c r="E837" t="s">
        <v>37</v>
      </c>
      <c r="F837" t="s">
        <v>44</v>
      </c>
      <c r="G837" s="3">
        <v>43881</v>
      </c>
      <c r="H837" t="str">
        <f>TEXT(tbl_HR_Data[[#This Row],[Joining Date]], "mmm")</f>
        <v>Feb</v>
      </c>
      <c r="I837" t="s">
        <v>92</v>
      </c>
      <c r="J837" t="s">
        <v>41</v>
      </c>
      <c r="K837" t="s">
        <v>77</v>
      </c>
      <c r="L837" t="s">
        <v>88</v>
      </c>
      <c r="M837">
        <f>IFERROR( _xlfn.XLOOKUP(TRIM(tbl_HR_Data[[#This Row],[Age]]),#REF!,#REF!), VALUE(TRIM(tbl_HR_Data[[#This Row],[Age]])))</f>
        <v>35</v>
      </c>
      <c r="N837" t="str">
        <f>IFERROR(_xlfn.XLOOKUP(tbl_HR_Data[[#This Row],[Gender]], Mapping[Gender _Discarded], Mapping[Gender_Correction]), PROPER(TRIM(tbl_HR_Data[[#This Row],[Gender]])))</f>
        <v>Female</v>
      </c>
      <c r="O837" t="str">
        <f>TRIM(tbl_HR_Data[[#This Row],[Position]])</f>
        <v>Analyst</v>
      </c>
      <c r="P837" t="str">
        <f>IFERROR(_xlfn.XLOOKUP(tbl_HR_Data[[#This Row],[Email]], Mapping[Email_Discarded], Mapping[Email_Correction]), LOWER(TRIM(tbl_HR_Data[[#This Row],[Email]])))</f>
        <v>not provided</v>
      </c>
      <c r="Q83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837" t="str" cm="1">
        <f t="array" ref="R837">_xlfn.REDUCE(Q837, {"-","/","_","\","(",")"}, _xlfn.LAMBDA(_xlpm.txt,_xlpm.itm, SUBSTITUTE(_xlpm.txt, _xlpm.itm, "")))</f>
        <v>0987654321</v>
      </c>
      <c r="S837" s="3">
        <f>IFERROR(_xlfn.XLOOKUP(tbl_HR_Data[[#This Row],[Joining Date]], Mapping[Joining_Discarded], Mapping[Joining_Correction]), VALUE(tbl_HR_Data[[#This Row],[Joining Date]]))</f>
        <v>43881</v>
      </c>
      <c r="T837" t="str">
        <f>TEXT(tbl_HR_Data[[#This Row],[Joining Date]], "mmm")</f>
        <v>Feb</v>
      </c>
      <c r="U837" t="str">
        <f>TEXT(tbl_HR_Data[[#This Row],[Joining Date]], "ddd")</f>
        <v>Thu</v>
      </c>
    </row>
    <row r="838" spans="1:21" x14ac:dyDescent="0.35">
      <c r="A838" t="s">
        <v>106</v>
      </c>
      <c r="B838">
        <v>30</v>
      </c>
      <c r="C838">
        <v>55000</v>
      </c>
      <c r="D838" t="s">
        <v>11</v>
      </c>
      <c r="E838" t="s">
        <v>30</v>
      </c>
      <c r="F838" t="s">
        <v>20</v>
      </c>
      <c r="G838" s="3">
        <v>43881</v>
      </c>
      <c r="H838" t="str">
        <f>TEXT(tbl_HR_Data[[#This Row],[Joining Date]], "mmm")</f>
        <v>Feb</v>
      </c>
      <c r="I838" t="s">
        <v>92</v>
      </c>
      <c r="J838" t="s">
        <v>14</v>
      </c>
      <c r="K838" t="s">
        <v>77</v>
      </c>
      <c r="L838" t="s">
        <v>89</v>
      </c>
      <c r="M838">
        <f>IFERROR( _xlfn.XLOOKUP(TRIM(tbl_HR_Data[[#This Row],[Age]]),#REF!,#REF!), VALUE(TRIM(tbl_HR_Data[[#This Row],[Age]])))</f>
        <v>30</v>
      </c>
      <c r="N838" t="str">
        <f>IFERROR(_xlfn.XLOOKUP(tbl_HR_Data[[#This Row],[Gender]], Mapping[Gender _Discarded], Mapping[Gender_Correction]), PROPER(TRIM(tbl_HR_Data[[#This Row],[Gender]])))</f>
        <v>Male</v>
      </c>
      <c r="O838" t="str">
        <f>TRIM(tbl_HR_Data[[#This Row],[Position]])</f>
        <v>Director</v>
      </c>
      <c r="P838" t="str">
        <f>IFERROR(_xlfn.XLOOKUP(tbl_HR_Data[[#This Row],[Email]], Mapping[Email_Discarded], Mapping[Email_Correction]), LOWER(TRIM(tbl_HR_Data[[#This Row],[Email]])))</f>
        <v>not provided</v>
      </c>
      <c r="Q83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838" t="str" cm="1">
        <f t="array" ref="R838">_xlfn.REDUCE(Q838, {"-","/","_","\","(",")"}, _xlfn.LAMBDA(_xlpm.txt,_xlpm.itm, SUBSTITUTE(_xlpm.txt, _xlpm.itm, "")))</f>
        <v>5555555555</v>
      </c>
      <c r="S838" s="3">
        <f>IFERROR(_xlfn.XLOOKUP(tbl_HR_Data[[#This Row],[Joining Date]], Mapping[Joining_Discarded], Mapping[Joining_Correction]), VALUE(tbl_HR_Data[[#This Row],[Joining Date]]))</f>
        <v>43881</v>
      </c>
      <c r="T838" t="str">
        <f>TEXT(tbl_HR_Data[[#This Row],[Joining Date]], "mmm")</f>
        <v>Feb</v>
      </c>
      <c r="U838" t="str">
        <f>TEXT(tbl_HR_Data[[#This Row],[Joining Date]], "ddd")</f>
        <v>Thu</v>
      </c>
    </row>
    <row r="839" spans="1:21" x14ac:dyDescent="0.35">
      <c r="A839" t="s">
        <v>107</v>
      </c>
      <c r="B839">
        <v>0</v>
      </c>
      <c r="C839">
        <v>70000</v>
      </c>
      <c r="D839" t="s">
        <v>36</v>
      </c>
      <c r="E839" t="s">
        <v>37</v>
      </c>
      <c r="F839" t="s">
        <v>44</v>
      </c>
      <c r="G839" s="3">
        <v>43881</v>
      </c>
      <c r="H839" t="str">
        <f>TEXT(tbl_HR_Data[[#This Row],[Joining Date]], "mmm")</f>
        <v>Feb</v>
      </c>
      <c r="I839" t="s">
        <v>92</v>
      </c>
      <c r="J839" t="s">
        <v>31</v>
      </c>
      <c r="K839" t="s">
        <v>77</v>
      </c>
      <c r="L839" t="s">
        <v>88</v>
      </c>
      <c r="M839">
        <f>IFERROR( _xlfn.XLOOKUP(TRIM(tbl_HR_Data[[#This Row],[Age]]),#REF!,#REF!), VALUE(TRIM(tbl_HR_Data[[#This Row],[Age]])))</f>
        <v>0</v>
      </c>
      <c r="N839" t="str">
        <f>IFERROR(_xlfn.XLOOKUP(tbl_HR_Data[[#This Row],[Gender]], Mapping[Gender _Discarded], Mapping[Gender_Correction]), PROPER(TRIM(tbl_HR_Data[[#This Row],[Gender]])))</f>
        <v>Other</v>
      </c>
      <c r="O839" t="str">
        <f>TRIM(tbl_HR_Data[[#This Row],[Position]])</f>
        <v>Analyst</v>
      </c>
      <c r="P839" t="str">
        <f>IFERROR(_xlfn.XLOOKUP(tbl_HR_Data[[#This Row],[Email]], Mapping[Email_Discarded], Mapping[Email_Correction]), LOWER(TRIM(tbl_HR_Data[[#This Row],[Email]])))</f>
        <v>not provided</v>
      </c>
      <c r="Q83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839" t="str" cm="1">
        <f t="array" ref="R839">_xlfn.REDUCE(Q839, {"-","/","_","\","(",")"}, _xlfn.LAMBDA(_xlpm.txt,_xlpm.itm, SUBSTITUTE(_xlpm.txt, _xlpm.itm, "")))</f>
        <v>0987654321</v>
      </c>
      <c r="S839" s="3">
        <f>IFERROR(_xlfn.XLOOKUP(tbl_HR_Data[[#This Row],[Joining Date]], Mapping[Joining_Discarded], Mapping[Joining_Correction]), VALUE(tbl_HR_Data[[#This Row],[Joining Date]]))</f>
        <v>43881</v>
      </c>
      <c r="T839" t="str">
        <f>TEXT(tbl_HR_Data[[#This Row],[Joining Date]], "mmm")</f>
        <v>Feb</v>
      </c>
      <c r="U839" t="str">
        <f>TEXT(tbl_HR_Data[[#This Row],[Joining Date]], "ddd")</f>
        <v>Thu</v>
      </c>
    </row>
    <row r="840" spans="1:21" x14ac:dyDescent="0.35">
      <c r="A840" t="s">
        <v>106</v>
      </c>
      <c r="B840">
        <v>50</v>
      </c>
      <c r="C840">
        <v>60000</v>
      </c>
      <c r="D840" t="s">
        <v>36</v>
      </c>
      <c r="E840" t="s">
        <v>19</v>
      </c>
      <c r="F840" t="s">
        <v>43</v>
      </c>
      <c r="G840" s="3">
        <v>43881</v>
      </c>
      <c r="H840" t="str">
        <f>TEXT(tbl_HR_Data[[#This Row],[Joining Date]], "mmm")</f>
        <v>Feb</v>
      </c>
      <c r="I840" t="s">
        <v>92</v>
      </c>
      <c r="J840" t="s">
        <v>21</v>
      </c>
      <c r="K840" t="s">
        <v>32</v>
      </c>
      <c r="L840" t="s">
        <v>88</v>
      </c>
      <c r="M840">
        <f>IFERROR( _xlfn.XLOOKUP(TRIM(tbl_HR_Data[[#This Row],[Age]]),#REF!,#REF!), VALUE(TRIM(tbl_HR_Data[[#This Row],[Age]])))</f>
        <v>50</v>
      </c>
      <c r="N840" t="str">
        <f>IFERROR(_xlfn.XLOOKUP(tbl_HR_Data[[#This Row],[Gender]], Mapping[Gender _Discarded], Mapping[Gender_Correction]), PROPER(TRIM(tbl_HR_Data[[#This Row],[Gender]])))</f>
        <v>Other</v>
      </c>
      <c r="O840" t="str">
        <f>TRIM(tbl_HR_Data[[#This Row],[Position]])</f>
        <v>Assistant</v>
      </c>
      <c r="P840" t="str">
        <f>IFERROR(_xlfn.XLOOKUP(tbl_HR_Data[[#This Row],[Email]], Mapping[Email_Discarded], Mapping[Email_Correction]), LOWER(TRIM(tbl_HR_Data[[#This Row],[Email]])))</f>
        <v>name@company.org</v>
      </c>
      <c r="Q84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840" t="str" cm="1">
        <f t="array" ref="R840">_xlfn.REDUCE(Q840, {"-","/","_","\","(",")"}, _xlfn.LAMBDA(_xlpm.txt,_xlpm.itm, SUBSTITUTE(_xlpm.txt, _xlpm.itm, "")))</f>
        <v>0987654321</v>
      </c>
      <c r="S840" s="3">
        <f>IFERROR(_xlfn.XLOOKUP(tbl_HR_Data[[#This Row],[Joining Date]], Mapping[Joining_Discarded], Mapping[Joining_Correction]), VALUE(tbl_HR_Data[[#This Row],[Joining Date]]))</f>
        <v>43881</v>
      </c>
      <c r="T840" t="str">
        <f>TEXT(tbl_HR_Data[[#This Row],[Joining Date]], "mmm")</f>
        <v>Feb</v>
      </c>
      <c r="U840" t="str">
        <f>TEXT(tbl_HR_Data[[#This Row],[Joining Date]], "ddd")</f>
        <v>Thu</v>
      </c>
    </row>
    <row r="841" spans="1:21" x14ac:dyDescent="0.35">
      <c r="A841" t="s">
        <v>107</v>
      </c>
      <c r="B841">
        <v>25</v>
      </c>
      <c r="C841">
        <v>60000</v>
      </c>
      <c r="D841" t="s">
        <v>36</v>
      </c>
      <c r="E841" t="s">
        <v>19</v>
      </c>
      <c r="F841" t="s">
        <v>43</v>
      </c>
      <c r="G841" s="3">
        <v>43881</v>
      </c>
      <c r="H841" t="str">
        <f>TEXT(tbl_HR_Data[[#This Row],[Joining Date]], "mmm")</f>
        <v>Feb</v>
      </c>
      <c r="I841" t="s">
        <v>92</v>
      </c>
      <c r="J841" t="s">
        <v>41</v>
      </c>
      <c r="K841" t="s">
        <v>15</v>
      </c>
      <c r="L841" t="s">
        <v>77</v>
      </c>
      <c r="M841">
        <f>IFERROR( _xlfn.XLOOKUP(TRIM(tbl_HR_Data[[#This Row],[Age]]),#REF!,#REF!), VALUE(TRIM(tbl_HR_Data[[#This Row],[Age]])))</f>
        <v>25</v>
      </c>
      <c r="N841" t="str">
        <f>IFERROR(_xlfn.XLOOKUP(tbl_HR_Data[[#This Row],[Gender]], Mapping[Gender _Discarded], Mapping[Gender_Correction]), PROPER(TRIM(tbl_HR_Data[[#This Row],[Gender]])))</f>
        <v>Other</v>
      </c>
      <c r="O841" t="str">
        <f>TRIM(tbl_HR_Data[[#This Row],[Position]])</f>
        <v>Assistant</v>
      </c>
      <c r="P841" t="str">
        <f>IFERROR(_xlfn.XLOOKUP(tbl_HR_Data[[#This Row],[Email]], Mapping[Email_Discarded], Mapping[Email_Correction]), LOWER(TRIM(tbl_HR_Data[[#This Row],[Email]])))</f>
        <v>email@example.com</v>
      </c>
      <c r="Q84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41" t="str" cm="1">
        <f t="array" ref="R841">_xlfn.REDUCE(Q841, {"-","/","_","\","(",")"}, _xlfn.LAMBDA(_xlpm.txt,_xlpm.itm, SUBSTITUTE(_xlpm.txt, _xlpm.itm, "")))</f>
        <v>Not Provided</v>
      </c>
      <c r="S841" s="3">
        <f>IFERROR(_xlfn.XLOOKUP(tbl_HR_Data[[#This Row],[Joining Date]], Mapping[Joining_Discarded], Mapping[Joining_Correction]), VALUE(tbl_HR_Data[[#This Row],[Joining Date]]))</f>
        <v>43881</v>
      </c>
      <c r="T841" t="str">
        <f>TEXT(tbl_HR_Data[[#This Row],[Joining Date]], "mmm")</f>
        <v>Feb</v>
      </c>
      <c r="U841" t="str">
        <f>TEXT(tbl_HR_Data[[#This Row],[Joining Date]], "ddd")</f>
        <v>Thu</v>
      </c>
    </row>
    <row r="842" spans="1:21" x14ac:dyDescent="0.35">
      <c r="A842" t="s">
        <v>107</v>
      </c>
      <c r="B842">
        <v>40</v>
      </c>
      <c r="C842">
        <v>70000</v>
      </c>
      <c r="D842" t="s">
        <v>36</v>
      </c>
      <c r="E842" t="s">
        <v>12</v>
      </c>
      <c r="F842" t="s">
        <v>44</v>
      </c>
      <c r="G842" s="3">
        <v>43881</v>
      </c>
      <c r="H842" t="str">
        <f>TEXT(tbl_HR_Data[[#This Row],[Joining Date]], "mmm")</f>
        <v>Feb</v>
      </c>
      <c r="I842" t="s">
        <v>92</v>
      </c>
      <c r="J842" t="s">
        <v>41</v>
      </c>
      <c r="K842" t="s">
        <v>77</v>
      </c>
      <c r="L842" t="s">
        <v>89</v>
      </c>
      <c r="M842">
        <f>IFERROR( _xlfn.XLOOKUP(TRIM(tbl_HR_Data[[#This Row],[Age]]),#REF!,#REF!), VALUE(TRIM(tbl_HR_Data[[#This Row],[Age]])))</f>
        <v>40</v>
      </c>
      <c r="N842" t="str">
        <f>IFERROR(_xlfn.XLOOKUP(tbl_HR_Data[[#This Row],[Gender]], Mapping[Gender _Discarded], Mapping[Gender_Correction]), PROPER(TRIM(tbl_HR_Data[[#This Row],[Gender]])))</f>
        <v>Other</v>
      </c>
      <c r="O842" t="str">
        <f>TRIM(tbl_HR_Data[[#This Row],[Position]])</f>
        <v>Analyst</v>
      </c>
      <c r="P842" t="str">
        <f>IFERROR(_xlfn.XLOOKUP(tbl_HR_Data[[#This Row],[Email]], Mapping[Email_Discarded], Mapping[Email_Correction]), LOWER(TRIM(tbl_HR_Data[[#This Row],[Email]])))</f>
        <v>not provided</v>
      </c>
      <c r="Q84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842" t="str" cm="1">
        <f t="array" ref="R842">_xlfn.REDUCE(Q842, {"-","/","_","\","(",")"}, _xlfn.LAMBDA(_xlpm.txt,_xlpm.itm, SUBSTITUTE(_xlpm.txt, _xlpm.itm, "")))</f>
        <v>5555555555</v>
      </c>
      <c r="S842" s="3">
        <f>IFERROR(_xlfn.XLOOKUP(tbl_HR_Data[[#This Row],[Joining Date]], Mapping[Joining_Discarded], Mapping[Joining_Correction]), VALUE(tbl_HR_Data[[#This Row],[Joining Date]]))</f>
        <v>43881</v>
      </c>
      <c r="T842" t="str">
        <f>TEXT(tbl_HR_Data[[#This Row],[Joining Date]], "mmm")</f>
        <v>Feb</v>
      </c>
      <c r="U842" t="str">
        <f>TEXT(tbl_HR_Data[[#This Row],[Joining Date]], "ddd")</f>
        <v>Thu</v>
      </c>
    </row>
    <row r="843" spans="1:21" x14ac:dyDescent="0.35">
      <c r="A843" t="s">
        <v>108</v>
      </c>
      <c r="B843">
        <v>30</v>
      </c>
      <c r="C843">
        <v>70000</v>
      </c>
      <c r="D843" t="s">
        <v>18</v>
      </c>
      <c r="E843" t="s">
        <v>19</v>
      </c>
      <c r="F843" t="s">
        <v>13</v>
      </c>
      <c r="G843" s="3">
        <v>43881</v>
      </c>
      <c r="H843" t="str">
        <f>TEXT(tbl_HR_Data[[#This Row],[Joining Date]], "mmm")</f>
        <v>Feb</v>
      </c>
      <c r="I843" t="s">
        <v>92</v>
      </c>
      <c r="J843" t="s">
        <v>14</v>
      </c>
      <c r="K843" t="s">
        <v>15</v>
      </c>
      <c r="L843" t="s">
        <v>88</v>
      </c>
      <c r="M843">
        <f>IFERROR( _xlfn.XLOOKUP(TRIM(tbl_HR_Data[[#This Row],[Age]]),#REF!,#REF!), VALUE(TRIM(tbl_HR_Data[[#This Row],[Age]])))</f>
        <v>30</v>
      </c>
      <c r="N843" t="str">
        <f>IFERROR(_xlfn.XLOOKUP(tbl_HR_Data[[#This Row],[Gender]], Mapping[Gender _Discarded], Mapping[Gender_Correction]), PROPER(TRIM(tbl_HR_Data[[#This Row],[Gender]])))</f>
        <v>Female</v>
      </c>
      <c r="O843" t="str">
        <f>TRIM(tbl_HR_Data[[#This Row],[Position]])</f>
        <v>Manager</v>
      </c>
      <c r="P843" t="str">
        <f>IFERROR(_xlfn.XLOOKUP(tbl_HR_Data[[#This Row],[Email]], Mapping[Email_Discarded], Mapping[Email_Correction]), LOWER(TRIM(tbl_HR_Data[[#This Row],[Email]])))</f>
        <v>email@example.com</v>
      </c>
      <c r="Q84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843" t="str" cm="1">
        <f t="array" ref="R843">_xlfn.REDUCE(Q843, {"-","/","_","\","(",")"}, _xlfn.LAMBDA(_xlpm.txt,_xlpm.itm, SUBSTITUTE(_xlpm.txt, _xlpm.itm, "")))</f>
        <v>0987654321</v>
      </c>
      <c r="S843" s="3">
        <f>IFERROR(_xlfn.XLOOKUP(tbl_HR_Data[[#This Row],[Joining Date]], Mapping[Joining_Discarded], Mapping[Joining_Correction]), VALUE(tbl_HR_Data[[#This Row],[Joining Date]]))</f>
        <v>43881</v>
      </c>
      <c r="T843" t="str">
        <f>TEXT(tbl_HR_Data[[#This Row],[Joining Date]], "mmm")</f>
        <v>Feb</v>
      </c>
      <c r="U843" t="str">
        <f>TEXT(tbl_HR_Data[[#This Row],[Joining Date]], "ddd")</f>
        <v>Thu</v>
      </c>
    </row>
    <row r="844" spans="1:21" x14ac:dyDescent="0.35">
      <c r="A844" t="s">
        <v>102</v>
      </c>
      <c r="B844">
        <v>30</v>
      </c>
      <c r="C844">
        <v>55000</v>
      </c>
      <c r="D844" t="s">
        <v>18</v>
      </c>
      <c r="E844" t="s">
        <v>37</v>
      </c>
      <c r="F844" t="s">
        <v>43</v>
      </c>
      <c r="G844" s="3">
        <v>43881</v>
      </c>
      <c r="H844" t="str">
        <f>TEXT(tbl_HR_Data[[#This Row],[Joining Date]], "mmm")</f>
        <v>Feb</v>
      </c>
      <c r="I844" t="s">
        <v>92</v>
      </c>
      <c r="J844" t="s">
        <v>27</v>
      </c>
      <c r="K844" t="s">
        <v>22</v>
      </c>
      <c r="L844" t="s">
        <v>77</v>
      </c>
      <c r="M844">
        <f>IFERROR( _xlfn.XLOOKUP(TRIM(tbl_HR_Data[[#This Row],[Age]]),#REF!,#REF!), VALUE(TRIM(tbl_HR_Data[[#This Row],[Age]])))</f>
        <v>30</v>
      </c>
      <c r="N844" t="str">
        <f>IFERROR(_xlfn.XLOOKUP(tbl_HR_Data[[#This Row],[Gender]], Mapping[Gender _Discarded], Mapping[Gender_Correction]), PROPER(TRIM(tbl_HR_Data[[#This Row],[Gender]])))</f>
        <v>Female</v>
      </c>
      <c r="O844" t="str">
        <f>TRIM(tbl_HR_Data[[#This Row],[Position]])</f>
        <v>Assistant</v>
      </c>
      <c r="P844" t="str">
        <f>IFERROR(_xlfn.XLOOKUP(tbl_HR_Data[[#This Row],[Email]], Mapping[Email_Discarded], Mapping[Email_Correction]), LOWER(TRIM(tbl_HR_Data[[#This Row],[Email]])))</f>
        <v>user@domain.com</v>
      </c>
      <c r="Q84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44" t="str" cm="1">
        <f t="array" ref="R844">_xlfn.REDUCE(Q844, {"-","/","_","\","(",")"}, _xlfn.LAMBDA(_xlpm.txt,_xlpm.itm, SUBSTITUTE(_xlpm.txt, _xlpm.itm, "")))</f>
        <v>Not Provided</v>
      </c>
      <c r="S844" s="3">
        <f>IFERROR(_xlfn.XLOOKUP(tbl_HR_Data[[#This Row],[Joining Date]], Mapping[Joining_Discarded], Mapping[Joining_Correction]), VALUE(tbl_HR_Data[[#This Row],[Joining Date]]))</f>
        <v>43881</v>
      </c>
      <c r="T844" t="str">
        <f>TEXT(tbl_HR_Data[[#This Row],[Joining Date]], "mmm")</f>
        <v>Feb</v>
      </c>
      <c r="U844" t="str">
        <f>TEXT(tbl_HR_Data[[#This Row],[Joining Date]], "ddd")</f>
        <v>Thu</v>
      </c>
    </row>
    <row r="845" spans="1:21" x14ac:dyDescent="0.35">
      <c r="A845" t="s">
        <v>100</v>
      </c>
      <c r="B845">
        <v>50</v>
      </c>
      <c r="C845">
        <v>55000</v>
      </c>
      <c r="D845" t="s">
        <v>18</v>
      </c>
      <c r="E845" t="s">
        <v>19</v>
      </c>
      <c r="F845" t="s">
        <v>39</v>
      </c>
      <c r="G845" s="3">
        <v>43881</v>
      </c>
      <c r="H845" t="str">
        <f>TEXT(tbl_HR_Data[[#This Row],[Joining Date]], "mmm")</f>
        <v>Feb</v>
      </c>
      <c r="I845" t="s">
        <v>92</v>
      </c>
      <c r="J845" t="s">
        <v>31</v>
      </c>
      <c r="K845" t="s">
        <v>32</v>
      </c>
      <c r="L845" t="s">
        <v>87</v>
      </c>
      <c r="M845">
        <f>IFERROR( _xlfn.XLOOKUP(TRIM(tbl_HR_Data[[#This Row],[Age]]),#REF!,#REF!), VALUE(TRIM(tbl_HR_Data[[#This Row],[Age]])))</f>
        <v>50</v>
      </c>
      <c r="N845" t="str">
        <f>IFERROR(_xlfn.XLOOKUP(tbl_HR_Data[[#This Row],[Gender]], Mapping[Gender _Discarded], Mapping[Gender_Correction]), PROPER(TRIM(tbl_HR_Data[[#This Row],[Gender]])))</f>
        <v>Female</v>
      </c>
      <c r="O845" t="str">
        <f>TRIM(tbl_HR_Data[[#This Row],[Position]])</f>
        <v>Clerk</v>
      </c>
      <c r="P845" t="str">
        <f>IFERROR(_xlfn.XLOOKUP(tbl_HR_Data[[#This Row],[Email]], Mapping[Email_Discarded], Mapping[Email_Correction]), LOWER(TRIM(tbl_HR_Data[[#This Row],[Email]])))</f>
        <v>name@company.org</v>
      </c>
      <c r="Q84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845" t="str" cm="1">
        <f t="array" ref="R845">_xlfn.REDUCE(Q845, {"-","/","_","\","(",")"}, _xlfn.LAMBDA(_xlpm.txt,_xlpm.itm, SUBSTITUTE(_xlpm.txt, _xlpm.itm, "")))</f>
        <v>1234567890</v>
      </c>
      <c r="S845" s="3">
        <f>IFERROR(_xlfn.XLOOKUP(tbl_HR_Data[[#This Row],[Joining Date]], Mapping[Joining_Discarded], Mapping[Joining_Correction]), VALUE(tbl_HR_Data[[#This Row],[Joining Date]]))</f>
        <v>43881</v>
      </c>
      <c r="T845" t="str">
        <f>TEXT(tbl_HR_Data[[#This Row],[Joining Date]], "mmm")</f>
        <v>Feb</v>
      </c>
      <c r="U845" t="str">
        <f>TEXT(tbl_HR_Data[[#This Row],[Joining Date]], "ddd")</f>
        <v>Thu</v>
      </c>
    </row>
    <row r="846" spans="1:21" x14ac:dyDescent="0.35">
      <c r="A846" t="s">
        <v>103</v>
      </c>
      <c r="B846">
        <v>40</v>
      </c>
      <c r="C846">
        <v>65000</v>
      </c>
      <c r="D846" t="s">
        <v>11</v>
      </c>
      <c r="E846" t="s">
        <v>19</v>
      </c>
      <c r="F846" t="s">
        <v>39</v>
      </c>
      <c r="G846" s="3">
        <v>43881</v>
      </c>
      <c r="H846" t="str">
        <f>TEXT(tbl_HR_Data[[#This Row],[Joining Date]], "mmm")</f>
        <v>Feb</v>
      </c>
      <c r="I846" t="s">
        <v>92</v>
      </c>
      <c r="J846" t="s">
        <v>27</v>
      </c>
      <c r="K846" t="s">
        <v>32</v>
      </c>
      <c r="L846" t="s">
        <v>77</v>
      </c>
      <c r="M846">
        <f>IFERROR( _xlfn.XLOOKUP(TRIM(tbl_HR_Data[[#This Row],[Age]]),#REF!,#REF!), VALUE(TRIM(tbl_HR_Data[[#This Row],[Age]])))</f>
        <v>40</v>
      </c>
      <c r="N846" t="str">
        <f>IFERROR(_xlfn.XLOOKUP(tbl_HR_Data[[#This Row],[Gender]], Mapping[Gender _Discarded], Mapping[Gender_Correction]), PROPER(TRIM(tbl_HR_Data[[#This Row],[Gender]])))</f>
        <v>Male</v>
      </c>
      <c r="O846" t="str">
        <f>TRIM(tbl_HR_Data[[#This Row],[Position]])</f>
        <v>Clerk</v>
      </c>
      <c r="P846" t="str">
        <f>IFERROR(_xlfn.XLOOKUP(tbl_HR_Data[[#This Row],[Email]], Mapping[Email_Discarded], Mapping[Email_Correction]), LOWER(TRIM(tbl_HR_Data[[#This Row],[Email]])))</f>
        <v>name@company.org</v>
      </c>
      <c r="Q84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46" t="str" cm="1">
        <f t="array" ref="R846">_xlfn.REDUCE(Q846, {"-","/","_","\","(",")"}, _xlfn.LAMBDA(_xlpm.txt,_xlpm.itm, SUBSTITUTE(_xlpm.txt, _xlpm.itm, "")))</f>
        <v>Not Provided</v>
      </c>
      <c r="S846" s="3">
        <f>IFERROR(_xlfn.XLOOKUP(tbl_HR_Data[[#This Row],[Joining Date]], Mapping[Joining_Discarded], Mapping[Joining_Correction]), VALUE(tbl_HR_Data[[#This Row],[Joining Date]]))</f>
        <v>43881</v>
      </c>
      <c r="T846" t="str">
        <f>TEXT(tbl_HR_Data[[#This Row],[Joining Date]], "mmm")</f>
        <v>Feb</v>
      </c>
      <c r="U846" t="str">
        <f>TEXT(tbl_HR_Data[[#This Row],[Joining Date]], "ddd")</f>
        <v>Thu</v>
      </c>
    </row>
    <row r="847" spans="1:21" x14ac:dyDescent="0.35">
      <c r="A847" t="s">
        <v>106</v>
      </c>
      <c r="B847">
        <v>50</v>
      </c>
      <c r="C847">
        <v>0</v>
      </c>
      <c r="D847" t="s">
        <v>18</v>
      </c>
      <c r="E847" t="s">
        <v>26</v>
      </c>
      <c r="F847" t="s">
        <v>20</v>
      </c>
      <c r="G847" s="3">
        <v>43881</v>
      </c>
      <c r="H847" t="str">
        <f>TEXT(tbl_HR_Data[[#This Row],[Joining Date]], "mmm")</f>
        <v>Feb</v>
      </c>
      <c r="I847" t="s">
        <v>92</v>
      </c>
      <c r="J847" t="s">
        <v>14</v>
      </c>
      <c r="K847" t="s">
        <v>77</v>
      </c>
      <c r="L847" t="s">
        <v>88</v>
      </c>
      <c r="M847">
        <f>IFERROR( _xlfn.XLOOKUP(TRIM(tbl_HR_Data[[#This Row],[Age]]),#REF!,#REF!), VALUE(TRIM(tbl_HR_Data[[#This Row],[Age]])))</f>
        <v>50</v>
      </c>
      <c r="N847" t="str">
        <f>IFERROR(_xlfn.XLOOKUP(tbl_HR_Data[[#This Row],[Gender]], Mapping[Gender _Discarded], Mapping[Gender_Correction]), PROPER(TRIM(tbl_HR_Data[[#This Row],[Gender]])))</f>
        <v>Female</v>
      </c>
      <c r="O847" t="str">
        <f>TRIM(tbl_HR_Data[[#This Row],[Position]])</f>
        <v>Director</v>
      </c>
      <c r="P847" t="str">
        <f>IFERROR(_xlfn.XLOOKUP(tbl_HR_Data[[#This Row],[Email]], Mapping[Email_Discarded], Mapping[Email_Correction]), LOWER(TRIM(tbl_HR_Data[[#This Row],[Email]])))</f>
        <v>not provided</v>
      </c>
      <c r="Q84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847" t="str" cm="1">
        <f t="array" ref="R847">_xlfn.REDUCE(Q847, {"-","/","_","\","(",")"}, _xlfn.LAMBDA(_xlpm.txt,_xlpm.itm, SUBSTITUTE(_xlpm.txt, _xlpm.itm, "")))</f>
        <v>0987654321</v>
      </c>
      <c r="S847" s="3">
        <f>IFERROR(_xlfn.XLOOKUP(tbl_HR_Data[[#This Row],[Joining Date]], Mapping[Joining_Discarded], Mapping[Joining_Correction]), VALUE(tbl_HR_Data[[#This Row],[Joining Date]]))</f>
        <v>43881</v>
      </c>
      <c r="T847" t="str">
        <f>TEXT(tbl_HR_Data[[#This Row],[Joining Date]], "mmm")</f>
        <v>Feb</v>
      </c>
      <c r="U847" t="str">
        <f>TEXT(tbl_HR_Data[[#This Row],[Joining Date]], "ddd")</f>
        <v>Thu</v>
      </c>
    </row>
    <row r="848" spans="1:21" x14ac:dyDescent="0.35">
      <c r="A848" t="s">
        <v>102</v>
      </c>
      <c r="B848">
        <v>0</v>
      </c>
      <c r="C848">
        <v>60000</v>
      </c>
      <c r="D848" t="s">
        <v>36</v>
      </c>
      <c r="E848" t="s">
        <v>26</v>
      </c>
      <c r="F848" t="s">
        <v>13</v>
      </c>
      <c r="G848" s="3">
        <v>43881</v>
      </c>
      <c r="H848" t="str">
        <f>TEXT(tbl_HR_Data[[#This Row],[Joining Date]], "mmm")</f>
        <v>Feb</v>
      </c>
      <c r="I848" t="s">
        <v>92</v>
      </c>
      <c r="J848" t="s">
        <v>21</v>
      </c>
      <c r="K848" t="s">
        <v>15</v>
      </c>
      <c r="L848" t="s">
        <v>77</v>
      </c>
      <c r="M848">
        <f>IFERROR( _xlfn.XLOOKUP(TRIM(tbl_HR_Data[[#This Row],[Age]]),#REF!,#REF!), VALUE(TRIM(tbl_HR_Data[[#This Row],[Age]])))</f>
        <v>0</v>
      </c>
      <c r="N848" t="str">
        <f>IFERROR(_xlfn.XLOOKUP(tbl_HR_Data[[#This Row],[Gender]], Mapping[Gender _Discarded], Mapping[Gender_Correction]), PROPER(TRIM(tbl_HR_Data[[#This Row],[Gender]])))</f>
        <v>Other</v>
      </c>
      <c r="O848" t="str">
        <f>TRIM(tbl_HR_Data[[#This Row],[Position]])</f>
        <v>Manager</v>
      </c>
      <c r="P848" t="str">
        <f>IFERROR(_xlfn.XLOOKUP(tbl_HR_Data[[#This Row],[Email]], Mapping[Email_Discarded], Mapping[Email_Correction]), LOWER(TRIM(tbl_HR_Data[[#This Row],[Email]])))</f>
        <v>email@example.com</v>
      </c>
      <c r="Q84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48" t="str" cm="1">
        <f t="array" ref="R848">_xlfn.REDUCE(Q848, {"-","/","_","\","(",")"}, _xlfn.LAMBDA(_xlpm.txt,_xlpm.itm, SUBSTITUTE(_xlpm.txt, _xlpm.itm, "")))</f>
        <v>Not Provided</v>
      </c>
      <c r="S848" s="3">
        <f>IFERROR(_xlfn.XLOOKUP(tbl_HR_Data[[#This Row],[Joining Date]], Mapping[Joining_Discarded], Mapping[Joining_Correction]), VALUE(tbl_HR_Data[[#This Row],[Joining Date]]))</f>
        <v>43881</v>
      </c>
      <c r="T848" t="str">
        <f>TEXT(tbl_HR_Data[[#This Row],[Joining Date]], "mmm")</f>
        <v>Feb</v>
      </c>
      <c r="U848" t="str">
        <f>TEXT(tbl_HR_Data[[#This Row],[Joining Date]], "ddd")</f>
        <v>Thu</v>
      </c>
    </row>
    <row r="849" spans="1:21" x14ac:dyDescent="0.35">
      <c r="A849" t="s">
        <v>105</v>
      </c>
      <c r="B849">
        <v>25</v>
      </c>
      <c r="C849">
        <v>0</v>
      </c>
      <c r="D849" t="s">
        <v>18</v>
      </c>
      <c r="E849" t="s">
        <v>30</v>
      </c>
      <c r="F849" t="s">
        <v>13</v>
      </c>
      <c r="G849" s="3">
        <v>43881</v>
      </c>
      <c r="H849" t="str">
        <f>TEXT(tbl_HR_Data[[#This Row],[Joining Date]], "mmm")</f>
        <v>Feb</v>
      </c>
      <c r="I849" t="s">
        <v>92</v>
      </c>
      <c r="J849" t="s">
        <v>41</v>
      </c>
      <c r="K849" t="s">
        <v>77</v>
      </c>
      <c r="L849" t="s">
        <v>77</v>
      </c>
      <c r="M849">
        <f>IFERROR( _xlfn.XLOOKUP(TRIM(tbl_HR_Data[[#This Row],[Age]]),#REF!,#REF!), VALUE(TRIM(tbl_HR_Data[[#This Row],[Age]])))</f>
        <v>25</v>
      </c>
      <c r="N849" t="str">
        <f>IFERROR(_xlfn.XLOOKUP(tbl_HR_Data[[#This Row],[Gender]], Mapping[Gender _Discarded], Mapping[Gender_Correction]), PROPER(TRIM(tbl_HR_Data[[#This Row],[Gender]])))</f>
        <v>Female</v>
      </c>
      <c r="O849" t="str">
        <f>TRIM(tbl_HR_Data[[#This Row],[Position]])</f>
        <v>Manager</v>
      </c>
      <c r="P849" t="str">
        <f>IFERROR(_xlfn.XLOOKUP(tbl_HR_Data[[#This Row],[Email]], Mapping[Email_Discarded], Mapping[Email_Correction]), LOWER(TRIM(tbl_HR_Data[[#This Row],[Email]])))</f>
        <v>not provided</v>
      </c>
      <c r="Q84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49" t="str" cm="1">
        <f t="array" ref="R849">_xlfn.REDUCE(Q849, {"-","/","_","\","(",")"}, _xlfn.LAMBDA(_xlpm.txt,_xlpm.itm, SUBSTITUTE(_xlpm.txt, _xlpm.itm, "")))</f>
        <v>Not Provided</v>
      </c>
      <c r="S849" s="3">
        <f>IFERROR(_xlfn.XLOOKUP(tbl_HR_Data[[#This Row],[Joining Date]], Mapping[Joining_Discarded], Mapping[Joining_Correction]), VALUE(tbl_HR_Data[[#This Row],[Joining Date]]))</f>
        <v>43881</v>
      </c>
      <c r="T849" t="str">
        <f>TEXT(tbl_HR_Data[[#This Row],[Joining Date]], "mmm")</f>
        <v>Feb</v>
      </c>
      <c r="U849" t="str">
        <f>TEXT(tbl_HR_Data[[#This Row],[Joining Date]], "ddd")</f>
        <v>Thu</v>
      </c>
    </row>
    <row r="850" spans="1:21" x14ac:dyDescent="0.35">
      <c r="A850" t="s">
        <v>107</v>
      </c>
      <c r="B850">
        <v>50</v>
      </c>
      <c r="C850">
        <v>50000</v>
      </c>
      <c r="D850" t="s">
        <v>18</v>
      </c>
      <c r="E850" t="s">
        <v>30</v>
      </c>
      <c r="F850" t="s">
        <v>43</v>
      </c>
      <c r="G850" s="3">
        <v>43881</v>
      </c>
      <c r="H850" t="str">
        <f>TEXT(tbl_HR_Data[[#This Row],[Joining Date]], "mmm")</f>
        <v>Feb</v>
      </c>
      <c r="I850" t="s">
        <v>92</v>
      </c>
      <c r="J850" t="s">
        <v>27</v>
      </c>
      <c r="K850" t="s">
        <v>22</v>
      </c>
      <c r="L850" t="s">
        <v>77</v>
      </c>
      <c r="M850">
        <f>IFERROR( _xlfn.XLOOKUP(TRIM(tbl_HR_Data[[#This Row],[Age]]),#REF!,#REF!), VALUE(TRIM(tbl_HR_Data[[#This Row],[Age]])))</f>
        <v>50</v>
      </c>
      <c r="N850" t="str">
        <f>IFERROR(_xlfn.XLOOKUP(tbl_HR_Data[[#This Row],[Gender]], Mapping[Gender _Discarded], Mapping[Gender_Correction]), PROPER(TRIM(tbl_HR_Data[[#This Row],[Gender]])))</f>
        <v>Female</v>
      </c>
      <c r="O850" t="str">
        <f>TRIM(tbl_HR_Data[[#This Row],[Position]])</f>
        <v>Assistant</v>
      </c>
      <c r="P850" t="str">
        <f>IFERROR(_xlfn.XLOOKUP(tbl_HR_Data[[#This Row],[Email]], Mapping[Email_Discarded], Mapping[Email_Correction]), LOWER(TRIM(tbl_HR_Data[[#This Row],[Email]])))</f>
        <v>user@domain.com</v>
      </c>
      <c r="Q85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50" t="str" cm="1">
        <f t="array" ref="R850">_xlfn.REDUCE(Q850, {"-","/","_","\","(",")"}, _xlfn.LAMBDA(_xlpm.txt,_xlpm.itm, SUBSTITUTE(_xlpm.txt, _xlpm.itm, "")))</f>
        <v>Not Provided</v>
      </c>
      <c r="S850" s="3">
        <f>IFERROR(_xlfn.XLOOKUP(tbl_HR_Data[[#This Row],[Joining Date]], Mapping[Joining_Discarded], Mapping[Joining_Correction]), VALUE(tbl_HR_Data[[#This Row],[Joining Date]]))</f>
        <v>43881</v>
      </c>
      <c r="T850" t="str">
        <f>TEXT(tbl_HR_Data[[#This Row],[Joining Date]], "mmm")</f>
        <v>Feb</v>
      </c>
      <c r="U850" t="str">
        <f>TEXT(tbl_HR_Data[[#This Row],[Joining Date]], "ddd")</f>
        <v>Thu</v>
      </c>
    </row>
    <row r="851" spans="1:21" x14ac:dyDescent="0.35">
      <c r="A851" t="s">
        <v>100</v>
      </c>
      <c r="B851">
        <v>50</v>
      </c>
      <c r="C851">
        <v>65000</v>
      </c>
      <c r="D851" t="s">
        <v>11</v>
      </c>
      <c r="E851" t="s">
        <v>19</v>
      </c>
      <c r="F851" t="s">
        <v>20</v>
      </c>
      <c r="G851" s="3">
        <v>43881</v>
      </c>
      <c r="H851" t="str">
        <f>TEXT(tbl_HR_Data[[#This Row],[Joining Date]], "mmm")</f>
        <v>Feb</v>
      </c>
      <c r="I851" t="s">
        <v>92</v>
      </c>
      <c r="J851" t="s">
        <v>27</v>
      </c>
      <c r="K851" t="s">
        <v>15</v>
      </c>
      <c r="L851" t="s">
        <v>77</v>
      </c>
      <c r="M851">
        <f>IFERROR( _xlfn.XLOOKUP(TRIM(tbl_HR_Data[[#This Row],[Age]]),#REF!,#REF!), VALUE(TRIM(tbl_HR_Data[[#This Row],[Age]])))</f>
        <v>50</v>
      </c>
      <c r="N851" t="str">
        <f>IFERROR(_xlfn.XLOOKUP(tbl_HR_Data[[#This Row],[Gender]], Mapping[Gender _Discarded], Mapping[Gender_Correction]), PROPER(TRIM(tbl_HR_Data[[#This Row],[Gender]])))</f>
        <v>Male</v>
      </c>
      <c r="O851" t="str">
        <f>TRIM(tbl_HR_Data[[#This Row],[Position]])</f>
        <v>Director</v>
      </c>
      <c r="P851" t="str">
        <f>IFERROR(_xlfn.XLOOKUP(tbl_HR_Data[[#This Row],[Email]], Mapping[Email_Discarded], Mapping[Email_Correction]), LOWER(TRIM(tbl_HR_Data[[#This Row],[Email]])))</f>
        <v>email@example.com</v>
      </c>
      <c r="Q85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51" t="str" cm="1">
        <f t="array" ref="R851">_xlfn.REDUCE(Q851, {"-","/","_","\","(",")"}, _xlfn.LAMBDA(_xlpm.txt,_xlpm.itm, SUBSTITUTE(_xlpm.txt, _xlpm.itm, "")))</f>
        <v>Not Provided</v>
      </c>
      <c r="S851" s="3">
        <f>IFERROR(_xlfn.XLOOKUP(tbl_HR_Data[[#This Row],[Joining Date]], Mapping[Joining_Discarded], Mapping[Joining_Correction]), VALUE(tbl_HR_Data[[#This Row],[Joining Date]]))</f>
        <v>43881</v>
      </c>
      <c r="T851" t="str">
        <f>TEXT(tbl_HR_Data[[#This Row],[Joining Date]], "mmm")</f>
        <v>Feb</v>
      </c>
      <c r="U851" t="str">
        <f>TEXT(tbl_HR_Data[[#This Row],[Joining Date]], "ddd")</f>
        <v>Thu</v>
      </c>
    </row>
    <row r="852" spans="1:21" x14ac:dyDescent="0.35">
      <c r="A852" t="s">
        <v>99</v>
      </c>
      <c r="B852">
        <v>40</v>
      </c>
      <c r="C852">
        <v>0</v>
      </c>
      <c r="D852" t="s">
        <v>11</v>
      </c>
      <c r="E852" t="s">
        <v>37</v>
      </c>
      <c r="F852" t="s">
        <v>13</v>
      </c>
      <c r="G852" s="3">
        <v>43881</v>
      </c>
      <c r="H852" t="str">
        <f>TEXT(tbl_HR_Data[[#This Row],[Joining Date]], "mmm")</f>
        <v>Feb</v>
      </c>
      <c r="I852" t="s">
        <v>92</v>
      </c>
      <c r="J852" t="s">
        <v>41</v>
      </c>
      <c r="K852" t="s">
        <v>77</v>
      </c>
      <c r="L852" t="s">
        <v>89</v>
      </c>
      <c r="M852">
        <f>IFERROR( _xlfn.XLOOKUP(TRIM(tbl_HR_Data[[#This Row],[Age]]),#REF!,#REF!), VALUE(TRIM(tbl_HR_Data[[#This Row],[Age]])))</f>
        <v>40</v>
      </c>
      <c r="N852" t="str">
        <f>IFERROR(_xlfn.XLOOKUP(tbl_HR_Data[[#This Row],[Gender]], Mapping[Gender _Discarded], Mapping[Gender_Correction]), PROPER(TRIM(tbl_HR_Data[[#This Row],[Gender]])))</f>
        <v>Male</v>
      </c>
      <c r="O852" t="str">
        <f>TRIM(tbl_HR_Data[[#This Row],[Position]])</f>
        <v>Manager</v>
      </c>
      <c r="P852" t="str">
        <f>IFERROR(_xlfn.XLOOKUP(tbl_HR_Data[[#This Row],[Email]], Mapping[Email_Discarded], Mapping[Email_Correction]), LOWER(TRIM(tbl_HR_Data[[#This Row],[Email]])))</f>
        <v>not provided</v>
      </c>
      <c r="Q85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852" t="str" cm="1">
        <f t="array" ref="R852">_xlfn.REDUCE(Q852, {"-","/","_","\","(",")"}, _xlfn.LAMBDA(_xlpm.txt,_xlpm.itm, SUBSTITUTE(_xlpm.txt, _xlpm.itm, "")))</f>
        <v>5555555555</v>
      </c>
      <c r="S852" s="3">
        <f>IFERROR(_xlfn.XLOOKUP(tbl_HR_Data[[#This Row],[Joining Date]], Mapping[Joining_Discarded], Mapping[Joining_Correction]), VALUE(tbl_HR_Data[[#This Row],[Joining Date]]))</f>
        <v>43881</v>
      </c>
      <c r="T852" t="str">
        <f>TEXT(tbl_HR_Data[[#This Row],[Joining Date]], "mmm")</f>
        <v>Feb</v>
      </c>
      <c r="U852" t="str">
        <f>TEXT(tbl_HR_Data[[#This Row],[Joining Date]], "ddd")</f>
        <v>Thu</v>
      </c>
    </row>
    <row r="853" spans="1:21" x14ac:dyDescent="0.35">
      <c r="A853" t="s">
        <v>107</v>
      </c>
      <c r="B853">
        <v>25</v>
      </c>
      <c r="C853">
        <v>0</v>
      </c>
      <c r="D853" t="s">
        <v>36</v>
      </c>
      <c r="E853" t="s">
        <v>19</v>
      </c>
      <c r="F853" t="s">
        <v>44</v>
      </c>
      <c r="G853" s="3">
        <v>43881</v>
      </c>
      <c r="H853" t="str">
        <f>TEXT(tbl_HR_Data[[#This Row],[Joining Date]], "mmm")</f>
        <v>Feb</v>
      </c>
      <c r="I853" t="s">
        <v>92</v>
      </c>
      <c r="J853" t="s">
        <v>14</v>
      </c>
      <c r="K853" t="s">
        <v>15</v>
      </c>
      <c r="L853" t="s">
        <v>88</v>
      </c>
      <c r="M853">
        <f>IFERROR( _xlfn.XLOOKUP(TRIM(tbl_HR_Data[[#This Row],[Age]]),#REF!,#REF!), VALUE(TRIM(tbl_HR_Data[[#This Row],[Age]])))</f>
        <v>25</v>
      </c>
      <c r="N853" t="str">
        <f>IFERROR(_xlfn.XLOOKUP(tbl_HR_Data[[#This Row],[Gender]], Mapping[Gender _Discarded], Mapping[Gender_Correction]), PROPER(TRIM(tbl_HR_Data[[#This Row],[Gender]])))</f>
        <v>Other</v>
      </c>
      <c r="O853" t="str">
        <f>TRIM(tbl_HR_Data[[#This Row],[Position]])</f>
        <v>Analyst</v>
      </c>
      <c r="P853" t="str">
        <f>IFERROR(_xlfn.XLOOKUP(tbl_HR_Data[[#This Row],[Email]], Mapping[Email_Discarded], Mapping[Email_Correction]), LOWER(TRIM(tbl_HR_Data[[#This Row],[Email]])))</f>
        <v>email@example.com</v>
      </c>
      <c r="Q85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853" t="str" cm="1">
        <f t="array" ref="R853">_xlfn.REDUCE(Q853, {"-","/","_","\","(",")"}, _xlfn.LAMBDA(_xlpm.txt,_xlpm.itm, SUBSTITUTE(_xlpm.txt, _xlpm.itm, "")))</f>
        <v>0987654321</v>
      </c>
      <c r="S853" s="3">
        <f>IFERROR(_xlfn.XLOOKUP(tbl_HR_Data[[#This Row],[Joining Date]], Mapping[Joining_Discarded], Mapping[Joining_Correction]), VALUE(tbl_HR_Data[[#This Row],[Joining Date]]))</f>
        <v>43881</v>
      </c>
      <c r="T853" t="str">
        <f>TEXT(tbl_HR_Data[[#This Row],[Joining Date]], "mmm")</f>
        <v>Feb</v>
      </c>
      <c r="U853" t="str">
        <f>TEXT(tbl_HR_Data[[#This Row],[Joining Date]], "ddd")</f>
        <v>Thu</v>
      </c>
    </row>
    <row r="854" spans="1:21" x14ac:dyDescent="0.35">
      <c r="A854" t="s">
        <v>99</v>
      </c>
      <c r="B854">
        <v>50</v>
      </c>
      <c r="C854">
        <v>50000</v>
      </c>
      <c r="D854" t="s">
        <v>18</v>
      </c>
      <c r="E854" t="s">
        <v>37</v>
      </c>
      <c r="F854" t="s">
        <v>44</v>
      </c>
      <c r="G854" s="3">
        <v>43881</v>
      </c>
      <c r="H854" t="str">
        <f>TEXT(tbl_HR_Data[[#This Row],[Joining Date]], "mmm")</f>
        <v>Feb</v>
      </c>
      <c r="I854" t="s">
        <v>92</v>
      </c>
      <c r="J854" t="s">
        <v>31</v>
      </c>
      <c r="K854" t="s">
        <v>15</v>
      </c>
      <c r="L854" t="s">
        <v>87</v>
      </c>
      <c r="M854">
        <f>IFERROR( _xlfn.XLOOKUP(TRIM(tbl_HR_Data[[#This Row],[Age]]),#REF!,#REF!), VALUE(TRIM(tbl_HR_Data[[#This Row],[Age]])))</f>
        <v>50</v>
      </c>
      <c r="N854" t="str">
        <f>IFERROR(_xlfn.XLOOKUP(tbl_HR_Data[[#This Row],[Gender]], Mapping[Gender _Discarded], Mapping[Gender_Correction]), PROPER(TRIM(tbl_HR_Data[[#This Row],[Gender]])))</f>
        <v>Female</v>
      </c>
      <c r="O854" t="str">
        <f>TRIM(tbl_HR_Data[[#This Row],[Position]])</f>
        <v>Analyst</v>
      </c>
      <c r="P854" t="str">
        <f>IFERROR(_xlfn.XLOOKUP(tbl_HR_Data[[#This Row],[Email]], Mapping[Email_Discarded], Mapping[Email_Correction]), LOWER(TRIM(tbl_HR_Data[[#This Row],[Email]])))</f>
        <v>email@example.com</v>
      </c>
      <c r="Q85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854" t="str" cm="1">
        <f t="array" ref="R854">_xlfn.REDUCE(Q854, {"-","/","_","\","(",")"}, _xlfn.LAMBDA(_xlpm.txt,_xlpm.itm, SUBSTITUTE(_xlpm.txt, _xlpm.itm, "")))</f>
        <v>1234567890</v>
      </c>
      <c r="S854" s="3">
        <f>IFERROR(_xlfn.XLOOKUP(tbl_HR_Data[[#This Row],[Joining Date]], Mapping[Joining_Discarded], Mapping[Joining_Correction]), VALUE(tbl_HR_Data[[#This Row],[Joining Date]]))</f>
        <v>43881</v>
      </c>
      <c r="T854" t="str">
        <f>TEXT(tbl_HR_Data[[#This Row],[Joining Date]], "mmm")</f>
        <v>Feb</v>
      </c>
      <c r="U854" t="str">
        <f>TEXT(tbl_HR_Data[[#This Row],[Joining Date]], "ddd")</f>
        <v>Thu</v>
      </c>
    </row>
    <row r="855" spans="1:21" x14ac:dyDescent="0.35">
      <c r="A855" t="s">
        <v>108</v>
      </c>
      <c r="B855">
        <v>35</v>
      </c>
      <c r="C855">
        <v>65000</v>
      </c>
      <c r="D855" t="s">
        <v>36</v>
      </c>
      <c r="E855" t="s">
        <v>30</v>
      </c>
      <c r="F855" t="s">
        <v>44</v>
      </c>
      <c r="G855" s="3">
        <v>43881</v>
      </c>
      <c r="H855" t="str">
        <f>TEXT(tbl_HR_Data[[#This Row],[Joining Date]], "mmm")</f>
        <v>Feb</v>
      </c>
      <c r="I855" t="s">
        <v>92</v>
      </c>
      <c r="J855" t="s">
        <v>14</v>
      </c>
      <c r="K855" t="s">
        <v>15</v>
      </c>
      <c r="L855" t="s">
        <v>88</v>
      </c>
      <c r="M855">
        <f>IFERROR( _xlfn.XLOOKUP(TRIM(tbl_HR_Data[[#This Row],[Age]]),#REF!,#REF!), VALUE(TRIM(tbl_HR_Data[[#This Row],[Age]])))</f>
        <v>35</v>
      </c>
      <c r="N855" t="str">
        <f>IFERROR(_xlfn.XLOOKUP(tbl_HR_Data[[#This Row],[Gender]], Mapping[Gender _Discarded], Mapping[Gender_Correction]), PROPER(TRIM(tbl_HR_Data[[#This Row],[Gender]])))</f>
        <v>Other</v>
      </c>
      <c r="O855" t="str">
        <f>TRIM(tbl_HR_Data[[#This Row],[Position]])</f>
        <v>Analyst</v>
      </c>
      <c r="P855" t="str">
        <f>IFERROR(_xlfn.XLOOKUP(tbl_HR_Data[[#This Row],[Email]], Mapping[Email_Discarded], Mapping[Email_Correction]), LOWER(TRIM(tbl_HR_Data[[#This Row],[Email]])))</f>
        <v>email@example.com</v>
      </c>
      <c r="Q85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855" t="str" cm="1">
        <f t="array" ref="R855">_xlfn.REDUCE(Q855, {"-","/","_","\","(",")"}, _xlfn.LAMBDA(_xlpm.txt,_xlpm.itm, SUBSTITUTE(_xlpm.txt, _xlpm.itm, "")))</f>
        <v>0987654321</v>
      </c>
      <c r="S855" s="3">
        <f>IFERROR(_xlfn.XLOOKUP(tbl_HR_Data[[#This Row],[Joining Date]], Mapping[Joining_Discarded], Mapping[Joining_Correction]), VALUE(tbl_HR_Data[[#This Row],[Joining Date]]))</f>
        <v>43881</v>
      </c>
      <c r="T855" t="str">
        <f>TEXT(tbl_HR_Data[[#This Row],[Joining Date]], "mmm")</f>
        <v>Feb</v>
      </c>
      <c r="U855" t="str">
        <f>TEXT(tbl_HR_Data[[#This Row],[Joining Date]], "ddd")</f>
        <v>Thu</v>
      </c>
    </row>
    <row r="856" spans="1:21" x14ac:dyDescent="0.35">
      <c r="A856" t="s">
        <v>103</v>
      </c>
      <c r="B856">
        <v>40</v>
      </c>
      <c r="C856">
        <v>65000</v>
      </c>
      <c r="D856" t="s">
        <v>36</v>
      </c>
      <c r="E856" t="s">
        <v>37</v>
      </c>
      <c r="F856" t="s">
        <v>39</v>
      </c>
      <c r="G856" s="3">
        <v>43881</v>
      </c>
      <c r="H856" t="str">
        <f>TEXT(tbl_HR_Data[[#This Row],[Joining Date]], "mmm")</f>
        <v>Feb</v>
      </c>
      <c r="I856" t="s">
        <v>92</v>
      </c>
      <c r="J856" t="s">
        <v>27</v>
      </c>
      <c r="K856" t="s">
        <v>15</v>
      </c>
      <c r="L856" t="s">
        <v>89</v>
      </c>
      <c r="M856">
        <f>IFERROR( _xlfn.XLOOKUP(TRIM(tbl_HR_Data[[#This Row],[Age]]),#REF!,#REF!), VALUE(TRIM(tbl_HR_Data[[#This Row],[Age]])))</f>
        <v>40</v>
      </c>
      <c r="N856" t="str">
        <f>IFERROR(_xlfn.XLOOKUP(tbl_HR_Data[[#This Row],[Gender]], Mapping[Gender _Discarded], Mapping[Gender_Correction]), PROPER(TRIM(tbl_HR_Data[[#This Row],[Gender]])))</f>
        <v>Other</v>
      </c>
      <c r="O856" t="str">
        <f>TRIM(tbl_HR_Data[[#This Row],[Position]])</f>
        <v>Clerk</v>
      </c>
      <c r="P856" t="str">
        <f>IFERROR(_xlfn.XLOOKUP(tbl_HR_Data[[#This Row],[Email]], Mapping[Email_Discarded], Mapping[Email_Correction]), LOWER(TRIM(tbl_HR_Data[[#This Row],[Email]])))</f>
        <v>email@example.com</v>
      </c>
      <c r="Q85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856" t="str" cm="1">
        <f t="array" ref="R856">_xlfn.REDUCE(Q856, {"-","/","_","\","(",")"}, _xlfn.LAMBDA(_xlpm.txt,_xlpm.itm, SUBSTITUTE(_xlpm.txt, _xlpm.itm, "")))</f>
        <v>5555555555</v>
      </c>
      <c r="S856" s="3">
        <f>IFERROR(_xlfn.XLOOKUP(tbl_HR_Data[[#This Row],[Joining Date]], Mapping[Joining_Discarded], Mapping[Joining_Correction]), VALUE(tbl_HR_Data[[#This Row],[Joining Date]]))</f>
        <v>43881</v>
      </c>
      <c r="T856" t="str">
        <f>TEXT(tbl_HR_Data[[#This Row],[Joining Date]], "mmm")</f>
        <v>Feb</v>
      </c>
      <c r="U856" t="str">
        <f>TEXT(tbl_HR_Data[[#This Row],[Joining Date]], "ddd")</f>
        <v>Thu</v>
      </c>
    </row>
    <row r="857" spans="1:21" x14ac:dyDescent="0.35">
      <c r="A857" t="s">
        <v>105</v>
      </c>
      <c r="B857">
        <v>40</v>
      </c>
      <c r="C857">
        <v>65000</v>
      </c>
      <c r="D857" t="s">
        <v>11</v>
      </c>
      <c r="E857" t="s">
        <v>19</v>
      </c>
      <c r="F857" t="s">
        <v>20</v>
      </c>
      <c r="G857" s="3">
        <v>43881</v>
      </c>
      <c r="H857" t="str">
        <f>TEXT(tbl_HR_Data[[#This Row],[Joining Date]], "mmm")</f>
        <v>Feb</v>
      </c>
      <c r="I857" t="s">
        <v>92</v>
      </c>
      <c r="J857" t="s">
        <v>21</v>
      </c>
      <c r="K857" t="s">
        <v>32</v>
      </c>
      <c r="L857" t="s">
        <v>77</v>
      </c>
      <c r="M857">
        <f>IFERROR( _xlfn.XLOOKUP(TRIM(tbl_HR_Data[[#This Row],[Age]]),#REF!,#REF!), VALUE(TRIM(tbl_HR_Data[[#This Row],[Age]])))</f>
        <v>40</v>
      </c>
      <c r="N857" t="str">
        <f>IFERROR(_xlfn.XLOOKUP(tbl_HR_Data[[#This Row],[Gender]], Mapping[Gender _Discarded], Mapping[Gender_Correction]), PROPER(TRIM(tbl_HR_Data[[#This Row],[Gender]])))</f>
        <v>Male</v>
      </c>
      <c r="O857" t="str">
        <f>TRIM(tbl_HR_Data[[#This Row],[Position]])</f>
        <v>Director</v>
      </c>
      <c r="P857" t="str">
        <f>IFERROR(_xlfn.XLOOKUP(tbl_HR_Data[[#This Row],[Email]], Mapping[Email_Discarded], Mapping[Email_Correction]), LOWER(TRIM(tbl_HR_Data[[#This Row],[Email]])))</f>
        <v>name@company.org</v>
      </c>
      <c r="Q85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57" t="str" cm="1">
        <f t="array" ref="R857">_xlfn.REDUCE(Q857, {"-","/","_","\","(",")"}, _xlfn.LAMBDA(_xlpm.txt,_xlpm.itm, SUBSTITUTE(_xlpm.txt, _xlpm.itm, "")))</f>
        <v>Not Provided</v>
      </c>
      <c r="S857" s="3">
        <f>IFERROR(_xlfn.XLOOKUP(tbl_HR_Data[[#This Row],[Joining Date]], Mapping[Joining_Discarded], Mapping[Joining_Correction]), VALUE(tbl_HR_Data[[#This Row],[Joining Date]]))</f>
        <v>43881</v>
      </c>
      <c r="T857" t="str">
        <f>TEXT(tbl_HR_Data[[#This Row],[Joining Date]], "mmm")</f>
        <v>Feb</v>
      </c>
      <c r="U857" t="str">
        <f>TEXT(tbl_HR_Data[[#This Row],[Joining Date]], "ddd")</f>
        <v>Thu</v>
      </c>
    </row>
    <row r="858" spans="1:21" x14ac:dyDescent="0.35">
      <c r="A858" t="s">
        <v>103</v>
      </c>
      <c r="B858">
        <v>35</v>
      </c>
      <c r="C858">
        <v>0</v>
      </c>
      <c r="D858" t="s">
        <v>18</v>
      </c>
      <c r="E858" t="s">
        <v>12</v>
      </c>
      <c r="F858" t="s">
        <v>20</v>
      </c>
      <c r="G858" s="3">
        <v>43881</v>
      </c>
      <c r="H858" t="str">
        <f>TEXT(tbl_HR_Data[[#This Row],[Joining Date]], "mmm")</f>
        <v>Feb</v>
      </c>
      <c r="I858" t="s">
        <v>92</v>
      </c>
      <c r="J858" t="s">
        <v>27</v>
      </c>
      <c r="K858" t="s">
        <v>77</v>
      </c>
      <c r="L858" t="s">
        <v>87</v>
      </c>
      <c r="M858">
        <f>IFERROR( _xlfn.XLOOKUP(TRIM(tbl_HR_Data[[#This Row],[Age]]),#REF!,#REF!), VALUE(TRIM(tbl_HR_Data[[#This Row],[Age]])))</f>
        <v>35</v>
      </c>
      <c r="N858" t="str">
        <f>IFERROR(_xlfn.XLOOKUP(tbl_HR_Data[[#This Row],[Gender]], Mapping[Gender _Discarded], Mapping[Gender_Correction]), PROPER(TRIM(tbl_HR_Data[[#This Row],[Gender]])))</f>
        <v>Female</v>
      </c>
      <c r="O858" t="str">
        <f>TRIM(tbl_HR_Data[[#This Row],[Position]])</f>
        <v>Director</v>
      </c>
      <c r="P858" t="str">
        <f>IFERROR(_xlfn.XLOOKUP(tbl_HR_Data[[#This Row],[Email]], Mapping[Email_Discarded], Mapping[Email_Correction]), LOWER(TRIM(tbl_HR_Data[[#This Row],[Email]])))</f>
        <v>not provided</v>
      </c>
      <c r="Q85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858" t="str" cm="1">
        <f t="array" ref="R858">_xlfn.REDUCE(Q858, {"-","/","_","\","(",")"}, _xlfn.LAMBDA(_xlpm.txt,_xlpm.itm, SUBSTITUTE(_xlpm.txt, _xlpm.itm, "")))</f>
        <v>1234567890</v>
      </c>
      <c r="S858" s="3">
        <f>IFERROR(_xlfn.XLOOKUP(tbl_HR_Data[[#This Row],[Joining Date]], Mapping[Joining_Discarded], Mapping[Joining_Correction]), VALUE(tbl_HR_Data[[#This Row],[Joining Date]]))</f>
        <v>43881</v>
      </c>
      <c r="T858" t="str">
        <f>TEXT(tbl_HR_Data[[#This Row],[Joining Date]], "mmm")</f>
        <v>Feb</v>
      </c>
      <c r="U858" t="str">
        <f>TEXT(tbl_HR_Data[[#This Row],[Joining Date]], "ddd")</f>
        <v>Thu</v>
      </c>
    </row>
    <row r="859" spans="1:21" x14ac:dyDescent="0.35">
      <c r="A859" t="s">
        <v>102</v>
      </c>
      <c r="B859">
        <v>0</v>
      </c>
      <c r="C859">
        <v>55000</v>
      </c>
      <c r="D859" t="s">
        <v>11</v>
      </c>
      <c r="E859" t="s">
        <v>12</v>
      </c>
      <c r="F859" t="s">
        <v>20</v>
      </c>
      <c r="G859" s="3">
        <v>43881</v>
      </c>
      <c r="H859" t="str">
        <f>TEXT(tbl_HR_Data[[#This Row],[Joining Date]], "mmm")</f>
        <v>Feb</v>
      </c>
      <c r="I859" t="s">
        <v>92</v>
      </c>
      <c r="J859" t="s">
        <v>41</v>
      </c>
      <c r="K859" t="s">
        <v>77</v>
      </c>
      <c r="L859" t="s">
        <v>87</v>
      </c>
      <c r="M859">
        <f>IFERROR( _xlfn.XLOOKUP(TRIM(tbl_HR_Data[[#This Row],[Age]]),#REF!,#REF!), VALUE(TRIM(tbl_HR_Data[[#This Row],[Age]])))</f>
        <v>0</v>
      </c>
      <c r="N859" t="str">
        <f>IFERROR(_xlfn.XLOOKUP(tbl_HR_Data[[#This Row],[Gender]], Mapping[Gender _Discarded], Mapping[Gender_Correction]), PROPER(TRIM(tbl_HR_Data[[#This Row],[Gender]])))</f>
        <v>Male</v>
      </c>
      <c r="O859" t="str">
        <f>TRIM(tbl_HR_Data[[#This Row],[Position]])</f>
        <v>Director</v>
      </c>
      <c r="P859" t="str">
        <f>IFERROR(_xlfn.XLOOKUP(tbl_HR_Data[[#This Row],[Email]], Mapping[Email_Discarded], Mapping[Email_Correction]), LOWER(TRIM(tbl_HR_Data[[#This Row],[Email]])))</f>
        <v>not provided</v>
      </c>
      <c r="Q85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859" t="str" cm="1">
        <f t="array" ref="R859">_xlfn.REDUCE(Q859, {"-","/","_","\","(",")"}, _xlfn.LAMBDA(_xlpm.txt,_xlpm.itm, SUBSTITUTE(_xlpm.txt, _xlpm.itm, "")))</f>
        <v>1234567890</v>
      </c>
      <c r="S859" s="3">
        <f>IFERROR(_xlfn.XLOOKUP(tbl_HR_Data[[#This Row],[Joining Date]], Mapping[Joining_Discarded], Mapping[Joining_Correction]), VALUE(tbl_HR_Data[[#This Row],[Joining Date]]))</f>
        <v>43881</v>
      </c>
      <c r="T859" t="str">
        <f>TEXT(tbl_HR_Data[[#This Row],[Joining Date]], "mmm")</f>
        <v>Feb</v>
      </c>
      <c r="U859" t="str">
        <f>TEXT(tbl_HR_Data[[#This Row],[Joining Date]], "ddd")</f>
        <v>Thu</v>
      </c>
    </row>
    <row r="860" spans="1:21" x14ac:dyDescent="0.35">
      <c r="A860" t="s">
        <v>107</v>
      </c>
      <c r="B860">
        <v>35</v>
      </c>
      <c r="C860">
        <v>0</v>
      </c>
      <c r="D860" t="s">
        <v>11</v>
      </c>
      <c r="E860" t="s">
        <v>37</v>
      </c>
      <c r="F860" t="s">
        <v>43</v>
      </c>
      <c r="G860" s="3">
        <v>43881</v>
      </c>
      <c r="H860" t="str">
        <f>TEXT(tbl_HR_Data[[#This Row],[Joining Date]], "mmm")</f>
        <v>Feb</v>
      </c>
      <c r="I860" t="s">
        <v>92</v>
      </c>
      <c r="J860" t="s">
        <v>27</v>
      </c>
      <c r="K860" t="s">
        <v>77</v>
      </c>
      <c r="L860" t="s">
        <v>89</v>
      </c>
      <c r="M860">
        <f>IFERROR( _xlfn.XLOOKUP(TRIM(tbl_HR_Data[[#This Row],[Age]]),#REF!,#REF!), VALUE(TRIM(tbl_HR_Data[[#This Row],[Age]])))</f>
        <v>35</v>
      </c>
      <c r="N860" t="str">
        <f>IFERROR(_xlfn.XLOOKUP(tbl_HR_Data[[#This Row],[Gender]], Mapping[Gender _Discarded], Mapping[Gender_Correction]), PROPER(TRIM(tbl_HR_Data[[#This Row],[Gender]])))</f>
        <v>Male</v>
      </c>
      <c r="O860" t="str">
        <f>TRIM(tbl_HR_Data[[#This Row],[Position]])</f>
        <v>Assistant</v>
      </c>
      <c r="P860" t="str">
        <f>IFERROR(_xlfn.XLOOKUP(tbl_HR_Data[[#This Row],[Email]], Mapping[Email_Discarded], Mapping[Email_Correction]), LOWER(TRIM(tbl_HR_Data[[#This Row],[Email]])))</f>
        <v>not provided</v>
      </c>
      <c r="Q86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860" t="str" cm="1">
        <f t="array" ref="R860">_xlfn.REDUCE(Q860, {"-","/","_","\","(",")"}, _xlfn.LAMBDA(_xlpm.txt,_xlpm.itm, SUBSTITUTE(_xlpm.txt, _xlpm.itm, "")))</f>
        <v>5555555555</v>
      </c>
      <c r="S860" s="3">
        <f>IFERROR(_xlfn.XLOOKUP(tbl_HR_Data[[#This Row],[Joining Date]], Mapping[Joining_Discarded], Mapping[Joining_Correction]), VALUE(tbl_HR_Data[[#This Row],[Joining Date]]))</f>
        <v>43881</v>
      </c>
      <c r="T860" t="str">
        <f>TEXT(tbl_HR_Data[[#This Row],[Joining Date]], "mmm")</f>
        <v>Feb</v>
      </c>
      <c r="U860" t="str">
        <f>TEXT(tbl_HR_Data[[#This Row],[Joining Date]], "ddd")</f>
        <v>Thu</v>
      </c>
    </row>
    <row r="861" spans="1:21" x14ac:dyDescent="0.35">
      <c r="A861" t="s">
        <v>101</v>
      </c>
      <c r="B861">
        <v>50</v>
      </c>
      <c r="C861">
        <v>70000</v>
      </c>
      <c r="D861" t="s">
        <v>36</v>
      </c>
      <c r="E861" t="s">
        <v>26</v>
      </c>
      <c r="F861" t="s">
        <v>13</v>
      </c>
      <c r="G861" s="3">
        <v>43881</v>
      </c>
      <c r="H861" t="str">
        <f>TEXT(tbl_HR_Data[[#This Row],[Joining Date]], "mmm")</f>
        <v>Feb</v>
      </c>
      <c r="I861" t="s">
        <v>92</v>
      </c>
      <c r="J861" t="s">
        <v>21</v>
      </c>
      <c r="K861" t="s">
        <v>77</v>
      </c>
      <c r="L861" t="s">
        <v>89</v>
      </c>
      <c r="M861">
        <f>IFERROR( _xlfn.XLOOKUP(TRIM(tbl_HR_Data[[#This Row],[Age]]),#REF!,#REF!), VALUE(TRIM(tbl_HR_Data[[#This Row],[Age]])))</f>
        <v>50</v>
      </c>
      <c r="N861" t="str">
        <f>IFERROR(_xlfn.XLOOKUP(tbl_HR_Data[[#This Row],[Gender]], Mapping[Gender _Discarded], Mapping[Gender_Correction]), PROPER(TRIM(tbl_HR_Data[[#This Row],[Gender]])))</f>
        <v>Other</v>
      </c>
      <c r="O861" t="str">
        <f>TRIM(tbl_HR_Data[[#This Row],[Position]])</f>
        <v>Manager</v>
      </c>
      <c r="P861" t="str">
        <f>IFERROR(_xlfn.XLOOKUP(tbl_HR_Data[[#This Row],[Email]], Mapping[Email_Discarded], Mapping[Email_Correction]), LOWER(TRIM(tbl_HR_Data[[#This Row],[Email]])))</f>
        <v>not provided</v>
      </c>
      <c r="Q86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861" t="str" cm="1">
        <f t="array" ref="R861">_xlfn.REDUCE(Q861, {"-","/","_","\","(",")"}, _xlfn.LAMBDA(_xlpm.txt,_xlpm.itm, SUBSTITUTE(_xlpm.txt, _xlpm.itm, "")))</f>
        <v>5555555555</v>
      </c>
      <c r="S861" s="3">
        <f>IFERROR(_xlfn.XLOOKUP(tbl_HR_Data[[#This Row],[Joining Date]], Mapping[Joining_Discarded], Mapping[Joining_Correction]), VALUE(tbl_HR_Data[[#This Row],[Joining Date]]))</f>
        <v>43881</v>
      </c>
      <c r="T861" t="str">
        <f>TEXT(tbl_HR_Data[[#This Row],[Joining Date]], "mmm")</f>
        <v>Feb</v>
      </c>
      <c r="U861" t="str">
        <f>TEXT(tbl_HR_Data[[#This Row],[Joining Date]], "ddd")</f>
        <v>Thu</v>
      </c>
    </row>
    <row r="862" spans="1:21" x14ac:dyDescent="0.35">
      <c r="A862" t="s">
        <v>99</v>
      </c>
      <c r="B862">
        <v>40</v>
      </c>
      <c r="C862">
        <v>60000</v>
      </c>
      <c r="D862" t="s">
        <v>11</v>
      </c>
      <c r="E862" t="s">
        <v>12</v>
      </c>
      <c r="F862" t="s">
        <v>44</v>
      </c>
      <c r="G862" s="3">
        <v>43881</v>
      </c>
      <c r="H862" t="str">
        <f>TEXT(tbl_HR_Data[[#This Row],[Joining Date]], "mmm")</f>
        <v>Feb</v>
      </c>
      <c r="I862" t="s">
        <v>92</v>
      </c>
      <c r="J862" t="s">
        <v>14</v>
      </c>
      <c r="K862" t="s">
        <v>77</v>
      </c>
      <c r="L862" t="s">
        <v>87</v>
      </c>
      <c r="M862">
        <f>IFERROR( _xlfn.XLOOKUP(TRIM(tbl_HR_Data[[#This Row],[Age]]),#REF!,#REF!), VALUE(TRIM(tbl_HR_Data[[#This Row],[Age]])))</f>
        <v>40</v>
      </c>
      <c r="N862" t="str">
        <f>IFERROR(_xlfn.XLOOKUP(tbl_HR_Data[[#This Row],[Gender]], Mapping[Gender _Discarded], Mapping[Gender_Correction]), PROPER(TRIM(tbl_HR_Data[[#This Row],[Gender]])))</f>
        <v>Male</v>
      </c>
      <c r="O862" t="str">
        <f>TRIM(tbl_HR_Data[[#This Row],[Position]])</f>
        <v>Analyst</v>
      </c>
      <c r="P862" t="str">
        <f>IFERROR(_xlfn.XLOOKUP(tbl_HR_Data[[#This Row],[Email]], Mapping[Email_Discarded], Mapping[Email_Correction]), LOWER(TRIM(tbl_HR_Data[[#This Row],[Email]])))</f>
        <v>not provided</v>
      </c>
      <c r="Q86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862" t="str" cm="1">
        <f t="array" ref="R862">_xlfn.REDUCE(Q862, {"-","/","_","\","(",")"}, _xlfn.LAMBDA(_xlpm.txt,_xlpm.itm, SUBSTITUTE(_xlpm.txt, _xlpm.itm, "")))</f>
        <v>1234567890</v>
      </c>
      <c r="S862" s="3">
        <f>IFERROR(_xlfn.XLOOKUP(tbl_HR_Data[[#This Row],[Joining Date]], Mapping[Joining_Discarded], Mapping[Joining_Correction]), VALUE(tbl_HR_Data[[#This Row],[Joining Date]]))</f>
        <v>43881</v>
      </c>
      <c r="T862" t="str">
        <f>TEXT(tbl_HR_Data[[#This Row],[Joining Date]], "mmm")</f>
        <v>Feb</v>
      </c>
      <c r="U862" t="str">
        <f>TEXT(tbl_HR_Data[[#This Row],[Joining Date]], "ddd")</f>
        <v>Thu</v>
      </c>
    </row>
    <row r="863" spans="1:21" x14ac:dyDescent="0.35">
      <c r="A863" t="s">
        <v>108</v>
      </c>
      <c r="B863">
        <v>35</v>
      </c>
      <c r="C863">
        <v>70000</v>
      </c>
      <c r="D863" t="s">
        <v>36</v>
      </c>
      <c r="E863" t="s">
        <v>26</v>
      </c>
      <c r="F863" t="s">
        <v>39</v>
      </c>
      <c r="G863" s="3">
        <v>43881</v>
      </c>
      <c r="H863" t="str">
        <f>TEXT(tbl_HR_Data[[#This Row],[Joining Date]], "mmm")</f>
        <v>Feb</v>
      </c>
      <c r="I863" t="s">
        <v>92</v>
      </c>
      <c r="J863" t="s">
        <v>31</v>
      </c>
      <c r="K863" t="s">
        <v>77</v>
      </c>
      <c r="L863" t="s">
        <v>89</v>
      </c>
      <c r="M863">
        <f>IFERROR( _xlfn.XLOOKUP(TRIM(tbl_HR_Data[[#This Row],[Age]]),#REF!,#REF!), VALUE(TRIM(tbl_HR_Data[[#This Row],[Age]])))</f>
        <v>35</v>
      </c>
      <c r="N863" t="str">
        <f>IFERROR(_xlfn.XLOOKUP(tbl_HR_Data[[#This Row],[Gender]], Mapping[Gender _Discarded], Mapping[Gender_Correction]), PROPER(TRIM(tbl_HR_Data[[#This Row],[Gender]])))</f>
        <v>Other</v>
      </c>
      <c r="O863" t="str">
        <f>TRIM(tbl_HR_Data[[#This Row],[Position]])</f>
        <v>Clerk</v>
      </c>
      <c r="P863" t="str">
        <f>IFERROR(_xlfn.XLOOKUP(tbl_HR_Data[[#This Row],[Email]], Mapping[Email_Discarded], Mapping[Email_Correction]), LOWER(TRIM(tbl_HR_Data[[#This Row],[Email]])))</f>
        <v>not provided</v>
      </c>
      <c r="Q86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863" t="str" cm="1">
        <f t="array" ref="R863">_xlfn.REDUCE(Q863, {"-","/","_","\","(",")"}, _xlfn.LAMBDA(_xlpm.txt,_xlpm.itm, SUBSTITUTE(_xlpm.txt, _xlpm.itm, "")))</f>
        <v>5555555555</v>
      </c>
      <c r="S863" s="3">
        <f>IFERROR(_xlfn.XLOOKUP(tbl_HR_Data[[#This Row],[Joining Date]], Mapping[Joining_Discarded], Mapping[Joining_Correction]), VALUE(tbl_HR_Data[[#This Row],[Joining Date]]))</f>
        <v>43881</v>
      </c>
      <c r="T863" t="str">
        <f>TEXT(tbl_HR_Data[[#This Row],[Joining Date]], "mmm")</f>
        <v>Feb</v>
      </c>
      <c r="U863" t="str">
        <f>TEXT(tbl_HR_Data[[#This Row],[Joining Date]], "ddd")</f>
        <v>Thu</v>
      </c>
    </row>
    <row r="864" spans="1:21" x14ac:dyDescent="0.35">
      <c r="A864" t="s">
        <v>105</v>
      </c>
      <c r="B864">
        <v>40</v>
      </c>
      <c r="C864">
        <v>0</v>
      </c>
      <c r="D864" t="s">
        <v>18</v>
      </c>
      <c r="E864" t="s">
        <v>26</v>
      </c>
      <c r="F864" t="s">
        <v>39</v>
      </c>
      <c r="G864" s="3">
        <v>43881</v>
      </c>
      <c r="H864" t="str">
        <f>TEXT(tbl_HR_Data[[#This Row],[Joining Date]], "mmm")</f>
        <v>Feb</v>
      </c>
      <c r="I864" t="s">
        <v>92</v>
      </c>
      <c r="J864" t="s">
        <v>27</v>
      </c>
      <c r="K864" t="s">
        <v>15</v>
      </c>
      <c r="L864" t="s">
        <v>77</v>
      </c>
      <c r="M864">
        <f>IFERROR( _xlfn.XLOOKUP(TRIM(tbl_HR_Data[[#This Row],[Age]]),#REF!,#REF!), VALUE(TRIM(tbl_HR_Data[[#This Row],[Age]])))</f>
        <v>40</v>
      </c>
      <c r="N864" t="str">
        <f>IFERROR(_xlfn.XLOOKUP(tbl_HR_Data[[#This Row],[Gender]], Mapping[Gender _Discarded], Mapping[Gender_Correction]), PROPER(TRIM(tbl_HR_Data[[#This Row],[Gender]])))</f>
        <v>Female</v>
      </c>
      <c r="O864" t="str">
        <f>TRIM(tbl_HR_Data[[#This Row],[Position]])</f>
        <v>Clerk</v>
      </c>
      <c r="P864" t="str">
        <f>IFERROR(_xlfn.XLOOKUP(tbl_HR_Data[[#This Row],[Email]], Mapping[Email_Discarded], Mapping[Email_Correction]), LOWER(TRIM(tbl_HR_Data[[#This Row],[Email]])))</f>
        <v>email@example.com</v>
      </c>
      <c r="Q86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64" t="str" cm="1">
        <f t="array" ref="R864">_xlfn.REDUCE(Q864, {"-","/","_","\","(",")"}, _xlfn.LAMBDA(_xlpm.txt,_xlpm.itm, SUBSTITUTE(_xlpm.txt, _xlpm.itm, "")))</f>
        <v>Not Provided</v>
      </c>
      <c r="S864" s="3">
        <f>IFERROR(_xlfn.XLOOKUP(tbl_HR_Data[[#This Row],[Joining Date]], Mapping[Joining_Discarded], Mapping[Joining_Correction]), VALUE(tbl_HR_Data[[#This Row],[Joining Date]]))</f>
        <v>43881</v>
      </c>
      <c r="T864" t="str">
        <f>TEXT(tbl_HR_Data[[#This Row],[Joining Date]], "mmm")</f>
        <v>Feb</v>
      </c>
      <c r="U864" t="str">
        <f>TEXT(tbl_HR_Data[[#This Row],[Joining Date]], "ddd")</f>
        <v>Thu</v>
      </c>
    </row>
    <row r="865" spans="1:21" x14ac:dyDescent="0.35">
      <c r="A865" t="s">
        <v>102</v>
      </c>
      <c r="B865">
        <v>30</v>
      </c>
      <c r="C865">
        <v>70000</v>
      </c>
      <c r="D865" t="s">
        <v>36</v>
      </c>
      <c r="E865" t="s">
        <v>12</v>
      </c>
      <c r="F865" t="s">
        <v>39</v>
      </c>
      <c r="G865" s="3">
        <v>43881</v>
      </c>
      <c r="H865" t="str">
        <f>TEXT(tbl_HR_Data[[#This Row],[Joining Date]], "mmm")</f>
        <v>Feb</v>
      </c>
      <c r="I865" t="s">
        <v>92</v>
      </c>
      <c r="J865" t="s">
        <v>14</v>
      </c>
      <c r="K865" t="s">
        <v>77</v>
      </c>
      <c r="L865" t="s">
        <v>77</v>
      </c>
      <c r="M865">
        <f>IFERROR( _xlfn.XLOOKUP(TRIM(tbl_HR_Data[[#This Row],[Age]]),#REF!,#REF!), VALUE(TRIM(tbl_HR_Data[[#This Row],[Age]])))</f>
        <v>30</v>
      </c>
      <c r="N865" t="str">
        <f>IFERROR(_xlfn.XLOOKUP(tbl_HR_Data[[#This Row],[Gender]], Mapping[Gender _Discarded], Mapping[Gender_Correction]), PROPER(TRIM(tbl_HR_Data[[#This Row],[Gender]])))</f>
        <v>Other</v>
      </c>
      <c r="O865" t="str">
        <f>TRIM(tbl_HR_Data[[#This Row],[Position]])</f>
        <v>Clerk</v>
      </c>
      <c r="P865" t="str">
        <f>IFERROR(_xlfn.XLOOKUP(tbl_HR_Data[[#This Row],[Email]], Mapping[Email_Discarded], Mapping[Email_Correction]), LOWER(TRIM(tbl_HR_Data[[#This Row],[Email]])))</f>
        <v>not provided</v>
      </c>
      <c r="Q86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65" t="str" cm="1">
        <f t="array" ref="R865">_xlfn.REDUCE(Q865, {"-","/","_","\","(",")"}, _xlfn.LAMBDA(_xlpm.txt,_xlpm.itm, SUBSTITUTE(_xlpm.txt, _xlpm.itm, "")))</f>
        <v>Not Provided</v>
      </c>
      <c r="S865" s="3">
        <f>IFERROR(_xlfn.XLOOKUP(tbl_HR_Data[[#This Row],[Joining Date]], Mapping[Joining_Discarded], Mapping[Joining_Correction]), VALUE(tbl_HR_Data[[#This Row],[Joining Date]]))</f>
        <v>43881</v>
      </c>
      <c r="T865" t="str">
        <f>TEXT(tbl_HR_Data[[#This Row],[Joining Date]], "mmm")</f>
        <v>Feb</v>
      </c>
      <c r="U865" t="str">
        <f>TEXT(tbl_HR_Data[[#This Row],[Joining Date]], "ddd")</f>
        <v>Thu</v>
      </c>
    </row>
    <row r="866" spans="1:21" x14ac:dyDescent="0.35">
      <c r="A866" t="s">
        <v>107</v>
      </c>
      <c r="B866">
        <v>25</v>
      </c>
      <c r="C866">
        <v>65000</v>
      </c>
      <c r="D866" t="s">
        <v>36</v>
      </c>
      <c r="E866" t="s">
        <v>19</v>
      </c>
      <c r="F866" t="s">
        <v>43</v>
      </c>
      <c r="G866" s="3">
        <v>43881</v>
      </c>
      <c r="H866" t="str">
        <f>TEXT(tbl_HR_Data[[#This Row],[Joining Date]], "mmm")</f>
        <v>Feb</v>
      </c>
      <c r="I866" t="s">
        <v>92</v>
      </c>
      <c r="J866" t="s">
        <v>31</v>
      </c>
      <c r="K866" t="s">
        <v>77</v>
      </c>
      <c r="L866" t="s">
        <v>77</v>
      </c>
      <c r="M866">
        <f>IFERROR( _xlfn.XLOOKUP(TRIM(tbl_HR_Data[[#This Row],[Age]]),#REF!,#REF!), VALUE(TRIM(tbl_HR_Data[[#This Row],[Age]])))</f>
        <v>25</v>
      </c>
      <c r="N866" t="str">
        <f>IFERROR(_xlfn.XLOOKUP(tbl_HR_Data[[#This Row],[Gender]], Mapping[Gender _Discarded], Mapping[Gender_Correction]), PROPER(TRIM(tbl_HR_Data[[#This Row],[Gender]])))</f>
        <v>Other</v>
      </c>
      <c r="O866" t="str">
        <f>TRIM(tbl_HR_Data[[#This Row],[Position]])</f>
        <v>Assistant</v>
      </c>
      <c r="P866" t="str">
        <f>IFERROR(_xlfn.XLOOKUP(tbl_HR_Data[[#This Row],[Email]], Mapping[Email_Discarded], Mapping[Email_Correction]), LOWER(TRIM(tbl_HR_Data[[#This Row],[Email]])))</f>
        <v>not provided</v>
      </c>
      <c r="Q86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66" t="str" cm="1">
        <f t="array" ref="R866">_xlfn.REDUCE(Q866, {"-","/","_","\","(",")"}, _xlfn.LAMBDA(_xlpm.txt,_xlpm.itm, SUBSTITUTE(_xlpm.txt, _xlpm.itm, "")))</f>
        <v>Not Provided</v>
      </c>
      <c r="S866" s="3">
        <f>IFERROR(_xlfn.XLOOKUP(tbl_HR_Data[[#This Row],[Joining Date]], Mapping[Joining_Discarded], Mapping[Joining_Correction]), VALUE(tbl_HR_Data[[#This Row],[Joining Date]]))</f>
        <v>43881</v>
      </c>
      <c r="T866" t="str">
        <f>TEXT(tbl_HR_Data[[#This Row],[Joining Date]], "mmm")</f>
        <v>Feb</v>
      </c>
      <c r="U866" t="str">
        <f>TEXT(tbl_HR_Data[[#This Row],[Joining Date]], "ddd")</f>
        <v>Thu</v>
      </c>
    </row>
    <row r="867" spans="1:21" x14ac:dyDescent="0.35">
      <c r="A867" t="s">
        <v>103</v>
      </c>
      <c r="B867">
        <v>40</v>
      </c>
      <c r="C867">
        <v>50000</v>
      </c>
      <c r="D867" t="s">
        <v>36</v>
      </c>
      <c r="E867" t="s">
        <v>12</v>
      </c>
      <c r="F867" t="s">
        <v>20</v>
      </c>
      <c r="G867" s="3">
        <v>43881</v>
      </c>
      <c r="H867" t="str">
        <f>TEXT(tbl_HR_Data[[#This Row],[Joining Date]], "mmm")</f>
        <v>Feb</v>
      </c>
      <c r="I867" t="s">
        <v>92</v>
      </c>
      <c r="J867" t="s">
        <v>31</v>
      </c>
      <c r="K867" t="s">
        <v>32</v>
      </c>
      <c r="L867" t="s">
        <v>88</v>
      </c>
      <c r="M867">
        <f>IFERROR( _xlfn.XLOOKUP(TRIM(tbl_HR_Data[[#This Row],[Age]]),#REF!,#REF!), VALUE(TRIM(tbl_HR_Data[[#This Row],[Age]])))</f>
        <v>40</v>
      </c>
      <c r="N867" t="str">
        <f>IFERROR(_xlfn.XLOOKUP(tbl_HR_Data[[#This Row],[Gender]], Mapping[Gender _Discarded], Mapping[Gender_Correction]), PROPER(TRIM(tbl_HR_Data[[#This Row],[Gender]])))</f>
        <v>Other</v>
      </c>
      <c r="O867" t="str">
        <f>TRIM(tbl_HR_Data[[#This Row],[Position]])</f>
        <v>Director</v>
      </c>
      <c r="P867" t="str">
        <f>IFERROR(_xlfn.XLOOKUP(tbl_HR_Data[[#This Row],[Email]], Mapping[Email_Discarded], Mapping[Email_Correction]), LOWER(TRIM(tbl_HR_Data[[#This Row],[Email]])))</f>
        <v>name@company.org</v>
      </c>
      <c r="Q86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867" t="str" cm="1">
        <f t="array" ref="R867">_xlfn.REDUCE(Q867, {"-","/","_","\","(",")"}, _xlfn.LAMBDA(_xlpm.txt,_xlpm.itm, SUBSTITUTE(_xlpm.txt, _xlpm.itm, "")))</f>
        <v>0987654321</v>
      </c>
      <c r="S867" s="3">
        <f>IFERROR(_xlfn.XLOOKUP(tbl_HR_Data[[#This Row],[Joining Date]], Mapping[Joining_Discarded], Mapping[Joining_Correction]), VALUE(tbl_HR_Data[[#This Row],[Joining Date]]))</f>
        <v>43881</v>
      </c>
      <c r="T867" t="str">
        <f>TEXT(tbl_HR_Data[[#This Row],[Joining Date]], "mmm")</f>
        <v>Feb</v>
      </c>
      <c r="U867" t="str">
        <f>TEXT(tbl_HR_Data[[#This Row],[Joining Date]], "ddd")</f>
        <v>Thu</v>
      </c>
    </row>
    <row r="868" spans="1:21" x14ac:dyDescent="0.35">
      <c r="A868" t="s">
        <v>108</v>
      </c>
      <c r="B868">
        <v>30</v>
      </c>
      <c r="C868">
        <v>50000</v>
      </c>
      <c r="D868" t="s">
        <v>18</v>
      </c>
      <c r="E868" t="s">
        <v>37</v>
      </c>
      <c r="F868" t="s">
        <v>44</v>
      </c>
      <c r="G868" s="3">
        <v>43881</v>
      </c>
      <c r="H868" t="str">
        <f>TEXT(tbl_HR_Data[[#This Row],[Joining Date]], "mmm")</f>
        <v>Feb</v>
      </c>
      <c r="I868" t="s">
        <v>92</v>
      </c>
      <c r="J868" t="s">
        <v>14</v>
      </c>
      <c r="K868" t="s">
        <v>77</v>
      </c>
      <c r="L868" t="s">
        <v>77</v>
      </c>
      <c r="M868">
        <f>IFERROR( _xlfn.XLOOKUP(TRIM(tbl_HR_Data[[#This Row],[Age]]),#REF!,#REF!), VALUE(TRIM(tbl_HR_Data[[#This Row],[Age]])))</f>
        <v>30</v>
      </c>
      <c r="N868" t="str">
        <f>IFERROR(_xlfn.XLOOKUP(tbl_HR_Data[[#This Row],[Gender]], Mapping[Gender _Discarded], Mapping[Gender_Correction]), PROPER(TRIM(tbl_HR_Data[[#This Row],[Gender]])))</f>
        <v>Female</v>
      </c>
      <c r="O868" t="str">
        <f>TRIM(tbl_HR_Data[[#This Row],[Position]])</f>
        <v>Analyst</v>
      </c>
      <c r="P868" t="str">
        <f>IFERROR(_xlfn.XLOOKUP(tbl_HR_Data[[#This Row],[Email]], Mapping[Email_Discarded], Mapping[Email_Correction]), LOWER(TRIM(tbl_HR_Data[[#This Row],[Email]])))</f>
        <v>not provided</v>
      </c>
      <c r="Q86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68" t="str" cm="1">
        <f t="array" ref="R868">_xlfn.REDUCE(Q868, {"-","/","_","\","(",")"}, _xlfn.LAMBDA(_xlpm.txt,_xlpm.itm, SUBSTITUTE(_xlpm.txt, _xlpm.itm, "")))</f>
        <v>Not Provided</v>
      </c>
      <c r="S868" s="3">
        <f>IFERROR(_xlfn.XLOOKUP(tbl_HR_Data[[#This Row],[Joining Date]], Mapping[Joining_Discarded], Mapping[Joining_Correction]), VALUE(tbl_HR_Data[[#This Row],[Joining Date]]))</f>
        <v>43881</v>
      </c>
      <c r="T868" t="str">
        <f>TEXT(tbl_HR_Data[[#This Row],[Joining Date]], "mmm")</f>
        <v>Feb</v>
      </c>
      <c r="U868" t="str">
        <f>TEXT(tbl_HR_Data[[#This Row],[Joining Date]], "ddd")</f>
        <v>Thu</v>
      </c>
    </row>
    <row r="869" spans="1:21" x14ac:dyDescent="0.35">
      <c r="A869" t="s">
        <v>101</v>
      </c>
      <c r="B869">
        <v>35</v>
      </c>
      <c r="C869">
        <v>65000</v>
      </c>
      <c r="D869" t="s">
        <v>11</v>
      </c>
      <c r="E869" t="s">
        <v>37</v>
      </c>
      <c r="F869" t="s">
        <v>43</v>
      </c>
      <c r="G869" s="3">
        <v>43881</v>
      </c>
      <c r="H869" t="str">
        <f>TEXT(tbl_HR_Data[[#This Row],[Joining Date]], "mmm")</f>
        <v>Feb</v>
      </c>
      <c r="I869" t="s">
        <v>92</v>
      </c>
      <c r="J869" t="s">
        <v>27</v>
      </c>
      <c r="K869" t="s">
        <v>22</v>
      </c>
      <c r="L869" t="s">
        <v>89</v>
      </c>
      <c r="M869">
        <f>IFERROR( _xlfn.XLOOKUP(TRIM(tbl_HR_Data[[#This Row],[Age]]),#REF!,#REF!), VALUE(TRIM(tbl_HR_Data[[#This Row],[Age]])))</f>
        <v>35</v>
      </c>
      <c r="N869" t="str">
        <f>IFERROR(_xlfn.XLOOKUP(tbl_HR_Data[[#This Row],[Gender]], Mapping[Gender _Discarded], Mapping[Gender_Correction]), PROPER(TRIM(tbl_HR_Data[[#This Row],[Gender]])))</f>
        <v>Male</v>
      </c>
      <c r="O869" t="str">
        <f>TRIM(tbl_HR_Data[[#This Row],[Position]])</f>
        <v>Assistant</v>
      </c>
      <c r="P869" t="str">
        <f>IFERROR(_xlfn.XLOOKUP(tbl_HR_Data[[#This Row],[Email]], Mapping[Email_Discarded], Mapping[Email_Correction]), LOWER(TRIM(tbl_HR_Data[[#This Row],[Email]])))</f>
        <v>user@domain.com</v>
      </c>
      <c r="Q86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869" t="str" cm="1">
        <f t="array" ref="R869">_xlfn.REDUCE(Q869, {"-","/","_","\","(",")"}, _xlfn.LAMBDA(_xlpm.txt,_xlpm.itm, SUBSTITUTE(_xlpm.txt, _xlpm.itm, "")))</f>
        <v>5555555555</v>
      </c>
      <c r="S869" s="3">
        <f>IFERROR(_xlfn.XLOOKUP(tbl_HR_Data[[#This Row],[Joining Date]], Mapping[Joining_Discarded], Mapping[Joining_Correction]), VALUE(tbl_HR_Data[[#This Row],[Joining Date]]))</f>
        <v>43881</v>
      </c>
      <c r="T869" t="str">
        <f>TEXT(tbl_HR_Data[[#This Row],[Joining Date]], "mmm")</f>
        <v>Feb</v>
      </c>
      <c r="U869" t="str">
        <f>TEXT(tbl_HR_Data[[#This Row],[Joining Date]], "ddd")</f>
        <v>Thu</v>
      </c>
    </row>
    <row r="870" spans="1:21" x14ac:dyDescent="0.35">
      <c r="A870" t="s">
        <v>100</v>
      </c>
      <c r="B870">
        <v>50</v>
      </c>
      <c r="C870">
        <v>65000</v>
      </c>
      <c r="D870" t="s">
        <v>11</v>
      </c>
      <c r="E870" t="s">
        <v>30</v>
      </c>
      <c r="F870" t="s">
        <v>43</v>
      </c>
      <c r="G870" s="3">
        <v>43881</v>
      </c>
      <c r="H870" t="str">
        <f>TEXT(tbl_HR_Data[[#This Row],[Joining Date]], "mmm")</f>
        <v>Feb</v>
      </c>
      <c r="I870" t="s">
        <v>92</v>
      </c>
      <c r="J870" t="s">
        <v>21</v>
      </c>
      <c r="K870" t="s">
        <v>77</v>
      </c>
      <c r="L870" t="s">
        <v>89</v>
      </c>
      <c r="M870">
        <f>IFERROR( _xlfn.XLOOKUP(TRIM(tbl_HR_Data[[#This Row],[Age]]),#REF!,#REF!), VALUE(TRIM(tbl_HR_Data[[#This Row],[Age]])))</f>
        <v>50</v>
      </c>
      <c r="N870" t="str">
        <f>IFERROR(_xlfn.XLOOKUP(tbl_HR_Data[[#This Row],[Gender]], Mapping[Gender _Discarded], Mapping[Gender_Correction]), PROPER(TRIM(tbl_HR_Data[[#This Row],[Gender]])))</f>
        <v>Male</v>
      </c>
      <c r="O870" t="str">
        <f>TRIM(tbl_HR_Data[[#This Row],[Position]])</f>
        <v>Assistant</v>
      </c>
      <c r="P870" t="str">
        <f>IFERROR(_xlfn.XLOOKUP(tbl_HR_Data[[#This Row],[Email]], Mapping[Email_Discarded], Mapping[Email_Correction]), LOWER(TRIM(tbl_HR_Data[[#This Row],[Email]])))</f>
        <v>not provided</v>
      </c>
      <c r="Q87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870" t="str" cm="1">
        <f t="array" ref="R870">_xlfn.REDUCE(Q870, {"-","/","_","\","(",")"}, _xlfn.LAMBDA(_xlpm.txt,_xlpm.itm, SUBSTITUTE(_xlpm.txt, _xlpm.itm, "")))</f>
        <v>5555555555</v>
      </c>
      <c r="S870" s="3">
        <f>IFERROR(_xlfn.XLOOKUP(tbl_HR_Data[[#This Row],[Joining Date]], Mapping[Joining_Discarded], Mapping[Joining_Correction]), VALUE(tbl_HR_Data[[#This Row],[Joining Date]]))</f>
        <v>43881</v>
      </c>
      <c r="T870" t="str">
        <f>TEXT(tbl_HR_Data[[#This Row],[Joining Date]], "mmm")</f>
        <v>Feb</v>
      </c>
      <c r="U870" t="str">
        <f>TEXT(tbl_HR_Data[[#This Row],[Joining Date]], "ddd")</f>
        <v>Thu</v>
      </c>
    </row>
    <row r="871" spans="1:21" x14ac:dyDescent="0.35">
      <c r="A871" t="s">
        <v>101</v>
      </c>
      <c r="B871">
        <v>40</v>
      </c>
      <c r="C871">
        <v>65000</v>
      </c>
      <c r="D871" t="s">
        <v>18</v>
      </c>
      <c r="E871" t="s">
        <v>30</v>
      </c>
      <c r="F871" t="s">
        <v>20</v>
      </c>
      <c r="G871" s="3">
        <v>43881</v>
      </c>
      <c r="H871" t="str">
        <f>TEXT(tbl_HR_Data[[#This Row],[Joining Date]], "mmm")</f>
        <v>Feb</v>
      </c>
      <c r="I871" t="s">
        <v>92</v>
      </c>
      <c r="J871" t="s">
        <v>41</v>
      </c>
      <c r="K871" t="s">
        <v>77</v>
      </c>
      <c r="L871" t="s">
        <v>77</v>
      </c>
      <c r="M871">
        <f>IFERROR( _xlfn.XLOOKUP(TRIM(tbl_HR_Data[[#This Row],[Age]]),#REF!,#REF!), VALUE(TRIM(tbl_HR_Data[[#This Row],[Age]])))</f>
        <v>40</v>
      </c>
      <c r="N871" t="str">
        <f>IFERROR(_xlfn.XLOOKUP(tbl_HR_Data[[#This Row],[Gender]], Mapping[Gender _Discarded], Mapping[Gender_Correction]), PROPER(TRIM(tbl_HR_Data[[#This Row],[Gender]])))</f>
        <v>Female</v>
      </c>
      <c r="O871" t="str">
        <f>TRIM(tbl_HR_Data[[#This Row],[Position]])</f>
        <v>Director</v>
      </c>
      <c r="P871" t="str">
        <f>IFERROR(_xlfn.XLOOKUP(tbl_HR_Data[[#This Row],[Email]], Mapping[Email_Discarded], Mapping[Email_Correction]), LOWER(TRIM(tbl_HR_Data[[#This Row],[Email]])))</f>
        <v>not provided</v>
      </c>
      <c r="Q87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71" t="str" cm="1">
        <f t="array" ref="R871">_xlfn.REDUCE(Q871, {"-","/","_","\","(",")"}, _xlfn.LAMBDA(_xlpm.txt,_xlpm.itm, SUBSTITUTE(_xlpm.txt, _xlpm.itm, "")))</f>
        <v>Not Provided</v>
      </c>
      <c r="S871" s="3">
        <f>IFERROR(_xlfn.XLOOKUP(tbl_HR_Data[[#This Row],[Joining Date]], Mapping[Joining_Discarded], Mapping[Joining_Correction]), VALUE(tbl_HR_Data[[#This Row],[Joining Date]]))</f>
        <v>43881</v>
      </c>
      <c r="T871" t="str">
        <f>TEXT(tbl_HR_Data[[#This Row],[Joining Date]], "mmm")</f>
        <v>Feb</v>
      </c>
      <c r="U871" t="str">
        <f>TEXT(tbl_HR_Data[[#This Row],[Joining Date]], "ddd")</f>
        <v>Thu</v>
      </c>
    </row>
    <row r="872" spans="1:21" x14ac:dyDescent="0.35">
      <c r="A872" t="s">
        <v>104</v>
      </c>
      <c r="B872">
        <v>30</v>
      </c>
      <c r="C872">
        <v>50000</v>
      </c>
      <c r="D872" t="s">
        <v>11</v>
      </c>
      <c r="E872" t="s">
        <v>26</v>
      </c>
      <c r="F872" t="s">
        <v>43</v>
      </c>
      <c r="G872" s="3">
        <v>43881</v>
      </c>
      <c r="H872" t="str">
        <f>TEXT(tbl_HR_Data[[#This Row],[Joining Date]], "mmm")</f>
        <v>Feb</v>
      </c>
      <c r="I872" t="s">
        <v>92</v>
      </c>
      <c r="J872" t="s">
        <v>21</v>
      </c>
      <c r="K872" t="s">
        <v>32</v>
      </c>
      <c r="L872" t="s">
        <v>87</v>
      </c>
      <c r="M872">
        <f>IFERROR( _xlfn.XLOOKUP(TRIM(tbl_HR_Data[[#This Row],[Age]]),#REF!,#REF!), VALUE(TRIM(tbl_HR_Data[[#This Row],[Age]])))</f>
        <v>30</v>
      </c>
      <c r="N872" t="str">
        <f>IFERROR(_xlfn.XLOOKUP(tbl_HR_Data[[#This Row],[Gender]], Mapping[Gender _Discarded], Mapping[Gender_Correction]), PROPER(TRIM(tbl_HR_Data[[#This Row],[Gender]])))</f>
        <v>Male</v>
      </c>
      <c r="O872" t="str">
        <f>TRIM(tbl_HR_Data[[#This Row],[Position]])</f>
        <v>Assistant</v>
      </c>
      <c r="P872" t="str">
        <f>IFERROR(_xlfn.XLOOKUP(tbl_HR_Data[[#This Row],[Email]], Mapping[Email_Discarded], Mapping[Email_Correction]), LOWER(TRIM(tbl_HR_Data[[#This Row],[Email]])))</f>
        <v>name@company.org</v>
      </c>
      <c r="Q87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872" t="str" cm="1">
        <f t="array" ref="R872">_xlfn.REDUCE(Q872, {"-","/","_","\","(",")"}, _xlfn.LAMBDA(_xlpm.txt,_xlpm.itm, SUBSTITUTE(_xlpm.txt, _xlpm.itm, "")))</f>
        <v>1234567890</v>
      </c>
      <c r="S872" s="3">
        <f>IFERROR(_xlfn.XLOOKUP(tbl_HR_Data[[#This Row],[Joining Date]], Mapping[Joining_Discarded], Mapping[Joining_Correction]), VALUE(tbl_HR_Data[[#This Row],[Joining Date]]))</f>
        <v>43881</v>
      </c>
      <c r="T872" t="str">
        <f>TEXT(tbl_HR_Data[[#This Row],[Joining Date]], "mmm")</f>
        <v>Feb</v>
      </c>
      <c r="U872" t="str">
        <f>TEXT(tbl_HR_Data[[#This Row],[Joining Date]], "ddd")</f>
        <v>Thu</v>
      </c>
    </row>
    <row r="873" spans="1:21" x14ac:dyDescent="0.35">
      <c r="A873" t="s">
        <v>104</v>
      </c>
      <c r="B873">
        <v>25</v>
      </c>
      <c r="C873">
        <v>65000</v>
      </c>
      <c r="D873" t="s">
        <v>11</v>
      </c>
      <c r="E873" t="s">
        <v>37</v>
      </c>
      <c r="F873" t="s">
        <v>43</v>
      </c>
      <c r="G873" s="3">
        <v>43881</v>
      </c>
      <c r="H873" t="str">
        <f>TEXT(tbl_HR_Data[[#This Row],[Joining Date]], "mmm")</f>
        <v>Feb</v>
      </c>
      <c r="I873" t="s">
        <v>92</v>
      </c>
      <c r="J873" t="s">
        <v>41</v>
      </c>
      <c r="K873" t="s">
        <v>77</v>
      </c>
      <c r="L873" t="s">
        <v>87</v>
      </c>
      <c r="M873">
        <f>IFERROR( _xlfn.XLOOKUP(TRIM(tbl_HR_Data[[#This Row],[Age]]),#REF!,#REF!), VALUE(TRIM(tbl_HR_Data[[#This Row],[Age]])))</f>
        <v>25</v>
      </c>
      <c r="N873" t="str">
        <f>IFERROR(_xlfn.XLOOKUP(tbl_HR_Data[[#This Row],[Gender]], Mapping[Gender _Discarded], Mapping[Gender_Correction]), PROPER(TRIM(tbl_HR_Data[[#This Row],[Gender]])))</f>
        <v>Male</v>
      </c>
      <c r="O873" t="str">
        <f>TRIM(tbl_HR_Data[[#This Row],[Position]])</f>
        <v>Assistant</v>
      </c>
      <c r="P873" t="str">
        <f>IFERROR(_xlfn.XLOOKUP(tbl_HR_Data[[#This Row],[Email]], Mapping[Email_Discarded], Mapping[Email_Correction]), LOWER(TRIM(tbl_HR_Data[[#This Row],[Email]])))</f>
        <v>not provided</v>
      </c>
      <c r="Q87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873" t="str" cm="1">
        <f t="array" ref="R873">_xlfn.REDUCE(Q873, {"-","/","_","\","(",")"}, _xlfn.LAMBDA(_xlpm.txt,_xlpm.itm, SUBSTITUTE(_xlpm.txt, _xlpm.itm, "")))</f>
        <v>1234567890</v>
      </c>
      <c r="S873" s="3">
        <f>IFERROR(_xlfn.XLOOKUP(tbl_HR_Data[[#This Row],[Joining Date]], Mapping[Joining_Discarded], Mapping[Joining_Correction]), VALUE(tbl_HR_Data[[#This Row],[Joining Date]]))</f>
        <v>43881</v>
      </c>
      <c r="T873" t="str">
        <f>TEXT(tbl_HR_Data[[#This Row],[Joining Date]], "mmm")</f>
        <v>Feb</v>
      </c>
      <c r="U873" t="str">
        <f>TEXT(tbl_HR_Data[[#This Row],[Joining Date]], "ddd")</f>
        <v>Thu</v>
      </c>
    </row>
    <row r="874" spans="1:21" x14ac:dyDescent="0.35">
      <c r="A874" t="s">
        <v>99</v>
      </c>
      <c r="B874">
        <v>40</v>
      </c>
      <c r="C874">
        <v>65000</v>
      </c>
      <c r="D874" t="s">
        <v>36</v>
      </c>
      <c r="E874" t="s">
        <v>26</v>
      </c>
      <c r="F874" t="s">
        <v>43</v>
      </c>
      <c r="G874" s="3">
        <v>43881</v>
      </c>
      <c r="H874" t="str">
        <f>TEXT(tbl_HR_Data[[#This Row],[Joining Date]], "mmm")</f>
        <v>Feb</v>
      </c>
      <c r="I874" t="s">
        <v>92</v>
      </c>
      <c r="J874" t="s">
        <v>27</v>
      </c>
      <c r="K874" t="s">
        <v>22</v>
      </c>
      <c r="L874" t="s">
        <v>77</v>
      </c>
      <c r="M874">
        <f>IFERROR( _xlfn.XLOOKUP(TRIM(tbl_HR_Data[[#This Row],[Age]]),#REF!,#REF!), VALUE(TRIM(tbl_HR_Data[[#This Row],[Age]])))</f>
        <v>40</v>
      </c>
      <c r="N874" t="str">
        <f>IFERROR(_xlfn.XLOOKUP(tbl_HR_Data[[#This Row],[Gender]], Mapping[Gender _Discarded], Mapping[Gender_Correction]), PROPER(TRIM(tbl_HR_Data[[#This Row],[Gender]])))</f>
        <v>Other</v>
      </c>
      <c r="O874" t="str">
        <f>TRIM(tbl_HR_Data[[#This Row],[Position]])</f>
        <v>Assistant</v>
      </c>
      <c r="P874" t="str">
        <f>IFERROR(_xlfn.XLOOKUP(tbl_HR_Data[[#This Row],[Email]], Mapping[Email_Discarded], Mapping[Email_Correction]), LOWER(TRIM(tbl_HR_Data[[#This Row],[Email]])))</f>
        <v>user@domain.com</v>
      </c>
      <c r="Q87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74" t="str" cm="1">
        <f t="array" ref="R874">_xlfn.REDUCE(Q874, {"-","/","_","\","(",")"}, _xlfn.LAMBDA(_xlpm.txt,_xlpm.itm, SUBSTITUTE(_xlpm.txt, _xlpm.itm, "")))</f>
        <v>Not Provided</v>
      </c>
      <c r="S874" s="3">
        <f>IFERROR(_xlfn.XLOOKUP(tbl_HR_Data[[#This Row],[Joining Date]], Mapping[Joining_Discarded], Mapping[Joining_Correction]), VALUE(tbl_HR_Data[[#This Row],[Joining Date]]))</f>
        <v>43881</v>
      </c>
      <c r="T874" t="str">
        <f>TEXT(tbl_HR_Data[[#This Row],[Joining Date]], "mmm")</f>
        <v>Feb</v>
      </c>
      <c r="U874" t="str">
        <f>TEXT(tbl_HR_Data[[#This Row],[Joining Date]], "ddd")</f>
        <v>Thu</v>
      </c>
    </row>
    <row r="875" spans="1:21" x14ac:dyDescent="0.35">
      <c r="A875" t="s">
        <v>100</v>
      </c>
      <c r="B875">
        <v>40</v>
      </c>
      <c r="C875">
        <v>0</v>
      </c>
      <c r="D875" t="s">
        <v>36</v>
      </c>
      <c r="E875" t="s">
        <v>37</v>
      </c>
      <c r="F875" t="s">
        <v>39</v>
      </c>
      <c r="G875" s="3">
        <v>43881</v>
      </c>
      <c r="H875" t="str">
        <f>TEXT(tbl_HR_Data[[#This Row],[Joining Date]], "mmm")</f>
        <v>Feb</v>
      </c>
      <c r="I875" t="s">
        <v>92</v>
      </c>
      <c r="J875" t="s">
        <v>41</v>
      </c>
      <c r="K875" t="s">
        <v>77</v>
      </c>
      <c r="L875" t="s">
        <v>77</v>
      </c>
      <c r="M875">
        <f>IFERROR( _xlfn.XLOOKUP(TRIM(tbl_HR_Data[[#This Row],[Age]]),#REF!,#REF!), VALUE(TRIM(tbl_HR_Data[[#This Row],[Age]])))</f>
        <v>40</v>
      </c>
      <c r="N875" t="str">
        <f>IFERROR(_xlfn.XLOOKUP(tbl_HR_Data[[#This Row],[Gender]], Mapping[Gender _Discarded], Mapping[Gender_Correction]), PROPER(TRIM(tbl_HR_Data[[#This Row],[Gender]])))</f>
        <v>Other</v>
      </c>
      <c r="O875" t="str">
        <f>TRIM(tbl_HR_Data[[#This Row],[Position]])</f>
        <v>Clerk</v>
      </c>
      <c r="P875" t="str">
        <f>IFERROR(_xlfn.XLOOKUP(tbl_HR_Data[[#This Row],[Email]], Mapping[Email_Discarded], Mapping[Email_Correction]), LOWER(TRIM(tbl_HR_Data[[#This Row],[Email]])))</f>
        <v>not provided</v>
      </c>
      <c r="Q87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75" t="str" cm="1">
        <f t="array" ref="R875">_xlfn.REDUCE(Q875, {"-","/","_","\","(",")"}, _xlfn.LAMBDA(_xlpm.txt,_xlpm.itm, SUBSTITUTE(_xlpm.txt, _xlpm.itm, "")))</f>
        <v>Not Provided</v>
      </c>
      <c r="S875" s="3">
        <f>IFERROR(_xlfn.XLOOKUP(tbl_HR_Data[[#This Row],[Joining Date]], Mapping[Joining_Discarded], Mapping[Joining_Correction]), VALUE(tbl_HR_Data[[#This Row],[Joining Date]]))</f>
        <v>43881</v>
      </c>
      <c r="T875" t="str">
        <f>TEXT(tbl_HR_Data[[#This Row],[Joining Date]], "mmm")</f>
        <v>Feb</v>
      </c>
      <c r="U875" t="str">
        <f>TEXT(tbl_HR_Data[[#This Row],[Joining Date]], "ddd")</f>
        <v>Thu</v>
      </c>
    </row>
    <row r="876" spans="1:21" x14ac:dyDescent="0.35">
      <c r="A876" t="s">
        <v>100</v>
      </c>
      <c r="B876">
        <v>0</v>
      </c>
      <c r="C876">
        <v>50000</v>
      </c>
      <c r="D876" t="s">
        <v>18</v>
      </c>
      <c r="E876" t="s">
        <v>26</v>
      </c>
      <c r="F876" t="s">
        <v>39</v>
      </c>
      <c r="G876" s="3">
        <v>43881</v>
      </c>
      <c r="H876" t="str">
        <f>TEXT(tbl_HR_Data[[#This Row],[Joining Date]], "mmm")</f>
        <v>Feb</v>
      </c>
      <c r="I876" t="s">
        <v>92</v>
      </c>
      <c r="J876" t="s">
        <v>41</v>
      </c>
      <c r="K876" t="s">
        <v>77</v>
      </c>
      <c r="L876" t="s">
        <v>89</v>
      </c>
      <c r="M876">
        <f>IFERROR( _xlfn.XLOOKUP(TRIM(tbl_HR_Data[[#This Row],[Age]]),#REF!,#REF!), VALUE(TRIM(tbl_HR_Data[[#This Row],[Age]])))</f>
        <v>0</v>
      </c>
      <c r="N876" t="str">
        <f>IFERROR(_xlfn.XLOOKUP(tbl_HR_Data[[#This Row],[Gender]], Mapping[Gender _Discarded], Mapping[Gender_Correction]), PROPER(TRIM(tbl_HR_Data[[#This Row],[Gender]])))</f>
        <v>Female</v>
      </c>
      <c r="O876" t="str">
        <f>TRIM(tbl_HR_Data[[#This Row],[Position]])</f>
        <v>Clerk</v>
      </c>
      <c r="P876" t="str">
        <f>IFERROR(_xlfn.XLOOKUP(tbl_HR_Data[[#This Row],[Email]], Mapping[Email_Discarded], Mapping[Email_Correction]), LOWER(TRIM(tbl_HR_Data[[#This Row],[Email]])))</f>
        <v>not provided</v>
      </c>
      <c r="Q87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876" t="str" cm="1">
        <f t="array" ref="R876">_xlfn.REDUCE(Q876, {"-","/","_","\","(",")"}, _xlfn.LAMBDA(_xlpm.txt,_xlpm.itm, SUBSTITUTE(_xlpm.txt, _xlpm.itm, "")))</f>
        <v>5555555555</v>
      </c>
      <c r="S876" s="3">
        <f>IFERROR(_xlfn.XLOOKUP(tbl_HR_Data[[#This Row],[Joining Date]], Mapping[Joining_Discarded], Mapping[Joining_Correction]), VALUE(tbl_HR_Data[[#This Row],[Joining Date]]))</f>
        <v>43881</v>
      </c>
      <c r="T876" t="str">
        <f>TEXT(tbl_HR_Data[[#This Row],[Joining Date]], "mmm")</f>
        <v>Feb</v>
      </c>
      <c r="U876" t="str">
        <f>TEXT(tbl_HR_Data[[#This Row],[Joining Date]], "ddd")</f>
        <v>Thu</v>
      </c>
    </row>
    <row r="877" spans="1:21" x14ac:dyDescent="0.35">
      <c r="A877" t="s">
        <v>105</v>
      </c>
      <c r="B877">
        <v>40</v>
      </c>
      <c r="C877">
        <v>50000</v>
      </c>
      <c r="D877" t="s">
        <v>36</v>
      </c>
      <c r="E877" t="s">
        <v>30</v>
      </c>
      <c r="F877" t="s">
        <v>43</v>
      </c>
      <c r="G877" s="3">
        <v>43881</v>
      </c>
      <c r="H877" t="str">
        <f>TEXT(tbl_HR_Data[[#This Row],[Joining Date]], "mmm")</f>
        <v>Feb</v>
      </c>
      <c r="I877" t="s">
        <v>92</v>
      </c>
      <c r="J877" t="s">
        <v>27</v>
      </c>
      <c r="K877" t="s">
        <v>15</v>
      </c>
      <c r="L877" t="s">
        <v>88</v>
      </c>
      <c r="M877">
        <f>IFERROR( _xlfn.XLOOKUP(TRIM(tbl_HR_Data[[#This Row],[Age]]),#REF!,#REF!), VALUE(TRIM(tbl_HR_Data[[#This Row],[Age]])))</f>
        <v>40</v>
      </c>
      <c r="N877" t="str">
        <f>IFERROR(_xlfn.XLOOKUP(tbl_HR_Data[[#This Row],[Gender]], Mapping[Gender _Discarded], Mapping[Gender_Correction]), PROPER(TRIM(tbl_HR_Data[[#This Row],[Gender]])))</f>
        <v>Other</v>
      </c>
      <c r="O877" t="str">
        <f>TRIM(tbl_HR_Data[[#This Row],[Position]])</f>
        <v>Assistant</v>
      </c>
      <c r="P877" t="str">
        <f>IFERROR(_xlfn.XLOOKUP(tbl_HR_Data[[#This Row],[Email]], Mapping[Email_Discarded], Mapping[Email_Correction]), LOWER(TRIM(tbl_HR_Data[[#This Row],[Email]])))</f>
        <v>email@example.com</v>
      </c>
      <c r="Q87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877" t="str" cm="1">
        <f t="array" ref="R877">_xlfn.REDUCE(Q877, {"-","/","_","\","(",")"}, _xlfn.LAMBDA(_xlpm.txt,_xlpm.itm, SUBSTITUTE(_xlpm.txt, _xlpm.itm, "")))</f>
        <v>0987654321</v>
      </c>
      <c r="S877" s="3">
        <f>IFERROR(_xlfn.XLOOKUP(tbl_HR_Data[[#This Row],[Joining Date]], Mapping[Joining_Discarded], Mapping[Joining_Correction]), VALUE(tbl_HR_Data[[#This Row],[Joining Date]]))</f>
        <v>43881</v>
      </c>
      <c r="T877" t="str">
        <f>TEXT(tbl_HR_Data[[#This Row],[Joining Date]], "mmm")</f>
        <v>Feb</v>
      </c>
      <c r="U877" t="str">
        <f>TEXT(tbl_HR_Data[[#This Row],[Joining Date]], "ddd")</f>
        <v>Thu</v>
      </c>
    </row>
    <row r="878" spans="1:21" x14ac:dyDescent="0.35">
      <c r="A878" t="s">
        <v>100</v>
      </c>
      <c r="B878">
        <v>35</v>
      </c>
      <c r="C878">
        <v>50000</v>
      </c>
      <c r="D878" t="s">
        <v>36</v>
      </c>
      <c r="E878" t="s">
        <v>37</v>
      </c>
      <c r="F878" t="s">
        <v>39</v>
      </c>
      <c r="G878" s="3">
        <v>43881</v>
      </c>
      <c r="H878" t="str">
        <f>TEXT(tbl_HR_Data[[#This Row],[Joining Date]], "mmm")</f>
        <v>Feb</v>
      </c>
      <c r="I878" t="s">
        <v>92</v>
      </c>
      <c r="J878" t="s">
        <v>41</v>
      </c>
      <c r="K878" t="s">
        <v>77</v>
      </c>
      <c r="L878" t="s">
        <v>77</v>
      </c>
      <c r="M878">
        <f>IFERROR( _xlfn.XLOOKUP(TRIM(tbl_HR_Data[[#This Row],[Age]]),#REF!,#REF!), VALUE(TRIM(tbl_HR_Data[[#This Row],[Age]])))</f>
        <v>35</v>
      </c>
      <c r="N878" t="str">
        <f>IFERROR(_xlfn.XLOOKUP(tbl_HR_Data[[#This Row],[Gender]], Mapping[Gender _Discarded], Mapping[Gender_Correction]), PROPER(TRIM(tbl_HR_Data[[#This Row],[Gender]])))</f>
        <v>Other</v>
      </c>
      <c r="O878" t="str">
        <f>TRIM(tbl_HR_Data[[#This Row],[Position]])</f>
        <v>Clerk</v>
      </c>
      <c r="P878" t="str">
        <f>IFERROR(_xlfn.XLOOKUP(tbl_HR_Data[[#This Row],[Email]], Mapping[Email_Discarded], Mapping[Email_Correction]), LOWER(TRIM(tbl_HR_Data[[#This Row],[Email]])))</f>
        <v>not provided</v>
      </c>
      <c r="Q87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78" t="str" cm="1">
        <f t="array" ref="R878">_xlfn.REDUCE(Q878, {"-","/","_","\","(",")"}, _xlfn.LAMBDA(_xlpm.txt,_xlpm.itm, SUBSTITUTE(_xlpm.txt, _xlpm.itm, "")))</f>
        <v>Not Provided</v>
      </c>
      <c r="S878" s="3">
        <f>IFERROR(_xlfn.XLOOKUP(tbl_HR_Data[[#This Row],[Joining Date]], Mapping[Joining_Discarded], Mapping[Joining_Correction]), VALUE(tbl_HR_Data[[#This Row],[Joining Date]]))</f>
        <v>43881</v>
      </c>
      <c r="T878" t="str">
        <f>TEXT(tbl_HR_Data[[#This Row],[Joining Date]], "mmm")</f>
        <v>Feb</v>
      </c>
      <c r="U878" t="str">
        <f>TEXT(tbl_HR_Data[[#This Row],[Joining Date]], "ddd")</f>
        <v>Thu</v>
      </c>
    </row>
    <row r="879" spans="1:21" x14ac:dyDescent="0.35">
      <c r="A879" t="s">
        <v>103</v>
      </c>
      <c r="B879">
        <v>35</v>
      </c>
      <c r="C879">
        <v>50000</v>
      </c>
      <c r="D879" t="s">
        <v>36</v>
      </c>
      <c r="E879" t="s">
        <v>37</v>
      </c>
      <c r="F879" t="s">
        <v>44</v>
      </c>
      <c r="G879" s="3">
        <v>43881</v>
      </c>
      <c r="H879" t="str">
        <f>TEXT(tbl_HR_Data[[#This Row],[Joining Date]], "mmm")</f>
        <v>Feb</v>
      </c>
      <c r="I879" t="s">
        <v>92</v>
      </c>
      <c r="J879" t="s">
        <v>31</v>
      </c>
      <c r="K879" t="s">
        <v>22</v>
      </c>
      <c r="L879" t="s">
        <v>88</v>
      </c>
      <c r="M879">
        <f>IFERROR( _xlfn.XLOOKUP(TRIM(tbl_HR_Data[[#This Row],[Age]]),#REF!,#REF!), VALUE(TRIM(tbl_HR_Data[[#This Row],[Age]])))</f>
        <v>35</v>
      </c>
      <c r="N879" t="str">
        <f>IFERROR(_xlfn.XLOOKUP(tbl_HR_Data[[#This Row],[Gender]], Mapping[Gender _Discarded], Mapping[Gender_Correction]), PROPER(TRIM(tbl_HR_Data[[#This Row],[Gender]])))</f>
        <v>Other</v>
      </c>
      <c r="O879" t="str">
        <f>TRIM(tbl_HR_Data[[#This Row],[Position]])</f>
        <v>Analyst</v>
      </c>
      <c r="P879" t="str">
        <f>IFERROR(_xlfn.XLOOKUP(tbl_HR_Data[[#This Row],[Email]], Mapping[Email_Discarded], Mapping[Email_Correction]), LOWER(TRIM(tbl_HR_Data[[#This Row],[Email]])))</f>
        <v>user@domain.com</v>
      </c>
      <c r="Q87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879" t="str" cm="1">
        <f t="array" ref="R879">_xlfn.REDUCE(Q879, {"-","/","_","\","(",")"}, _xlfn.LAMBDA(_xlpm.txt,_xlpm.itm, SUBSTITUTE(_xlpm.txt, _xlpm.itm, "")))</f>
        <v>0987654321</v>
      </c>
      <c r="S879" s="3">
        <f>IFERROR(_xlfn.XLOOKUP(tbl_HR_Data[[#This Row],[Joining Date]], Mapping[Joining_Discarded], Mapping[Joining_Correction]), VALUE(tbl_HR_Data[[#This Row],[Joining Date]]))</f>
        <v>43881</v>
      </c>
      <c r="T879" t="str">
        <f>TEXT(tbl_HR_Data[[#This Row],[Joining Date]], "mmm")</f>
        <v>Feb</v>
      </c>
      <c r="U879" t="str">
        <f>TEXT(tbl_HR_Data[[#This Row],[Joining Date]], "ddd")</f>
        <v>Thu</v>
      </c>
    </row>
    <row r="880" spans="1:21" x14ac:dyDescent="0.35">
      <c r="A880" t="s">
        <v>100</v>
      </c>
      <c r="B880">
        <v>40</v>
      </c>
      <c r="C880">
        <v>60000</v>
      </c>
      <c r="D880" t="s">
        <v>11</v>
      </c>
      <c r="E880" t="s">
        <v>12</v>
      </c>
      <c r="F880" t="s">
        <v>43</v>
      </c>
      <c r="G880" s="3">
        <v>43881</v>
      </c>
      <c r="H880" t="str">
        <f>TEXT(tbl_HR_Data[[#This Row],[Joining Date]], "mmm")</f>
        <v>Feb</v>
      </c>
      <c r="I880" t="s">
        <v>92</v>
      </c>
      <c r="J880" t="s">
        <v>41</v>
      </c>
      <c r="K880" t="s">
        <v>32</v>
      </c>
      <c r="L880" t="s">
        <v>87</v>
      </c>
      <c r="M880">
        <f>IFERROR( _xlfn.XLOOKUP(TRIM(tbl_HR_Data[[#This Row],[Age]]),#REF!,#REF!), VALUE(TRIM(tbl_HR_Data[[#This Row],[Age]])))</f>
        <v>40</v>
      </c>
      <c r="N880" t="str">
        <f>IFERROR(_xlfn.XLOOKUP(tbl_HR_Data[[#This Row],[Gender]], Mapping[Gender _Discarded], Mapping[Gender_Correction]), PROPER(TRIM(tbl_HR_Data[[#This Row],[Gender]])))</f>
        <v>Male</v>
      </c>
      <c r="O880" t="str">
        <f>TRIM(tbl_HR_Data[[#This Row],[Position]])</f>
        <v>Assistant</v>
      </c>
      <c r="P880" t="str">
        <f>IFERROR(_xlfn.XLOOKUP(tbl_HR_Data[[#This Row],[Email]], Mapping[Email_Discarded], Mapping[Email_Correction]), LOWER(TRIM(tbl_HR_Data[[#This Row],[Email]])))</f>
        <v>name@company.org</v>
      </c>
      <c r="Q88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880" t="str" cm="1">
        <f t="array" ref="R880">_xlfn.REDUCE(Q880, {"-","/","_","\","(",")"}, _xlfn.LAMBDA(_xlpm.txt,_xlpm.itm, SUBSTITUTE(_xlpm.txt, _xlpm.itm, "")))</f>
        <v>1234567890</v>
      </c>
      <c r="S880" s="3">
        <f>IFERROR(_xlfn.XLOOKUP(tbl_HR_Data[[#This Row],[Joining Date]], Mapping[Joining_Discarded], Mapping[Joining_Correction]), VALUE(tbl_HR_Data[[#This Row],[Joining Date]]))</f>
        <v>43881</v>
      </c>
      <c r="T880" t="str">
        <f>TEXT(tbl_HR_Data[[#This Row],[Joining Date]], "mmm")</f>
        <v>Feb</v>
      </c>
      <c r="U880" t="str">
        <f>TEXT(tbl_HR_Data[[#This Row],[Joining Date]], "ddd")</f>
        <v>Thu</v>
      </c>
    </row>
    <row r="881" spans="1:21" x14ac:dyDescent="0.35">
      <c r="A881" t="s">
        <v>104</v>
      </c>
      <c r="B881">
        <v>35</v>
      </c>
      <c r="C881">
        <v>70000</v>
      </c>
      <c r="D881" t="s">
        <v>36</v>
      </c>
      <c r="E881" t="s">
        <v>37</v>
      </c>
      <c r="F881" t="s">
        <v>13</v>
      </c>
      <c r="G881" s="3">
        <v>43881</v>
      </c>
      <c r="H881" t="str">
        <f>TEXT(tbl_HR_Data[[#This Row],[Joining Date]], "mmm")</f>
        <v>Feb</v>
      </c>
      <c r="I881" t="s">
        <v>92</v>
      </c>
      <c r="J881" t="s">
        <v>14</v>
      </c>
      <c r="K881" t="s">
        <v>15</v>
      </c>
      <c r="L881" t="s">
        <v>77</v>
      </c>
      <c r="M881">
        <f>IFERROR( _xlfn.XLOOKUP(TRIM(tbl_HR_Data[[#This Row],[Age]]),#REF!,#REF!), VALUE(TRIM(tbl_HR_Data[[#This Row],[Age]])))</f>
        <v>35</v>
      </c>
      <c r="N881" t="str">
        <f>IFERROR(_xlfn.XLOOKUP(tbl_HR_Data[[#This Row],[Gender]], Mapping[Gender _Discarded], Mapping[Gender_Correction]), PROPER(TRIM(tbl_HR_Data[[#This Row],[Gender]])))</f>
        <v>Other</v>
      </c>
      <c r="O881" t="str">
        <f>TRIM(tbl_HR_Data[[#This Row],[Position]])</f>
        <v>Manager</v>
      </c>
      <c r="P881" t="str">
        <f>IFERROR(_xlfn.XLOOKUP(tbl_HR_Data[[#This Row],[Email]], Mapping[Email_Discarded], Mapping[Email_Correction]), LOWER(TRIM(tbl_HR_Data[[#This Row],[Email]])))</f>
        <v>email@example.com</v>
      </c>
      <c r="Q88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81" t="str" cm="1">
        <f t="array" ref="R881">_xlfn.REDUCE(Q881, {"-","/","_","\","(",")"}, _xlfn.LAMBDA(_xlpm.txt,_xlpm.itm, SUBSTITUTE(_xlpm.txt, _xlpm.itm, "")))</f>
        <v>Not Provided</v>
      </c>
      <c r="S881" s="3">
        <f>IFERROR(_xlfn.XLOOKUP(tbl_HR_Data[[#This Row],[Joining Date]], Mapping[Joining_Discarded], Mapping[Joining_Correction]), VALUE(tbl_HR_Data[[#This Row],[Joining Date]]))</f>
        <v>43881</v>
      </c>
      <c r="T881" t="str">
        <f>TEXT(tbl_HR_Data[[#This Row],[Joining Date]], "mmm")</f>
        <v>Feb</v>
      </c>
      <c r="U881" t="str">
        <f>TEXT(tbl_HR_Data[[#This Row],[Joining Date]], "ddd")</f>
        <v>Thu</v>
      </c>
    </row>
    <row r="882" spans="1:21" x14ac:dyDescent="0.35">
      <c r="A882" t="s">
        <v>104</v>
      </c>
      <c r="B882">
        <v>40</v>
      </c>
      <c r="C882">
        <v>65000</v>
      </c>
      <c r="D882" t="s">
        <v>18</v>
      </c>
      <c r="E882" t="s">
        <v>30</v>
      </c>
      <c r="F882" t="s">
        <v>20</v>
      </c>
      <c r="G882" s="3">
        <v>43881</v>
      </c>
      <c r="H882" t="str">
        <f>TEXT(tbl_HR_Data[[#This Row],[Joining Date]], "mmm")</f>
        <v>Feb</v>
      </c>
      <c r="I882" t="s">
        <v>92</v>
      </c>
      <c r="J882" t="s">
        <v>31</v>
      </c>
      <c r="K882" t="s">
        <v>15</v>
      </c>
      <c r="L882" t="s">
        <v>77</v>
      </c>
      <c r="M882">
        <f>IFERROR( _xlfn.XLOOKUP(TRIM(tbl_HR_Data[[#This Row],[Age]]),#REF!,#REF!), VALUE(TRIM(tbl_HR_Data[[#This Row],[Age]])))</f>
        <v>40</v>
      </c>
      <c r="N882" t="str">
        <f>IFERROR(_xlfn.XLOOKUP(tbl_HR_Data[[#This Row],[Gender]], Mapping[Gender _Discarded], Mapping[Gender_Correction]), PROPER(TRIM(tbl_HR_Data[[#This Row],[Gender]])))</f>
        <v>Female</v>
      </c>
      <c r="O882" t="str">
        <f>TRIM(tbl_HR_Data[[#This Row],[Position]])</f>
        <v>Director</v>
      </c>
      <c r="P882" t="str">
        <f>IFERROR(_xlfn.XLOOKUP(tbl_HR_Data[[#This Row],[Email]], Mapping[Email_Discarded], Mapping[Email_Correction]), LOWER(TRIM(tbl_HR_Data[[#This Row],[Email]])))</f>
        <v>email@example.com</v>
      </c>
      <c r="Q88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82" t="str" cm="1">
        <f t="array" ref="R882">_xlfn.REDUCE(Q882, {"-","/","_","\","(",")"}, _xlfn.LAMBDA(_xlpm.txt,_xlpm.itm, SUBSTITUTE(_xlpm.txt, _xlpm.itm, "")))</f>
        <v>Not Provided</v>
      </c>
      <c r="S882" s="3">
        <f>IFERROR(_xlfn.XLOOKUP(tbl_HR_Data[[#This Row],[Joining Date]], Mapping[Joining_Discarded], Mapping[Joining_Correction]), VALUE(tbl_HR_Data[[#This Row],[Joining Date]]))</f>
        <v>43881</v>
      </c>
      <c r="T882" t="str">
        <f>TEXT(tbl_HR_Data[[#This Row],[Joining Date]], "mmm")</f>
        <v>Feb</v>
      </c>
      <c r="U882" t="str">
        <f>TEXT(tbl_HR_Data[[#This Row],[Joining Date]], "ddd")</f>
        <v>Thu</v>
      </c>
    </row>
    <row r="883" spans="1:21" x14ac:dyDescent="0.35">
      <c r="A883" t="s">
        <v>108</v>
      </c>
      <c r="B883">
        <v>25</v>
      </c>
      <c r="C883">
        <v>60000</v>
      </c>
      <c r="D883" t="s">
        <v>11</v>
      </c>
      <c r="E883" t="s">
        <v>12</v>
      </c>
      <c r="F883" t="s">
        <v>39</v>
      </c>
      <c r="G883" s="3">
        <v>43881</v>
      </c>
      <c r="H883" t="str">
        <f>TEXT(tbl_HR_Data[[#This Row],[Joining Date]], "mmm")</f>
        <v>Feb</v>
      </c>
      <c r="I883" t="s">
        <v>92</v>
      </c>
      <c r="J883" t="s">
        <v>31</v>
      </c>
      <c r="K883" t="s">
        <v>77</v>
      </c>
      <c r="L883" t="s">
        <v>77</v>
      </c>
      <c r="M883">
        <f>IFERROR( _xlfn.XLOOKUP(TRIM(tbl_HR_Data[[#This Row],[Age]]),#REF!,#REF!), VALUE(TRIM(tbl_HR_Data[[#This Row],[Age]])))</f>
        <v>25</v>
      </c>
      <c r="N883" t="str">
        <f>IFERROR(_xlfn.XLOOKUP(tbl_HR_Data[[#This Row],[Gender]], Mapping[Gender _Discarded], Mapping[Gender_Correction]), PROPER(TRIM(tbl_HR_Data[[#This Row],[Gender]])))</f>
        <v>Male</v>
      </c>
      <c r="O883" t="str">
        <f>TRIM(tbl_HR_Data[[#This Row],[Position]])</f>
        <v>Clerk</v>
      </c>
      <c r="P883" t="str">
        <f>IFERROR(_xlfn.XLOOKUP(tbl_HR_Data[[#This Row],[Email]], Mapping[Email_Discarded], Mapping[Email_Correction]), LOWER(TRIM(tbl_HR_Data[[#This Row],[Email]])))</f>
        <v>not provided</v>
      </c>
      <c r="Q88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83" t="str" cm="1">
        <f t="array" ref="R883">_xlfn.REDUCE(Q883, {"-","/","_","\","(",")"}, _xlfn.LAMBDA(_xlpm.txt,_xlpm.itm, SUBSTITUTE(_xlpm.txt, _xlpm.itm, "")))</f>
        <v>Not Provided</v>
      </c>
      <c r="S883" s="3">
        <f>IFERROR(_xlfn.XLOOKUP(tbl_HR_Data[[#This Row],[Joining Date]], Mapping[Joining_Discarded], Mapping[Joining_Correction]), VALUE(tbl_HR_Data[[#This Row],[Joining Date]]))</f>
        <v>43881</v>
      </c>
      <c r="T883" t="str">
        <f>TEXT(tbl_HR_Data[[#This Row],[Joining Date]], "mmm")</f>
        <v>Feb</v>
      </c>
      <c r="U883" t="str">
        <f>TEXT(tbl_HR_Data[[#This Row],[Joining Date]], "ddd")</f>
        <v>Thu</v>
      </c>
    </row>
    <row r="884" spans="1:21" x14ac:dyDescent="0.35">
      <c r="A884" t="s">
        <v>100</v>
      </c>
      <c r="B884">
        <v>0</v>
      </c>
      <c r="C884">
        <v>70000</v>
      </c>
      <c r="D884" t="s">
        <v>36</v>
      </c>
      <c r="E884" t="s">
        <v>26</v>
      </c>
      <c r="F884" t="s">
        <v>39</v>
      </c>
      <c r="G884" s="3">
        <v>43881</v>
      </c>
      <c r="H884" t="str">
        <f>TEXT(tbl_HR_Data[[#This Row],[Joining Date]], "mmm")</f>
        <v>Feb</v>
      </c>
      <c r="I884" t="s">
        <v>92</v>
      </c>
      <c r="J884" t="s">
        <v>21</v>
      </c>
      <c r="K884" t="s">
        <v>32</v>
      </c>
      <c r="L884" t="s">
        <v>77</v>
      </c>
      <c r="M884">
        <f>IFERROR( _xlfn.XLOOKUP(TRIM(tbl_HR_Data[[#This Row],[Age]]),#REF!,#REF!), VALUE(TRIM(tbl_HR_Data[[#This Row],[Age]])))</f>
        <v>0</v>
      </c>
      <c r="N884" t="str">
        <f>IFERROR(_xlfn.XLOOKUP(tbl_HR_Data[[#This Row],[Gender]], Mapping[Gender _Discarded], Mapping[Gender_Correction]), PROPER(TRIM(tbl_HR_Data[[#This Row],[Gender]])))</f>
        <v>Other</v>
      </c>
      <c r="O884" t="str">
        <f>TRIM(tbl_HR_Data[[#This Row],[Position]])</f>
        <v>Clerk</v>
      </c>
      <c r="P884" t="str">
        <f>IFERROR(_xlfn.XLOOKUP(tbl_HR_Data[[#This Row],[Email]], Mapping[Email_Discarded], Mapping[Email_Correction]), LOWER(TRIM(tbl_HR_Data[[#This Row],[Email]])))</f>
        <v>name@company.org</v>
      </c>
      <c r="Q88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84" t="str" cm="1">
        <f t="array" ref="R884">_xlfn.REDUCE(Q884, {"-","/","_","\","(",")"}, _xlfn.LAMBDA(_xlpm.txt,_xlpm.itm, SUBSTITUTE(_xlpm.txt, _xlpm.itm, "")))</f>
        <v>Not Provided</v>
      </c>
      <c r="S884" s="3">
        <f>IFERROR(_xlfn.XLOOKUP(tbl_HR_Data[[#This Row],[Joining Date]], Mapping[Joining_Discarded], Mapping[Joining_Correction]), VALUE(tbl_HR_Data[[#This Row],[Joining Date]]))</f>
        <v>43881</v>
      </c>
      <c r="T884" t="str">
        <f>TEXT(tbl_HR_Data[[#This Row],[Joining Date]], "mmm")</f>
        <v>Feb</v>
      </c>
      <c r="U884" t="str">
        <f>TEXT(tbl_HR_Data[[#This Row],[Joining Date]], "ddd")</f>
        <v>Thu</v>
      </c>
    </row>
    <row r="885" spans="1:21" x14ac:dyDescent="0.35">
      <c r="A885" t="s">
        <v>101</v>
      </c>
      <c r="B885">
        <v>40</v>
      </c>
      <c r="C885">
        <v>55000</v>
      </c>
      <c r="D885" t="s">
        <v>18</v>
      </c>
      <c r="E885" t="s">
        <v>19</v>
      </c>
      <c r="F885" t="s">
        <v>44</v>
      </c>
      <c r="G885" s="3">
        <v>43881</v>
      </c>
      <c r="H885" t="str">
        <f>TEXT(tbl_HR_Data[[#This Row],[Joining Date]], "mmm")</f>
        <v>Feb</v>
      </c>
      <c r="I885" t="s">
        <v>92</v>
      </c>
      <c r="J885" t="s">
        <v>31</v>
      </c>
      <c r="K885" t="s">
        <v>22</v>
      </c>
      <c r="L885" t="s">
        <v>87</v>
      </c>
      <c r="M885">
        <f>IFERROR( _xlfn.XLOOKUP(TRIM(tbl_HR_Data[[#This Row],[Age]]),#REF!,#REF!), VALUE(TRIM(tbl_HR_Data[[#This Row],[Age]])))</f>
        <v>40</v>
      </c>
      <c r="N885" t="str">
        <f>IFERROR(_xlfn.XLOOKUP(tbl_HR_Data[[#This Row],[Gender]], Mapping[Gender _Discarded], Mapping[Gender_Correction]), PROPER(TRIM(tbl_HR_Data[[#This Row],[Gender]])))</f>
        <v>Female</v>
      </c>
      <c r="O885" t="str">
        <f>TRIM(tbl_HR_Data[[#This Row],[Position]])</f>
        <v>Analyst</v>
      </c>
      <c r="P885" t="str">
        <f>IFERROR(_xlfn.XLOOKUP(tbl_HR_Data[[#This Row],[Email]], Mapping[Email_Discarded], Mapping[Email_Correction]), LOWER(TRIM(tbl_HR_Data[[#This Row],[Email]])))</f>
        <v>user@domain.com</v>
      </c>
      <c r="Q88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885" t="str" cm="1">
        <f t="array" ref="R885">_xlfn.REDUCE(Q885, {"-","/","_","\","(",")"}, _xlfn.LAMBDA(_xlpm.txt,_xlpm.itm, SUBSTITUTE(_xlpm.txt, _xlpm.itm, "")))</f>
        <v>1234567890</v>
      </c>
      <c r="S885" s="3">
        <f>IFERROR(_xlfn.XLOOKUP(tbl_HR_Data[[#This Row],[Joining Date]], Mapping[Joining_Discarded], Mapping[Joining_Correction]), VALUE(tbl_HR_Data[[#This Row],[Joining Date]]))</f>
        <v>43881</v>
      </c>
      <c r="T885" t="str">
        <f>TEXT(tbl_HR_Data[[#This Row],[Joining Date]], "mmm")</f>
        <v>Feb</v>
      </c>
      <c r="U885" t="str">
        <f>TEXT(tbl_HR_Data[[#This Row],[Joining Date]], "ddd")</f>
        <v>Thu</v>
      </c>
    </row>
    <row r="886" spans="1:21" x14ac:dyDescent="0.35">
      <c r="A886" t="s">
        <v>99</v>
      </c>
      <c r="B886">
        <v>35</v>
      </c>
      <c r="C886">
        <v>50000</v>
      </c>
      <c r="D886" t="s">
        <v>36</v>
      </c>
      <c r="E886" t="s">
        <v>37</v>
      </c>
      <c r="F886" t="s">
        <v>13</v>
      </c>
      <c r="G886" s="3">
        <v>43881</v>
      </c>
      <c r="H886" t="str">
        <f>TEXT(tbl_HR_Data[[#This Row],[Joining Date]], "mmm")</f>
        <v>Feb</v>
      </c>
      <c r="I886" t="s">
        <v>92</v>
      </c>
      <c r="J886" t="s">
        <v>21</v>
      </c>
      <c r="K886" t="s">
        <v>32</v>
      </c>
      <c r="L886" t="s">
        <v>77</v>
      </c>
      <c r="M886">
        <f>IFERROR( _xlfn.XLOOKUP(TRIM(tbl_HR_Data[[#This Row],[Age]]),#REF!,#REF!), VALUE(TRIM(tbl_HR_Data[[#This Row],[Age]])))</f>
        <v>35</v>
      </c>
      <c r="N886" t="str">
        <f>IFERROR(_xlfn.XLOOKUP(tbl_HR_Data[[#This Row],[Gender]], Mapping[Gender _Discarded], Mapping[Gender_Correction]), PROPER(TRIM(tbl_HR_Data[[#This Row],[Gender]])))</f>
        <v>Other</v>
      </c>
      <c r="O886" t="str">
        <f>TRIM(tbl_HR_Data[[#This Row],[Position]])</f>
        <v>Manager</v>
      </c>
      <c r="P886" t="str">
        <f>IFERROR(_xlfn.XLOOKUP(tbl_HR_Data[[#This Row],[Email]], Mapping[Email_Discarded], Mapping[Email_Correction]), LOWER(TRIM(tbl_HR_Data[[#This Row],[Email]])))</f>
        <v>name@company.org</v>
      </c>
      <c r="Q88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86" t="str" cm="1">
        <f t="array" ref="R886">_xlfn.REDUCE(Q886, {"-","/","_","\","(",")"}, _xlfn.LAMBDA(_xlpm.txt,_xlpm.itm, SUBSTITUTE(_xlpm.txt, _xlpm.itm, "")))</f>
        <v>Not Provided</v>
      </c>
      <c r="S886" s="3">
        <f>IFERROR(_xlfn.XLOOKUP(tbl_HR_Data[[#This Row],[Joining Date]], Mapping[Joining_Discarded], Mapping[Joining_Correction]), VALUE(tbl_HR_Data[[#This Row],[Joining Date]]))</f>
        <v>43881</v>
      </c>
      <c r="T886" t="str">
        <f>TEXT(tbl_HR_Data[[#This Row],[Joining Date]], "mmm")</f>
        <v>Feb</v>
      </c>
      <c r="U886" t="str">
        <f>TEXT(tbl_HR_Data[[#This Row],[Joining Date]], "ddd")</f>
        <v>Thu</v>
      </c>
    </row>
    <row r="887" spans="1:21" x14ac:dyDescent="0.35">
      <c r="A887" t="s">
        <v>104</v>
      </c>
      <c r="B887">
        <v>30</v>
      </c>
      <c r="C887">
        <v>55000</v>
      </c>
      <c r="D887" t="s">
        <v>18</v>
      </c>
      <c r="E887" t="s">
        <v>19</v>
      </c>
      <c r="F887" t="s">
        <v>39</v>
      </c>
      <c r="G887" s="3">
        <v>43881</v>
      </c>
      <c r="H887" t="str">
        <f>TEXT(tbl_HR_Data[[#This Row],[Joining Date]], "mmm")</f>
        <v>Feb</v>
      </c>
      <c r="I887" t="s">
        <v>92</v>
      </c>
      <c r="J887" t="s">
        <v>41</v>
      </c>
      <c r="K887" t="s">
        <v>77</v>
      </c>
      <c r="L887" t="s">
        <v>88</v>
      </c>
      <c r="M887">
        <f>IFERROR( _xlfn.XLOOKUP(TRIM(tbl_HR_Data[[#This Row],[Age]]),#REF!,#REF!), VALUE(TRIM(tbl_HR_Data[[#This Row],[Age]])))</f>
        <v>30</v>
      </c>
      <c r="N887" t="str">
        <f>IFERROR(_xlfn.XLOOKUP(tbl_HR_Data[[#This Row],[Gender]], Mapping[Gender _Discarded], Mapping[Gender_Correction]), PROPER(TRIM(tbl_HR_Data[[#This Row],[Gender]])))</f>
        <v>Female</v>
      </c>
      <c r="O887" t="str">
        <f>TRIM(tbl_HR_Data[[#This Row],[Position]])</f>
        <v>Clerk</v>
      </c>
      <c r="P887" t="str">
        <f>IFERROR(_xlfn.XLOOKUP(tbl_HR_Data[[#This Row],[Email]], Mapping[Email_Discarded], Mapping[Email_Correction]), LOWER(TRIM(tbl_HR_Data[[#This Row],[Email]])))</f>
        <v>not provided</v>
      </c>
      <c r="Q88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887" t="str" cm="1">
        <f t="array" ref="R887">_xlfn.REDUCE(Q887, {"-","/","_","\","(",")"}, _xlfn.LAMBDA(_xlpm.txt,_xlpm.itm, SUBSTITUTE(_xlpm.txt, _xlpm.itm, "")))</f>
        <v>0987654321</v>
      </c>
      <c r="S887" s="3">
        <f>IFERROR(_xlfn.XLOOKUP(tbl_HR_Data[[#This Row],[Joining Date]], Mapping[Joining_Discarded], Mapping[Joining_Correction]), VALUE(tbl_HR_Data[[#This Row],[Joining Date]]))</f>
        <v>43881</v>
      </c>
      <c r="T887" t="str">
        <f>TEXT(tbl_HR_Data[[#This Row],[Joining Date]], "mmm")</f>
        <v>Feb</v>
      </c>
      <c r="U887" t="str">
        <f>TEXT(tbl_HR_Data[[#This Row],[Joining Date]], "ddd")</f>
        <v>Thu</v>
      </c>
    </row>
    <row r="888" spans="1:21" x14ac:dyDescent="0.35">
      <c r="A888" t="s">
        <v>99</v>
      </c>
      <c r="B888">
        <v>0</v>
      </c>
      <c r="C888">
        <v>65000</v>
      </c>
      <c r="D888" t="s">
        <v>36</v>
      </c>
      <c r="E888" t="s">
        <v>37</v>
      </c>
      <c r="F888" t="s">
        <v>13</v>
      </c>
      <c r="G888" s="3">
        <v>43881</v>
      </c>
      <c r="H888" t="str">
        <f>TEXT(tbl_HR_Data[[#This Row],[Joining Date]], "mmm")</f>
        <v>Feb</v>
      </c>
      <c r="I888" t="s">
        <v>92</v>
      </c>
      <c r="J888" t="s">
        <v>41</v>
      </c>
      <c r="K888" t="s">
        <v>77</v>
      </c>
      <c r="L888" t="s">
        <v>89</v>
      </c>
      <c r="M888">
        <f>IFERROR( _xlfn.XLOOKUP(TRIM(tbl_HR_Data[[#This Row],[Age]]),#REF!,#REF!), VALUE(TRIM(tbl_HR_Data[[#This Row],[Age]])))</f>
        <v>0</v>
      </c>
      <c r="N888" t="str">
        <f>IFERROR(_xlfn.XLOOKUP(tbl_HR_Data[[#This Row],[Gender]], Mapping[Gender _Discarded], Mapping[Gender_Correction]), PROPER(TRIM(tbl_HR_Data[[#This Row],[Gender]])))</f>
        <v>Other</v>
      </c>
      <c r="O888" t="str">
        <f>TRIM(tbl_HR_Data[[#This Row],[Position]])</f>
        <v>Manager</v>
      </c>
      <c r="P888" t="str">
        <f>IFERROR(_xlfn.XLOOKUP(tbl_HR_Data[[#This Row],[Email]], Mapping[Email_Discarded], Mapping[Email_Correction]), LOWER(TRIM(tbl_HR_Data[[#This Row],[Email]])))</f>
        <v>not provided</v>
      </c>
      <c r="Q88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888" t="str" cm="1">
        <f t="array" ref="R888">_xlfn.REDUCE(Q888, {"-","/","_","\","(",")"}, _xlfn.LAMBDA(_xlpm.txt,_xlpm.itm, SUBSTITUTE(_xlpm.txt, _xlpm.itm, "")))</f>
        <v>5555555555</v>
      </c>
      <c r="S888" s="3">
        <f>IFERROR(_xlfn.XLOOKUP(tbl_HR_Data[[#This Row],[Joining Date]], Mapping[Joining_Discarded], Mapping[Joining_Correction]), VALUE(tbl_HR_Data[[#This Row],[Joining Date]]))</f>
        <v>43881</v>
      </c>
      <c r="T888" t="str">
        <f>TEXT(tbl_HR_Data[[#This Row],[Joining Date]], "mmm")</f>
        <v>Feb</v>
      </c>
      <c r="U888" t="str">
        <f>TEXT(tbl_HR_Data[[#This Row],[Joining Date]], "ddd")</f>
        <v>Thu</v>
      </c>
    </row>
    <row r="889" spans="1:21" x14ac:dyDescent="0.35">
      <c r="A889" t="s">
        <v>103</v>
      </c>
      <c r="B889">
        <v>30</v>
      </c>
      <c r="C889">
        <v>0</v>
      </c>
      <c r="D889" t="s">
        <v>11</v>
      </c>
      <c r="E889" t="s">
        <v>26</v>
      </c>
      <c r="F889" t="s">
        <v>13</v>
      </c>
      <c r="G889" s="3">
        <v>43881</v>
      </c>
      <c r="H889" t="str">
        <f>TEXT(tbl_HR_Data[[#This Row],[Joining Date]], "mmm")</f>
        <v>Feb</v>
      </c>
      <c r="I889" t="s">
        <v>92</v>
      </c>
      <c r="J889" t="s">
        <v>31</v>
      </c>
      <c r="K889" t="s">
        <v>22</v>
      </c>
      <c r="L889" t="s">
        <v>88</v>
      </c>
      <c r="M889">
        <f>IFERROR( _xlfn.XLOOKUP(TRIM(tbl_HR_Data[[#This Row],[Age]]),#REF!,#REF!), VALUE(TRIM(tbl_HR_Data[[#This Row],[Age]])))</f>
        <v>30</v>
      </c>
      <c r="N889" t="str">
        <f>IFERROR(_xlfn.XLOOKUP(tbl_HR_Data[[#This Row],[Gender]], Mapping[Gender _Discarded], Mapping[Gender_Correction]), PROPER(TRIM(tbl_HR_Data[[#This Row],[Gender]])))</f>
        <v>Male</v>
      </c>
      <c r="O889" t="str">
        <f>TRIM(tbl_HR_Data[[#This Row],[Position]])</f>
        <v>Manager</v>
      </c>
      <c r="P889" t="str">
        <f>IFERROR(_xlfn.XLOOKUP(tbl_HR_Data[[#This Row],[Email]], Mapping[Email_Discarded], Mapping[Email_Correction]), LOWER(TRIM(tbl_HR_Data[[#This Row],[Email]])))</f>
        <v>user@domain.com</v>
      </c>
      <c r="Q88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889" t="str" cm="1">
        <f t="array" ref="R889">_xlfn.REDUCE(Q889, {"-","/","_","\","(",")"}, _xlfn.LAMBDA(_xlpm.txt,_xlpm.itm, SUBSTITUTE(_xlpm.txt, _xlpm.itm, "")))</f>
        <v>0987654321</v>
      </c>
      <c r="S889" s="3">
        <f>IFERROR(_xlfn.XLOOKUP(tbl_HR_Data[[#This Row],[Joining Date]], Mapping[Joining_Discarded], Mapping[Joining_Correction]), VALUE(tbl_HR_Data[[#This Row],[Joining Date]]))</f>
        <v>43881</v>
      </c>
      <c r="T889" t="str">
        <f>TEXT(tbl_HR_Data[[#This Row],[Joining Date]], "mmm")</f>
        <v>Feb</v>
      </c>
      <c r="U889" t="str">
        <f>TEXT(tbl_HR_Data[[#This Row],[Joining Date]], "ddd")</f>
        <v>Thu</v>
      </c>
    </row>
    <row r="890" spans="1:21" x14ac:dyDescent="0.35">
      <c r="A890" t="s">
        <v>103</v>
      </c>
      <c r="B890">
        <v>50</v>
      </c>
      <c r="C890">
        <v>50000</v>
      </c>
      <c r="D890" t="s">
        <v>18</v>
      </c>
      <c r="E890" t="s">
        <v>12</v>
      </c>
      <c r="F890" t="s">
        <v>39</v>
      </c>
      <c r="G890" s="3">
        <v>43881</v>
      </c>
      <c r="H890" t="str">
        <f>TEXT(tbl_HR_Data[[#This Row],[Joining Date]], "mmm")</f>
        <v>Feb</v>
      </c>
      <c r="I890" t="s">
        <v>92</v>
      </c>
      <c r="J890" t="s">
        <v>31</v>
      </c>
      <c r="K890" t="s">
        <v>22</v>
      </c>
      <c r="L890" t="s">
        <v>87</v>
      </c>
      <c r="M890">
        <f>IFERROR( _xlfn.XLOOKUP(TRIM(tbl_HR_Data[[#This Row],[Age]]),#REF!,#REF!), VALUE(TRIM(tbl_HR_Data[[#This Row],[Age]])))</f>
        <v>50</v>
      </c>
      <c r="N890" t="str">
        <f>IFERROR(_xlfn.XLOOKUP(tbl_HR_Data[[#This Row],[Gender]], Mapping[Gender _Discarded], Mapping[Gender_Correction]), PROPER(TRIM(tbl_HR_Data[[#This Row],[Gender]])))</f>
        <v>Female</v>
      </c>
      <c r="O890" t="str">
        <f>TRIM(tbl_HR_Data[[#This Row],[Position]])</f>
        <v>Clerk</v>
      </c>
      <c r="P890" t="str">
        <f>IFERROR(_xlfn.XLOOKUP(tbl_HR_Data[[#This Row],[Email]], Mapping[Email_Discarded], Mapping[Email_Correction]), LOWER(TRIM(tbl_HR_Data[[#This Row],[Email]])))</f>
        <v>user@domain.com</v>
      </c>
      <c r="Q89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890" t="str" cm="1">
        <f t="array" ref="R890">_xlfn.REDUCE(Q890, {"-","/","_","\","(",")"}, _xlfn.LAMBDA(_xlpm.txt,_xlpm.itm, SUBSTITUTE(_xlpm.txt, _xlpm.itm, "")))</f>
        <v>1234567890</v>
      </c>
      <c r="S890" s="3">
        <f>IFERROR(_xlfn.XLOOKUP(tbl_HR_Data[[#This Row],[Joining Date]], Mapping[Joining_Discarded], Mapping[Joining_Correction]), VALUE(tbl_HR_Data[[#This Row],[Joining Date]]))</f>
        <v>43881</v>
      </c>
      <c r="T890" t="str">
        <f>TEXT(tbl_HR_Data[[#This Row],[Joining Date]], "mmm")</f>
        <v>Feb</v>
      </c>
      <c r="U890" t="str">
        <f>TEXT(tbl_HR_Data[[#This Row],[Joining Date]], "ddd")</f>
        <v>Thu</v>
      </c>
    </row>
    <row r="891" spans="1:21" x14ac:dyDescent="0.35">
      <c r="A891" t="s">
        <v>107</v>
      </c>
      <c r="B891">
        <v>50</v>
      </c>
      <c r="C891">
        <v>55000</v>
      </c>
      <c r="D891" t="s">
        <v>36</v>
      </c>
      <c r="E891" t="s">
        <v>12</v>
      </c>
      <c r="F891" t="s">
        <v>44</v>
      </c>
      <c r="G891" s="3">
        <v>43881</v>
      </c>
      <c r="H891" t="str">
        <f>TEXT(tbl_HR_Data[[#This Row],[Joining Date]], "mmm")</f>
        <v>Feb</v>
      </c>
      <c r="I891" t="s">
        <v>92</v>
      </c>
      <c r="J891" t="s">
        <v>14</v>
      </c>
      <c r="K891" t="s">
        <v>32</v>
      </c>
      <c r="L891" t="s">
        <v>89</v>
      </c>
      <c r="M891">
        <f>IFERROR( _xlfn.XLOOKUP(TRIM(tbl_HR_Data[[#This Row],[Age]]),#REF!,#REF!), VALUE(TRIM(tbl_HR_Data[[#This Row],[Age]])))</f>
        <v>50</v>
      </c>
      <c r="N891" t="str">
        <f>IFERROR(_xlfn.XLOOKUP(tbl_HR_Data[[#This Row],[Gender]], Mapping[Gender _Discarded], Mapping[Gender_Correction]), PROPER(TRIM(tbl_HR_Data[[#This Row],[Gender]])))</f>
        <v>Other</v>
      </c>
      <c r="O891" t="str">
        <f>TRIM(tbl_HR_Data[[#This Row],[Position]])</f>
        <v>Analyst</v>
      </c>
      <c r="P891" t="str">
        <f>IFERROR(_xlfn.XLOOKUP(tbl_HR_Data[[#This Row],[Email]], Mapping[Email_Discarded], Mapping[Email_Correction]), LOWER(TRIM(tbl_HR_Data[[#This Row],[Email]])))</f>
        <v>name@company.org</v>
      </c>
      <c r="Q89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891" t="str" cm="1">
        <f t="array" ref="R891">_xlfn.REDUCE(Q891, {"-","/","_","\","(",")"}, _xlfn.LAMBDA(_xlpm.txt,_xlpm.itm, SUBSTITUTE(_xlpm.txt, _xlpm.itm, "")))</f>
        <v>5555555555</v>
      </c>
      <c r="S891" s="3">
        <f>IFERROR(_xlfn.XLOOKUP(tbl_HR_Data[[#This Row],[Joining Date]], Mapping[Joining_Discarded], Mapping[Joining_Correction]), VALUE(tbl_HR_Data[[#This Row],[Joining Date]]))</f>
        <v>43881</v>
      </c>
      <c r="T891" t="str">
        <f>TEXT(tbl_HR_Data[[#This Row],[Joining Date]], "mmm")</f>
        <v>Feb</v>
      </c>
      <c r="U891" t="str">
        <f>TEXT(tbl_HR_Data[[#This Row],[Joining Date]], "ddd")</f>
        <v>Thu</v>
      </c>
    </row>
    <row r="892" spans="1:21" x14ac:dyDescent="0.35">
      <c r="A892" t="s">
        <v>104</v>
      </c>
      <c r="B892">
        <v>25</v>
      </c>
      <c r="C892">
        <v>65000</v>
      </c>
      <c r="D892" t="s">
        <v>11</v>
      </c>
      <c r="E892" t="s">
        <v>19</v>
      </c>
      <c r="F892" t="s">
        <v>43</v>
      </c>
      <c r="G892" s="3">
        <v>43881</v>
      </c>
      <c r="H892" t="str">
        <f>TEXT(tbl_HR_Data[[#This Row],[Joining Date]], "mmm")</f>
        <v>Feb</v>
      </c>
      <c r="I892" t="s">
        <v>92</v>
      </c>
      <c r="J892" t="s">
        <v>21</v>
      </c>
      <c r="K892" t="s">
        <v>22</v>
      </c>
      <c r="L892" t="s">
        <v>87</v>
      </c>
      <c r="M892">
        <f>IFERROR( _xlfn.XLOOKUP(TRIM(tbl_HR_Data[[#This Row],[Age]]),#REF!,#REF!), VALUE(TRIM(tbl_HR_Data[[#This Row],[Age]])))</f>
        <v>25</v>
      </c>
      <c r="N892" t="str">
        <f>IFERROR(_xlfn.XLOOKUP(tbl_HR_Data[[#This Row],[Gender]], Mapping[Gender _Discarded], Mapping[Gender_Correction]), PROPER(TRIM(tbl_HR_Data[[#This Row],[Gender]])))</f>
        <v>Male</v>
      </c>
      <c r="O892" t="str">
        <f>TRIM(tbl_HR_Data[[#This Row],[Position]])</f>
        <v>Assistant</v>
      </c>
      <c r="P892" t="str">
        <f>IFERROR(_xlfn.XLOOKUP(tbl_HR_Data[[#This Row],[Email]], Mapping[Email_Discarded], Mapping[Email_Correction]), LOWER(TRIM(tbl_HR_Data[[#This Row],[Email]])))</f>
        <v>user@domain.com</v>
      </c>
      <c r="Q89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892" t="str" cm="1">
        <f t="array" ref="R892">_xlfn.REDUCE(Q892, {"-","/","_","\","(",")"}, _xlfn.LAMBDA(_xlpm.txt,_xlpm.itm, SUBSTITUTE(_xlpm.txt, _xlpm.itm, "")))</f>
        <v>1234567890</v>
      </c>
      <c r="S892" s="3">
        <f>IFERROR(_xlfn.XLOOKUP(tbl_HR_Data[[#This Row],[Joining Date]], Mapping[Joining_Discarded], Mapping[Joining_Correction]), VALUE(tbl_HR_Data[[#This Row],[Joining Date]]))</f>
        <v>43881</v>
      </c>
      <c r="T892" t="str">
        <f>TEXT(tbl_HR_Data[[#This Row],[Joining Date]], "mmm")</f>
        <v>Feb</v>
      </c>
      <c r="U892" t="str">
        <f>TEXT(tbl_HR_Data[[#This Row],[Joining Date]], "ddd")</f>
        <v>Thu</v>
      </c>
    </row>
    <row r="893" spans="1:21" x14ac:dyDescent="0.35">
      <c r="A893" t="s">
        <v>102</v>
      </c>
      <c r="B893">
        <v>35</v>
      </c>
      <c r="C893">
        <v>55000</v>
      </c>
      <c r="D893" t="s">
        <v>36</v>
      </c>
      <c r="E893" t="s">
        <v>30</v>
      </c>
      <c r="F893" t="s">
        <v>20</v>
      </c>
      <c r="G893" s="3">
        <v>43881</v>
      </c>
      <c r="H893" t="str">
        <f>TEXT(tbl_HR_Data[[#This Row],[Joining Date]], "mmm")</f>
        <v>Feb</v>
      </c>
      <c r="I893" t="s">
        <v>92</v>
      </c>
      <c r="J893" t="s">
        <v>41</v>
      </c>
      <c r="K893" t="s">
        <v>77</v>
      </c>
      <c r="L893" t="s">
        <v>88</v>
      </c>
      <c r="M893">
        <f>IFERROR( _xlfn.XLOOKUP(TRIM(tbl_HR_Data[[#This Row],[Age]]),#REF!,#REF!), VALUE(TRIM(tbl_HR_Data[[#This Row],[Age]])))</f>
        <v>35</v>
      </c>
      <c r="N893" t="str">
        <f>IFERROR(_xlfn.XLOOKUP(tbl_HR_Data[[#This Row],[Gender]], Mapping[Gender _Discarded], Mapping[Gender_Correction]), PROPER(TRIM(tbl_HR_Data[[#This Row],[Gender]])))</f>
        <v>Other</v>
      </c>
      <c r="O893" t="str">
        <f>TRIM(tbl_HR_Data[[#This Row],[Position]])</f>
        <v>Director</v>
      </c>
      <c r="P893" t="str">
        <f>IFERROR(_xlfn.XLOOKUP(tbl_HR_Data[[#This Row],[Email]], Mapping[Email_Discarded], Mapping[Email_Correction]), LOWER(TRIM(tbl_HR_Data[[#This Row],[Email]])))</f>
        <v>not provided</v>
      </c>
      <c r="Q89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893" t="str" cm="1">
        <f t="array" ref="R893">_xlfn.REDUCE(Q893, {"-","/","_","\","(",")"}, _xlfn.LAMBDA(_xlpm.txt,_xlpm.itm, SUBSTITUTE(_xlpm.txt, _xlpm.itm, "")))</f>
        <v>0987654321</v>
      </c>
      <c r="S893" s="3">
        <f>IFERROR(_xlfn.XLOOKUP(tbl_HR_Data[[#This Row],[Joining Date]], Mapping[Joining_Discarded], Mapping[Joining_Correction]), VALUE(tbl_HR_Data[[#This Row],[Joining Date]]))</f>
        <v>43881</v>
      </c>
      <c r="T893" t="str">
        <f>TEXT(tbl_HR_Data[[#This Row],[Joining Date]], "mmm")</f>
        <v>Feb</v>
      </c>
      <c r="U893" t="str">
        <f>TEXT(tbl_HR_Data[[#This Row],[Joining Date]], "ddd")</f>
        <v>Thu</v>
      </c>
    </row>
    <row r="894" spans="1:21" x14ac:dyDescent="0.35">
      <c r="A894" t="s">
        <v>106</v>
      </c>
      <c r="B894">
        <v>50</v>
      </c>
      <c r="C894">
        <v>60000</v>
      </c>
      <c r="D894" t="s">
        <v>36</v>
      </c>
      <c r="E894" t="s">
        <v>12</v>
      </c>
      <c r="F894" t="s">
        <v>39</v>
      </c>
      <c r="G894" s="3">
        <v>43881</v>
      </c>
      <c r="H894" t="str">
        <f>TEXT(tbl_HR_Data[[#This Row],[Joining Date]], "mmm")</f>
        <v>Feb</v>
      </c>
      <c r="I894" t="s">
        <v>92</v>
      </c>
      <c r="J894" t="s">
        <v>41</v>
      </c>
      <c r="K894" t="s">
        <v>22</v>
      </c>
      <c r="L894" t="s">
        <v>89</v>
      </c>
      <c r="M894">
        <f>IFERROR( _xlfn.XLOOKUP(TRIM(tbl_HR_Data[[#This Row],[Age]]),#REF!,#REF!), VALUE(TRIM(tbl_HR_Data[[#This Row],[Age]])))</f>
        <v>50</v>
      </c>
      <c r="N894" t="str">
        <f>IFERROR(_xlfn.XLOOKUP(tbl_HR_Data[[#This Row],[Gender]], Mapping[Gender _Discarded], Mapping[Gender_Correction]), PROPER(TRIM(tbl_HR_Data[[#This Row],[Gender]])))</f>
        <v>Other</v>
      </c>
      <c r="O894" t="str">
        <f>TRIM(tbl_HR_Data[[#This Row],[Position]])</f>
        <v>Clerk</v>
      </c>
      <c r="P894" t="str">
        <f>IFERROR(_xlfn.XLOOKUP(tbl_HR_Data[[#This Row],[Email]], Mapping[Email_Discarded], Mapping[Email_Correction]), LOWER(TRIM(tbl_HR_Data[[#This Row],[Email]])))</f>
        <v>user@domain.com</v>
      </c>
      <c r="Q89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894" t="str" cm="1">
        <f t="array" ref="R894">_xlfn.REDUCE(Q894, {"-","/","_","\","(",")"}, _xlfn.LAMBDA(_xlpm.txt,_xlpm.itm, SUBSTITUTE(_xlpm.txt, _xlpm.itm, "")))</f>
        <v>5555555555</v>
      </c>
      <c r="S894" s="3">
        <f>IFERROR(_xlfn.XLOOKUP(tbl_HR_Data[[#This Row],[Joining Date]], Mapping[Joining_Discarded], Mapping[Joining_Correction]), VALUE(tbl_HR_Data[[#This Row],[Joining Date]]))</f>
        <v>43881</v>
      </c>
      <c r="T894" t="str">
        <f>TEXT(tbl_HR_Data[[#This Row],[Joining Date]], "mmm")</f>
        <v>Feb</v>
      </c>
      <c r="U894" t="str">
        <f>TEXT(tbl_HR_Data[[#This Row],[Joining Date]], "ddd")</f>
        <v>Thu</v>
      </c>
    </row>
    <row r="895" spans="1:21" x14ac:dyDescent="0.35">
      <c r="A895" t="s">
        <v>100</v>
      </c>
      <c r="B895">
        <v>30</v>
      </c>
      <c r="C895">
        <v>55000</v>
      </c>
      <c r="D895" t="s">
        <v>36</v>
      </c>
      <c r="E895" t="s">
        <v>30</v>
      </c>
      <c r="F895" t="s">
        <v>43</v>
      </c>
      <c r="G895" s="3">
        <v>43881</v>
      </c>
      <c r="H895" t="str">
        <f>TEXT(tbl_HR_Data[[#This Row],[Joining Date]], "mmm")</f>
        <v>Feb</v>
      </c>
      <c r="I895" t="s">
        <v>92</v>
      </c>
      <c r="J895" t="s">
        <v>14</v>
      </c>
      <c r="K895" t="s">
        <v>77</v>
      </c>
      <c r="L895" t="s">
        <v>87</v>
      </c>
      <c r="M895">
        <f>IFERROR( _xlfn.XLOOKUP(TRIM(tbl_HR_Data[[#This Row],[Age]]),#REF!,#REF!), VALUE(TRIM(tbl_HR_Data[[#This Row],[Age]])))</f>
        <v>30</v>
      </c>
      <c r="N895" t="str">
        <f>IFERROR(_xlfn.XLOOKUP(tbl_HR_Data[[#This Row],[Gender]], Mapping[Gender _Discarded], Mapping[Gender_Correction]), PROPER(TRIM(tbl_HR_Data[[#This Row],[Gender]])))</f>
        <v>Other</v>
      </c>
      <c r="O895" t="str">
        <f>TRIM(tbl_HR_Data[[#This Row],[Position]])</f>
        <v>Assistant</v>
      </c>
      <c r="P895" t="str">
        <f>IFERROR(_xlfn.XLOOKUP(tbl_HR_Data[[#This Row],[Email]], Mapping[Email_Discarded], Mapping[Email_Correction]), LOWER(TRIM(tbl_HR_Data[[#This Row],[Email]])))</f>
        <v>not provided</v>
      </c>
      <c r="Q89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895" t="str" cm="1">
        <f t="array" ref="R895">_xlfn.REDUCE(Q895, {"-","/","_","\","(",")"}, _xlfn.LAMBDA(_xlpm.txt,_xlpm.itm, SUBSTITUTE(_xlpm.txt, _xlpm.itm, "")))</f>
        <v>1234567890</v>
      </c>
      <c r="S895" s="3">
        <f>IFERROR(_xlfn.XLOOKUP(tbl_HR_Data[[#This Row],[Joining Date]], Mapping[Joining_Discarded], Mapping[Joining_Correction]), VALUE(tbl_HR_Data[[#This Row],[Joining Date]]))</f>
        <v>43881</v>
      </c>
      <c r="T895" t="str">
        <f>TEXT(tbl_HR_Data[[#This Row],[Joining Date]], "mmm")</f>
        <v>Feb</v>
      </c>
      <c r="U895" t="str">
        <f>TEXT(tbl_HR_Data[[#This Row],[Joining Date]], "ddd")</f>
        <v>Thu</v>
      </c>
    </row>
    <row r="896" spans="1:21" x14ac:dyDescent="0.35">
      <c r="A896" t="s">
        <v>103</v>
      </c>
      <c r="B896">
        <v>30</v>
      </c>
      <c r="C896">
        <v>55000</v>
      </c>
      <c r="D896" t="s">
        <v>36</v>
      </c>
      <c r="E896" t="s">
        <v>19</v>
      </c>
      <c r="F896" t="s">
        <v>44</v>
      </c>
      <c r="G896" s="3">
        <v>43881</v>
      </c>
      <c r="H896" t="str">
        <f>TEXT(tbl_HR_Data[[#This Row],[Joining Date]], "mmm")</f>
        <v>Feb</v>
      </c>
      <c r="I896" t="s">
        <v>92</v>
      </c>
      <c r="J896" t="s">
        <v>14</v>
      </c>
      <c r="K896" t="s">
        <v>32</v>
      </c>
      <c r="L896" t="s">
        <v>88</v>
      </c>
      <c r="M896">
        <f>IFERROR( _xlfn.XLOOKUP(TRIM(tbl_HR_Data[[#This Row],[Age]]),#REF!,#REF!), VALUE(TRIM(tbl_HR_Data[[#This Row],[Age]])))</f>
        <v>30</v>
      </c>
      <c r="N896" t="str">
        <f>IFERROR(_xlfn.XLOOKUP(tbl_HR_Data[[#This Row],[Gender]], Mapping[Gender _Discarded], Mapping[Gender_Correction]), PROPER(TRIM(tbl_HR_Data[[#This Row],[Gender]])))</f>
        <v>Other</v>
      </c>
      <c r="O896" t="str">
        <f>TRIM(tbl_HR_Data[[#This Row],[Position]])</f>
        <v>Analyst</v>
      </c>
      <c r="P896" t="str">
        <f>IFERROR(_xlfn.XLOOKUP(tbl_HR_Data[[#This Row],[Email]], Mapping[Email_Discarded], Mapping[Email_Correction]), LOWER(TRIM(tbl_HR_Data[[#This Row],[Email]])))</f>
        <v>name@company.org</v>
      </c>
      <c r="Q89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896" t="str" cm="1">
        <f t="array" ref="R896">_xlfn.REDUCE(Q896, {"-","/","_","\","(",")"}, _xlfn.LAMBDA(_xlpm.txt,_xlpm.itm, SUBSTITUTE(_xlpm.txt, _xlpm.itm, "")))</f>
        <v>0987654321</v>
      </c>
      <c r="S896" s="3">
        <f>IFERROR(_xlfn.XLOOKUP(tbl_HR_Data[[#This Row],[Joining Date]], Mapping[Joining_Discarded], Mapping[Joining_Correction]), VALUE(tbl_HR_Data[[#This Row],[Joining Date]]))</f>
        <v>43881</v>
      </c>
      <c r="T896" t="str">
        <f>TEXT(tbl_HR_Data[[#This Row],[Joining Date]], "mmm")</f>
        <v>Feb</v>
      </c>
      <c r="U896" t="str">
        <f>TEXT(tbl_HR_Data[[#This Row],[Joining Date]], "ddd")</f>
        <v>Thu</v>
      </c>
    </row>
    <row r="897" spans="1:21" x14ac:dyDescent="0.35">
      <c r="A897" t="s">
        <v>100</v>
      </c>
      <c r="B897">
        <v>40</v>
      </c>
      <c r="C897">
        <v>0</v>
      </c>
      <c r="D897" t="s">
        <v>11</v>
      </c>
      <c r="E897" t="s">
        <v>26</v>
      </c>
      <c r="F897" t="s">
        <v>13</v>
      </c>
      <c r="G897" s="3">
        <v>43881</v>
      </c>
      <c r="H897" t="str">
        <f>TEXT(tbl_HR_Data[[#This Row],[Joining Date]], "mmm")</f>
        <v>Feb</v>
      </c>
      <c r="I897" t="s">
        <v>92</v>
      </c>
      <c r="J897" t="s">
        <v>31</v>
      </c>
      <c r="K897" t="s">
        <v>77</v>
      </c>
      <c r="L897" t="s">
        <v>89</v>
      </c>
      <c r="M897">
        <f>IFERROR( _xlfn.XLOOKUP(TRIM(tbl_HR_Data[[#This Row],[Age]]),#REF!,#REF!), VALUE(TRIM(tbl_HR_Data[[#This Row],[Age]])))</f>
        <v>40</v>
      </c>
      <c r="N897" t="str">
        <f>IFERROR(_xlfn.XLOOKUP(tbl_HR_Data[[#This Row],[Gender]], Mapping[Gender _Discarded], Mapping[Gender_Correction]), PROPER(TRIM(tbl_HR_Data[[#This Row],[Gender]])))</f>
        <v>Male</v>
      </c>
      <c r="O897" t="str">
        <f>TRIM(tbl_HR_Data[[#This Row],[Position]])</f>
        <v>Manager</v>
      </c>
      <c r="P897" t="str">
        <f>IFERROR(_xlfn.XLOOKUP(tbl_HR_Data[[#This Row],[Email]], Mapping[Email_Discarded], Mapping[Email_Correction]), LOWER(TRIM(tbl_HR_Data[[#This Row],[Email]])))</f>
        <v>not provided</v>
      </c>
      <c r="Q89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897" t="str" cm="1">
        <f t="array" ref="R897">_xlfn.REDUCE(Q897, {"-","/","_","\","(",")"}, _xlfn.LAMBDA(_xlpm.txt,_xlpm.itm, SUBSTITUTE(_xlpm.txt, _xlpm.itm, "")))</f>
        <v>5555555555</v>
      </c>
      <c r="S897" s="3">
        <f>IFERROR(_xlfn.XLOOKUP(tbl_HR_Data[[#This Row],[Joining Date]], Mapping[Joining_Discarded], Mapping[Joining_Correction]), VALUE(tbl_HR_Data[[#This Row],[Joining Date]]))</f>
        <v>43881</v>
      </c>
      <c r="T897" t="str">
        <f>TEXT(tbl_HR_Data[[#This Row],[Joining Date]], "mmm")</f>
        <v>Feb</v>
      </c>
      <c r="U897" t="str">
        <f>TEXT(tbl_HR_Data[[#This Row],[Joining Date]], "ddd")</f>
        <v>Thu</v>
      </c>
    </row>
    <row r="898" spans="1:21" x14ac:dyDescent="0.35">
      <c r="A898" t="s">
        <v>105</v>
      </c>
      <c r="B898">
        <v>0</v>
      </c>
      <c r="C898">
        <v>50000</v>
      </c>
      <c r="D898" t="s">
        <v>11</v>
      </c>
      <c r="E898" t="s">
        <v>12</v>
      </c>
      <c r="F898" t="s">
        <v>43</v>
      </c>
      <c r="G898" s="3">
        <v>43881</v>
      </c>
      <c r="H898" t="str">
        <f>TEXT(tbl_HR_Data[[#This Row],[Joining Date]], "mmm")</f>
        <v>Feb</v>
      </c>
      <c r="I898" t="s">
        <v>92</v>
      </c>
      <c r="J898" t="s">
        <v>21</v>
      </c>
      <c r="K898" t="s">
        <v>32</v>
      </c>
      <c r="L898" t="s">
        <v>77</v>
      </c>
      <c r="M898">
        <f>IFERROR( _xlfn.XLOOKUP(TRIM(tbl_HR_Data[[#This Row],[Age]]),#REF!,#REF!), VALUE(TRIM(tbl_HR_Data[[#This Row],[Age]])))</f>
        <v>0</v>
      </c>
      <c r="N898" t="str">
        <f>IFERROR(_xlfn.XLOOKUP(tbl_HR_Data[[#This Row],[Gender]], Mapping[Gender _Discarded], Mapping[Gender_Correction]), PROPER(TRIM(tbl_HR_Data[[#This Row],[Gender]])))</f>
        <v>Male</v>
      </c>
      <c r="O898" t="str">
        <f>TRIM(tbl_HR_Data[[#This Row],[Position]])</f>
        <v>Assistant</v>
      </c>
      <c r="P898" t="str">
        <f>IFERROR(_xlfn.XLOOKUP(tbl_HR_Data[[#This Row],[Email]], Mapping[Email_Discarded], Mapping[Email_Correction]), LOWER(TRIM(tbl_HR_Data[[#This Row],[Email]])))</f>
        <v>name@company.org</v>
      </c>
      <c r="Q89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898" t="str" cm="1">
        <f t="array" ref="R898">_xlfn.REDUCE(Q898, {"-","/","_","\","(",")"}, _xlfn.LAMBDA(_xlpm.txt,_xlpm.itm, SUBSTITUTE(_xlpm.txt, _xlpm.itm, "")))</f>
        <v>Not Provided</v>
      </c>
      <c r="S898" s="3">
        <f>IFERROR(_xlfn.XLOOKUP(tbl_HR_Data[[#This Row],[Joining Date]], Mapping[Joining_Discarded], Mapping[Joining_Correction]), VALUE(tbl_HR_Data[[#This Row],[Joining Date]]))</f>
        <v>43881</v>
      </c>
      <c r="T898" t="str">
        <f>TEXT(tbl_HR_Data[[#This Row],[Joining Date]], "mmm")</f>
        <v>Feb</v>
      </c>
      <c r="U898" t="str">
        <f>TEXT(tbl_HR_Data[[#This Row],[Joining Date]], "ddd")</f>
        <v>Thu</v>
      </c>
    </row>
    <row r="899" spans="1:21" x14ac:dyDescent="0.35">
      <c r="A899" t="s">
        <v>99</v>
      </c>
      <c r="B899">
        <v>50</v>
      </c>
      <c r="C899">
        <v>70000</v>
      </c>
      <c r="D899" t="s">
        <v>36</v>
      </c>
      <c r="E899" t="s">
        <v>12</v>
      </c>
      <c r="F899" t="s">
        <v>20</v>
      </c>
      <c r="G899" s="3">
        <v>43881</v>
      </c>
      <c r="H899" t="str">
        <f>TEXT(tbl_HR_Data[[#This Row],[Joining Date]], "mmm")</f>
        <v>Feb</v>
      </c>
      <c r="I899" t="s">
        <v>92</v>
      </c>
      <c r="J899" t="s">
        <v>41</v>
      </c>
      <c r="K899" t="s">
        <v>77</v>
      </c>
      <c r="L899" t="s">
        <v>88</v>
      </c>
      <c r="M899">
        <f>IFERROR( _xlfn.XLOOKUP(TRIM(tbl_HR_Data[[#This Row],[Age]]),#REF!,#REF!), VALUE(TRIM(tbl_HR_Data[[#This Row],[Age]])))</f>
        <v>50</v>
      </c>
      <c r="N899" t="str">
        <f>IFERROR(_xlfn.XLOOKUP(tbl_HR_Data[[#This Row],[Gender]], Mapping[Gender _Discarded], Mapping[Gender_Correction]), PROPER(TRIM(tbl_HR_Data[[#This Row],[Gender]])))</f>
        <v>Other</v>
      </c>
      <c r="O899" t="str">
        <f>TRIM(tbl_HR_Data[[#This Row],[Position]])</f>
        <v>Director</v>
      </c>
      <c r="P899" t="str">
        <f>IFERROR(_xlfn.XLOOKUP(tbl_HR_Data[[#This Row],[Email]], Mapping[Email_Discarded], Mapping[Email_Correction]), LOWER(TRIM(tbl_HR_Data[[#This Row],[Email]])))</f>
        <v>not provided</v>
      </c>
      <c r="Q89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899" t="str" cm="1">
        <f t="array" ref="R899">_xlfn.REDUCE(Q899, {"-","/","_","\","(",")"}, _xlfn.LAMBDA(_xlpm.txt,_xlpm.itm, SUBSTITUTE(_xlpm.txt, _xlpm.itm, "")))</f>
        <v>0987654321</v>
      </c>
      <c r="S899" s="3">
        <f>IFERROR(_xlfn.XLOOKUP(tbl_HR_Data[[#This Row],[Joining Date]], Mapping[Joining_Discarded], Mapping[Joining_Correction]), VALUE(tbl_HR_Data[[#This Row],[Joining Date]]))</f>
        <v>43881</v>
      </c>
      <c r="T899" t="str">
        <f>TEXT(tbl_HR_Data[[#This Row],[Joining Date]], "mmm")</f>
        <v>Feb</v>
      </c>
      <c r="U899" t="str">
        <f>TEXT(tbl_HR_Data[[#This Row],[Joining Date]], "ddd")</f>
        <v>Thu</v>
      </c>
    </row>
    <row r="900" spans="1:21" x14ac:dyDescent="0.35">
      <c r="A900" t="s">
        <v>103</v>
      </c>
      <c r="B900">
        <v>40</v>
      </c>
      <c r="C900">
        <v>70000</v>
      </c>
      <c r="D900" t="s">
        <v>18</v>
      </c>
      <c r="E900" t="s">
        <v>30</v>
      </c>
      <c r="F900" t="s">
        <v>44</v>
      </c>
      <c r="G900" s="3">
        <v>43881</v>
      </c>
      <c r="H900" t="str">
        <f>TEXT(tbl_HR_Data[[#This Row],[Joining Date]], "mmm")</f>
        <v>Feb</v>
      </c>
      <c r="I900" t="s">
        <v>92</v>
      </c>
      <c r="J900" t="s">
        <v>41</v>
      </c>
      <c r="K900" t="s">
        <v>77</v>
      </c>
      <c r="L900" t="s">
        <v>87</v>
      </c>
      <c r="M900">
        <f>IFERROR( _xlfn.XLOOKUP(TRIM(tbl_HR_Data[[#This Row],[Age]]),#REF!,#REF!), VALUE(TRIM(tbl_HR_Data[[#This Row],[Age]])))</f>
        <v>40</v>
      </c>
      <c r="N900" t="str">
        <f>IFERROR(_xlfn.XLOOKUP(tbl_HR_Data[[#This Row],[Gender]], Mapping[Gender _Discarded], Mapping[Gender_Correction]), PROPER(TRIM(tbl_HR_Data[[#This Row],[Gender]])))</f>
        <v>Female</v>
      </c>
      <c r="O900" t="str">
        <f>TRIM(tbl_HR_Data[[#This Row],[Position]])</f>
        <v>Analyst</v>
      </c>
      <c r="P900" t="str">
        <f>IFERROR(_xlfn.XLOOKUP(tbl_HR_Data[[#This Row],[Email]], Mapping[Email_Discarded], Mapping[Email_Correction]), LOWER(TRIM(tbl_HR_Data[[#This Row],[Email]])))</f>
        <v>not provided</v>
      </c>
      <c r="Q90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00" t="str" cm="1">
        <f t="array" ref="R900">_xlfn.REDUCE(Q900, {"-","/","_","\","(",")"}, _xlfn.LAMBDA(_xlpm.txt,_xlpm.itm, SUBSTITUTE(_xlpm.txt, _xlpm.itm, "")))</f>
        <v>1234567890</v>
      </c>
      <c r="S900" s="3">
        <f>IFERROR(_xlfn.XLOOKUP(tbl_HR_Data[[#This Row],[Joining Date]], Mapping[Joining_Discarded], Mapping[Joining_Correction]), VALUE(tbl_HR_Data[[#This Row],[Joining Date]]))</f>
        <v>43881</v>
      </c>
      <c r="T900" t="str">
        <f>TEXT(tbl_HR_Data[[#This Row],[Joining Date]], "mmm")</f>
        <v>Feb</v>
      </c>
      <c r="U900" t="str">
        <f>TEXT(tbl_HR_Data[[#This Row],[Joining Date]], "ddd")</f>
        <v>Thu</v>
      </c>
    </row>
    <row r="901" spans="1:21" x14ac:dyDescent="0.35">
      <c r="A901" t="s">
        <v>107</v>
      </c>
      <c r="B901">
        <v>0</v>
      </c>
      <c r="C901">
        <v>70000</v>
      </c>
      <c r="D901" t="s">
        <v>18</v>
      </c>
      <c r="E901" t="s">
        <v>12</v>
      </c>
      <c r="F901" t="s">
        <v>44</v>
      </c>
      <c r="G901" s="3">
        <v>43881</v>
      </c>
      <c r="H901" t="str">
        <f>TEXT(tbl_HR_Data[[#This Row],[Joining Date]], "mmm")</f>
        <v>Feb</v>
      </c>
      <c r="I901" t="s">
        <v>92</v>
      </c>
      <c r="J901" t="s">
        <v>27</v>
      </c>
      <c r="K901" t="s">
        <v>77</v>
      </c>
      <c r="L901" t="s">
        <v>87</v>
      </c>
      <c r="M901">
        <f>IFERROR( _xlfn.XLOOKUP(TRIM(tbl_HR_Data[[#This Row],[Age]]),#REF!,#REF!), VALUE(TRIM(tbl_HR_Data[[#This Row],[Age]])))</f>
        <v>0</v>
      </c>
      <c r="N901" t="str">
        <f>IFERROR(_xlfn.XLOOKUP(tbl_HR_Data[[#This Row],[Gender]], Mapping[Gender _Discarded], Mapping[Gender_Correction]), PROPER(TRIM(tbl_HR_Data[[#This Row],[Gender]])))</f>
        <v>Female</v>
      </c>
      <c r="O901" t="str">
        <f>TRIM(tbl_HR_Data[[#This Row],[Position]])</f>
        <v>Analyst</v>
      </c>
      <c r="P901" t="str">
        <f>IFERROR(_xlfn.XLOOKUP(tbl_HR_Data[[#This Row],[Email]], Mapping[Email_Discarded], Mapping[Email_Correction]), LOWER(TRIM(tbl_HR_Data[[#This Row],[Email]])))</f>
        <v>not provided</v>
      </c>
      <c r="Q90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01" t="str" cm="1">
        <f t="array" ref="R901">_xlfn.REDUCE(Q901, {"-","/","_","\","(",")"}, _xlfn.LAMBDA(_xlpm.txt,_xlpm.itm, SUBSTITUTE(_xlpm.txt, _xlpm.itm, "")))</f>
        <v>1234567890</v>
      </c>
      <c r="S901" s="3">
        <f>IFERROR(_xlfn.XLOOKUP(tbl_HR_Data[[#This Row],[Joining Date]], Mapping[Joining_Discarded], Mapping[Joining_Correction]), VALUE(tbl_HR_Data[[#This Row],[Joining Date]]))</f>
        <v>43881</v>
      </c>
      <c r="T901" t="str">
        <f>TEXT(tbl_HR_Data[[#This Row],[Joining Date]], "mmm")</f>
        <v>Feb</v>
      </c>
      <c r="U901" t="str">
        <f>TEXT(tbl_HR_Data[[#This Row],[Joining Date]], "ddd")</f>
        <v>Thu</v>
      </c>
    </row>
    <row r="902" spans="1:21" x14ac:dyDescent="0.35">
      <c r="A902" t="s">
        <v>108</v>
      </c>
      <c r="B902">
        <v>0</v>
      </c>
      <c r="C902">
        <v>0</v>
      </c>
      <c r="D902" t="s">
        <v>18</v>
      </c>
      <c r="E902" t="s">
        <v>12</v>
      </c>
      <c r="F902" t="s">
        <v>13</v>
      </c>
      <c r="G902" s="3">
        <v>43881</v>
      </c>
      <c r="H902" t="str">
        <f>TEXT(tbl_HR_Data[[#This Row],[Joining Date]], "mmm")</f>
        <v>Feb</v>
      </c>
      <c r="I902" t="s">
        <v>92</v>
      </c>
      <c r="J902" t="s">
        <v>14</v>
      </c>
      <c r="K902" t="s">
        <v>77</v>
      </c>
      <c r="L902" t="s">
        <v>77</v>
      </c>
      <c r="M902">
        <f>IFERROR( _xlfn.XLOOKUP(TRIM(tbl_HR_Data[[#This Row],[Age]]),#REF!,#REF!), VALUE(TRIM(tbl_HR_Data[[#This Row],[Age]])))</f>
        <v>0</v>
      </c>
      <c r="N902" t="str">
        <f>IFERROR(_xlfn.XLOOKUP(tbl_HR_Data[[#This Row],[Gender]], Mapping[Gender _Discarded], Mapping[Gender_Correction]), PROPER(TRIM(tbl_HR_Data[[#This Row],[Gender]])))</f>
        <v>Female</v>
      </c>
      <c r="O902" t="str">
        <f>TRIM(tbl_HR_Data[[#This Row],[Position]])</f>
        <v>Manager</v>
      </c>
      <c r="P902" t="str">
        <f>IFERROR(_xlfn.XLOOKUP(tbl_HR_Data[[#This Row],[Email]], Mapping[Email_Discarded], Mapping[Email_Correction]), LOWER(TRIM(tbl_HR_Data[[#This Row],[Email]])))</f>
        <v>not provided</v>
      </c>
      <c r="Q90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02" t="str" cm="1">
        <f t="array" ref="R902">_xlfn.REDUCE(Q902, {"-","/","_","\","(",")"}, _xlfn.LAMBDA(_xlpm.txt,_xlpm.itm, SUBSTITUTE(_xlpm.txt, _xlpm.itm, "")))</f>
        <v>Not Provided</v>
      </c>
      <c r="S902" s="3">
        <f>IFERROR(_xlfn.XLOOKUP(tbl_HR_Data[[#This Row],[Joining Date]], Mapping[Joining_Discarded], Mapping[Joining_Correction]), VALUE(tbl_HR_Data[[#This Row],[Joining Date]]))</f>
        <v>43881</v>
      </c>
      <c r="T902" t="str">
        <f>TEXT(tbl_HR_Data[[#This Row],[Joining Date]], "mmm")</f>
        <v>Feb</v>
      </c>
      <c r="U902" t="str">
        <f>TEXT(tbl_HR_Data[[#This Row],[Joining Date]], "ddd")</f>
        <v>Thu</v>
      </c>
    </row>
    <row r="903" spans="1:21" x14ac:dyDescent="0.35">
      <c r="A903" t="s">
        <v>104</v>
      </c>
      <c r="B903">
        <v>0</v>
      </c>
      <c r="C903">
        <v>65000</v>
      </c>
      <c r="D903" t="s">
        <v>36</v>
      </c>
      <c r="E903" t="s">
        <v>30</v>
      </c>
      <c r="F903" t="s">
        <v>44</v>
      </c>
      <c r="G903" s="3">
        <v>43881</v>
      </c>
      <c r="H903" t="str">
        <f>TEXT(tbl_HR_Data[[#This Row],[Joining Date]], "mmm")</f>
        <v>Feb</v>
      </c>
      <c r="I903" t="s">
        <v>92</v>
      </c>
      <c r="J903" t="s">
        <v>21</v>
      </c>
      <c r="K903" t="s">
        <v>77</v>
      </c>
      <c r="L903" t="s">
        <v>77</v>
      </c>
      <c r="M903">
        <f>IFERROR( _xlfn.XLOOKUP(TRIM(tbl_HR_Data[[#This Row],[Age]]),#REF!,#REF!), VALUE(TRIM(tbl_HR_Data[[#This Row],[Age]])))</f>
        <v>0</v>
      </c>
      <c r="N903" t="str">
        <f>IFERROR(_xlfn.XLOOKUP(tbl_HR_Data[[#This Row],[Gender]], Mapping[Gender _Discarded], Mapping[Gender_Correction]), PROPER(TRIM(tbl_HR_Data[[#This Row],[Gender]])))</f>
        <v>Other</v>
      </c>
      <c r="O903" t="str">
        <f>TRIM(tbl_HR_Data[[#This Row],[Position]])</f>
        <v>Analyst</v>
      </c>
      <c r="P903" t="str">
        <f>IFERROR(_xlfn.XLOOKUP(tbl_HR_Data[[#This Row],[Email]], Mapping[Email_Discarded], Mapping[Email_Correction]), LOWER(TRIM(tbl_HR_Data[[#This Row],[Email]])))</f>
        <v>not provided</v>
      </c>
      <c r="Q90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03" t="str" cm="1">
        <f t="array" ref="R903">_xlfn.REDUCE(Q903, {"-","/","_","\","(",")"}, _xlfn.LAMBDA(_xlpm.txt,_xlpm.itm, SUBSTITUTE(_xlpm.txt, _xlpm.itm, "")))</f>
        <v>Not Provided</v>
      </c>
      <c r="S903" s="3">
        <f>IFERROR(_xlfn.XLOOKUP(tbl_HR_Data[[#This Row],[Joining Date]], Mapping[Joining_Discarded], Mapping[Joining_Correction]), VALUE(tbl_HR_Data[[#This Row],[Joining Date]]))</f>
        <v>43881</v>
      </c>
      <c r="T903" t="str">
        <f>TEXT(tbl_HR_Data[[#This Row],[Joining Date]], "mmm")</f>
        <v>Feb</v>
      </c>
      <c r="U903" t="str">
        <f>TEXT(tbl_HR_Data[[#This Row],[Joining Date]], "ddd")</f>
        <v>Thu</v>
      </c>
    </row>
    <row r="904" spans="1:21" x14ac:dyDescent="0.35">
      <c r="A904" t="s">
        <v>102</v>
      </c>
      <c r="B904">
        <v>25</v>
      </c>
      <c r="C904">
        <v>0</v>
      </c>
      <c r="D904" t="s">
        <v>18</v>
      </c>
      <c r="E904" t="s">
        <v>12</v>
      </c>
      <c r="F904" t="s">
        <v>13</v>
      </c>
      <c r="G904" s="3">
        <v>43881</v>
      </c>
      <c r="H904" t="str">
        <f>TEXT(tbl_HR_Data[[#This Row],[Joining Date]], "mmm")</f>
        <v>Feb</v>
      </c>
      <c r="I904" t="s">
        <v>92</v>
      </c>
      <c r="J904" t="s">
        <v>41</v>
      </c>
      <c r="K904" t="s">
        <v>22</v>
      </c>
      <c r="L904" t="s">
        <v>87</v>
      </c>
      <c r="M904">
        <f>IFERROR( _xlfn.XLOOKUP(TRIM(tbl_HR_Data[[#This Row],[Age]]),#REF!,#REF!), VALUE(TRIM(tbl_HR_Data[[#This Row],[Age]])))</f>
        <v>25</v>
      </c>
      <c r="N904" t="str">
        <f>IFERROR(_xlfn.XLOOKUP(tbl_HR_Data[[#This Row],[Gender]], Mapping[Gender _Discarded], Mapping[Gender_Correction]), PROPER(TRIM(tbl_HR_Data[[#This Row],[Gender]])))</f>
        <v>Female</v>
      </c>
      <c r="O904" t="str">
        <f>TRIM(tbl_HR_Data[[#This Row],[Position]])</f>
        <v>Manager</v>
      </c>
      <c r="P904" t="str">
        <f>IFERROR(_xlfn.XLOOKUP(tbl_HR_Data[[#This Row],[Email]], Mapping[Email_Discarded], Mapping[Email_Correction]), LOWER(TRIM(tbl_HR_Data[[#This Row],[Email]])))</f>
        <v>user@domain.com</v>
      </c>
      <c r="Q90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04" t="str" cm="1">
        <f t="array" ref="R904">_xlfn.REDUCE(Q904, {"-","/","_","\","(",")"}, _xlfn.LAMBDA(_xlpm.txt,_xlpm.itm, SUBSTITUTE(_xlpm.txt, _xlpm.itm, "")))</f>
        <v>1234567890</v>
      </c>
      <c r="S904" s="3">
        <f>IFERROR(_xlfn.XLOOKUP(tbl_HR_Data[[#This Row],[Joining Date]], Mapping[Joining_Discarded], Mapping[Joining_Correction]), VALUE(tbl_HR_Data[[#This Row],[Joining Date]]))</f>
        <v>43881</v>
      </c>
      <c r="T904" t="str">
        <f>TEXT(tbl_HR_Data[[#This Row],[Joining Date]], "mmm")</f>
        <v>Feb</v>
      </c>
      <c r="U904" t="str">
        <f>TEXT(tbl_HR_Data[[#This Row],[Joining Date]], "ddd")</f>
        <v>Thu</v>
      </c>
    </row>
    <row r="905" spans="1:21" x14ac:dyDescent="0.35">
      <c r="A905" t="s">
        <v>104</v>
      </c>
      <c r="B905">
        <v>50</v>
      </c>
      <c r="C905">
        <v>60000</v>
      </c>
      <c r="D905" t="s">
        <v>36</v>
      </c>
      <c r="E905" t="s">
        <v>12</v>
      </c>
      <c r="F905" t="s">
        <v>44</v>
      </c>
      <c r="G905" s="3">
        <v>43881</v>
      </c>
      <c r="H905" t="str">
        <f>TEXT(tbl_HR_Data[[#This Row],[Joining Date]], "mmm")</f>
        <v>Feb</v>
      </c>
      <c r="I905" t="s">
        <v>92</v>
      </c>
      <c r="J905" t="s">
        <v>27</v>
      </c>
      <c r="K905" t="s">
        <v>15</v>
      </c>
      <c r="L905" t="s">
        <v>87</v>
      </c>
      <c r="M905">
        <f>IFERROR( _xlfn.XLOOKUP(TRIM(tbl_HR_Data[[#This Row],[Age]]),#REF!,#REF!), VALUE(TRIM(tbl_HR_Data[[#This Row],[Age]])))</f>
        <v>50</v>
      </c>
      <c r="N905" t="str">
        <f>IFERROR(_xlfn.XLOOKUP(tbl_HR_Data[[#This Row],[Gender]], Mapping[Gender _Discarded], Mapping[Gender_Correction]), PROPER(TRIM(tbl_HR_Data[[#This Row],[Gender]])))</f>
        <v>Other</v>
      </c>
      <c r="O905" t="str">
        <f>TRIM(tbl_HR_Data[[#This Row],[Position]])</f>
        <v>Analyst</v>
      </c>
      <c r="P905" t="str">
        <f>IFERROR(_xlfn.XLOOKUP(tbl_HR_Data[[#This Row],[Email]], Mapping[Email_Discarded], Mapping[Email_Correction]), LOWER(TRIM(tbl_HR_Data[[#This Row],[Email]])))</f>
        <v>email@example.com</v>
      </c>
      <c r="Q90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05" t="str" cm="1">
        <f t="array" ref="R905">_xlfn.REDUCE(Q905, {"-","/","_","\","(",")"}, _xlfn.LAMBDA(_xlpm.txt,_xlpm.itm, SUBSTITUTE(_xlpm.txt, _xlpm.itm, "")))</f>
        <v>1234567890</v>
      </c>
      <c r="S905" s="3">
        <f>IFERROR(_xlfn.XLOOKUP(tbl_HR_Data[[#This Row],[Joining Date]], Mapping[Joining_Discarded], Mapping[Joining_Correction]), VALUE(tbl_HR_Data[[#This Row],[Joining Date]]))</f>
        <v>43881</v>
      </c>
      <c r="T905" t="str">
        <f>TEXT(tbl_HR_Data[[#This Row],[Joining Date]], "mmm")</f>
        <v>Feb</v>
      </c>
      <c r="U905" t="str">
        <f>TEXT(tbl_HR_Data[[#This Row],[Joining Date]], "ddd")</f>
        <v>Thu</v>
      </c>
    </row>
    <row r="906" spans="1:21" x14ac:dyDescent="0.35">
      <c r="A906" t="s">
        <v>105</v>
      </c>
      <c r="B906">
        <v>30</v>
      </c>
      <c r="C906">
        <v>70000</v>
      </c>
      <c r="D906" t="s">
        <v>18</v>
      </c>
      <c r="E906" t="s">
        <v>19</v>
      </c>
      <c r="F906" t="s">
        <v>13</v>
      </c>
      <c r="G906" s="3">
        <v>43881</v>
      </c>
      <c r="H906" t="str">
        <f>TEXT(tbl_HR_Data[[#This Row],[Joining Date]], "mmm")</f>
        <v>Feb</v>
      </c>
      <c r="I906" t="s">
        <v>92</v>
      </c>
      <c r="J906" t="s">
        <v>41</v>
      </c>
      <c r="K906" t="s">
        <v>32</v>
      </c>
      <c r="L906" t="s">
        <v>87</v>
      </c>
      <c r="M906">
        <f>IFERROR( _xlfn.XLOOKUP(TRIM(tbl_HR_Data[[#This Row],[Age]]),#REF!,#REF!), VALUE(TRIM(tbl_HR_Data[[#This Row],[Age]])))</f>
        <v>30</v>
      </c>
      <c r="N906" t="str">
        <f>IFERROR(_xlfn.XLOOKUP(tbl_HR_Data[[#This Row],[Gender]], Mapping[Gender _Discarded], Mapping[Gender_Correction]), PROPER(TRIM(tbl_HR_Data[[#This Row],[Gender]])))</f>
        <v>Female</v>
      </c>
      <c r="O906" t="str">
        <f>TRIM(tbl_HR_Data[[#This Row],[Position]])</f>
        <v>Manager</v>
      </c>
      <c r="P906" t="str">
        <f>IFERROR(_xlfn.XLOOKUP(tbl_HR_Data[[#This Row],[Email]], Mapping[Email_Discarded], Mapping[Email_Correction]), LOWER(TRIM(tbl_HR_Data[[#This Row],[Email]])))</f>
        <v>name@company.org</v>
      </c>
      <c r="Q90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06" t="str" cm="1">
        <f t="array" ref="R906">_xlfn.REDUCE(Q906, {"-","/","_","\","(",")"}, _xlfn.LAMBDA(_xlpm.txt,_xlpm.itm, SUBSTITUTE(_xlpm.txt, _xlpm.itm, "")))</f>
        <v>1234567890</v>
      </c>
      <c r="S906" s="3">
        <f>IFERROR(_xlfn.XLOOKUP(tbl_HR_Data[[#This Row],[Joining Date]], Mapping[Joining_Discarded], Mapping[Joining_Correction]), VALUE(tbl_HR_Data[[#This Row],[Joining Date]]))</f>
        <v>43881</v>
      </c>
      <c r="T906" t="str">
        <f>TEXT(tbl_HR_Data[[#This Row],[Joining Date]], "mmm")</f>
        <v>Feb</v>
      </c>
      <c r="U906" t="str">
        <f>TEXT(tbl_HR_Data[[#This Row],[Joining Date]], "ddd")</f>
        <v>Thu</v>
      </c>
    </row>
    <row r="907" spans="1:21" x14ac:dyDescent="0.35">
      <c r="A907" t="s">
        <v>108</v>
      </c>
      <c r="B907">
        <v>25</v>
      </c>
      <c r="C907">
        <v>65000</v>
      </c>
      <c r="D907" t="s">
        <v>11</v>
      </c>
      <c r="E907" t="s">
        <v>30</v>
      </c>
      <c r="F907" t="s">
        <v>13</v>
      </c>
      <c r="G907" s="3">
        <v>43881</v>
      </c>
      <c r="H907" t="str">
        <f>TEXT(tbl_HR_Data[[#This Row],[Joining Date]], "mmm")</f>
        <v>Feb</v>
      </c>
      <c r="I907" t="s">
        <v>92</v>
      </c>
      <c r="J907" t="s">
        <v>41</v>
      </c>
      <c r="K907" t="s">
        <v>77</v>
      </c>
      <c r="L907" t="s">
        <v>89</v>
      </c>
      <c r="M907">
        <f>IFERROR( _xlfn.XLOOKUP(TRIM(tbl_HR_Data[[#This Row],[Age]]),#REF!,#REF!), VALUE(TRIM(tbl_HR_Data[[#This Row],[Age]])))</f>
        <v>25</v>
      </c>
      <c r="N907" t="str">
        <f>IFERROR(_xlfn.XLOOKUP(tbl_HR_Data[[#This Row],[Gender]], Mapping[Gender _Discarded], Mapping[Gender_Correction]), PROPER(TRIM(tbl_HR_Data[[#This Row],[Gender]])))</f>
        <v>Male</v>
      </c>
      <c r="O907" t="str">
        <f>TRIM(tbl_HR_Data[[#This Row],[Position]])</f>
        <v>Manager</v>
      </c>
      <c r="P907" t="str">
        <f>IFERROR(_xlfn.XLOOKUP(tbl_HR_Data[[#This Row],[Email]], Mapping[Email_Discarded], Mapping[Email_Correction]), LOWER(TRIM(tbl_HR_Data[[#This Row],[Email]])))</f>
        <v>not provided</v>
      </c>
      <c r="Q90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907" t="str" cm="1">
        <f t="array" ref="R907">_xlfn.REDUCE(Q907, {"-","/","_","\","(",")"}, _xlfn.LAMBDA(_xlpm.txt,_xlpm.itm, SUBSTITUTE(_xlpm.txt, _xlpm.itm, "")))</f>
        <v>5555555555</v>
      </c>
      <c r="S907" s="3">
        <f>IFERROR(_xlfn.XLOOKUP(tbl_HR_Data[[#This Row],[Joining Date]], Mapping[Joining_Discarded], Mapping[Joining_Correction]), VALUE(tbl_HR_Data[[#This Row],[Joining Date]]))</f>
        <v>43881</v>
      </c>
      <c r="T907" t="str">
        <f>TEXT(tbl_HR_Data[[#This Row],[Joining Date]], "mmm")</f>
        <v>Feb</v>
      </c>
      <c r="U907" t="str">
        <f>TEXT(tbl_HR_Data[[#This Row],[Joining Date]], "ddd")</f>
        <v>Thu</v>
      </c>
    </row>
    <row r="908" spans="1:21" x14ac:dyDescent="0.35">
      <c r="A908" t="s">
        <v>102</v>
      </c>
      <c r="B908">
        <v>50</v>
      </c>
      <c r="C908">
        <v>60000</v>
      </c>
      <c r="D908" t="s">
        <v>36</v>
      </c>
      <c r="E908" t="s">
        <v>19</v>
      </c>
      <c r="F908" t="s">
        <v>44</v>
      </c>
      <c r="G908" s="3">
        <v>43881</v>
      </c>
      <c r="H908" t="str">
        <f>TEXT(tbl_HR_Data[[#This Row],[Joining Date]], "mmm")</f>
        <v>Feb</v>
      </c>
      <c r="I908" t="s">
        <v>92</v>
      </c>
      <c r="J908" t="s">
        <v>21</v>
      </c>
      <c r="K908" t="s">
        <v>77</v>
      </c>
      <c r="L908" t="s">
        <v>77</v>
      </c>
      <c r="M908">
        <f>IFERROR( _xlfn.XLOOKUP(TRIM(tbl_HR_Data[[#This Row],[Age]]),#REF!,#REF!), VALUE(TRIM(tbl_HR_Data[[#This Row],[Age]])))</f>
        <v>50</v>
      </c>
      <c r="N908" t="str">
        <f>IFERROR(_xlfn.XLOOKUP(tbl_HR_Data[[#This Row],[Gender]], Mapping[Gender _Discarded], Mapping[Gender_Correction]), PROPER(TRIM(tbl_HR_Data[[#This Row],[Gender]])))</f>
        <v>Other</v>
      </c>
      <c r="O908" t="str">
        <f>TRIM(tbl_HR_Data[[#This Row],[Position]])</f>
        <v>Analyst</v>
      </c>
      <c r="P908" t="str">
        <f>IFERROR(_xlfn.XLOOKUP(tbl_HR_Data[[#This Row],[Email]], Mapping[Email_Discarded], Mapping[Email_Correction]), LOWER(TRIM(tbl_HR_Data[[#This Row],[Email]])))</f>
        <v>not provided</v>
      </c>
      <c r="Q90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08" t="str" cm="1">
        <f t="array" ref="R908">_xlfn.REDUCE(Q908, {"-","/","_","\","(",")"}, _xlfn.LAMBDA(_xlpm.txt,_xlpm.itm, SUBSTITUTE(_xlpm.txt, _xlpm.itm, "")))</f>
        <v>Not Provided</v>
      </c>
      <c r="S908" s="3">
        <f>IFERROR(_xlfn.XLOOKUP(tbl_HR_Data[[#This Row],[Joining Date]], Mapping[Joining_Discarded], Mapping[Joining_Correction]), VALUE(tbl_HR_Data[[#This Row],[Joining Date]]))</f>
        <v>43881</v>
      </c>
      <c r="T908" t="str">
        <f>TEXT(tbl_HR_Data[[#This Row],[Joining Date]], "mmm")</f>
        <v>Feb</v>
      </c>
      <c r="U908" t="str">
        <f>TEXT(tbl_HR_Data[[#This Row],[Joining Date]], "ddd")</f>
        <v>Thu</v>
      </c>
    </row>
    <row r="909" spans="1:21" x14ac:dyDescent="0.35">
      <c r="A909" t="s">
        <v>103</v>
      </c>
      <c r="B909">
        <v>35</v>
      </c>
      <c r="C909">
        <v>60000</v>
      </c>
      <c r="D909" t="s">
        <v>36</v>
      </c>
      <c r="E909" t="s">
        <v>26</v>
      </c>
      <c r="F909" t="s">
        <v>44</v>
      </c>
      <c r="G909" s="3">
        <v>43881</v>
      </c>
      <c r="H909" t="str">
        <f>TEXT(tbl_HR_Data[[#This Row],[Joining Date]], "mmm")</f>
        <v>Feb</v>
      </c>
      <c r="I909" t="s">
        <v>92</v>
      </c>
      <c r="J909" t="s">
        <v>14</v>
      </c>
      <c r="K909" t="s">
        <v>15</v>
      </c>
      <c r="L909" t="s">
        <v>87</v>
      </c>
      <c r="M909">
        <f>IFERROR( _xlfn.XLOOKUP(TRIM(tbl_HR_Data[[#This Row],[Age]]),#REF!,#REF!), VALUE(TRIM(tbl_HR_Data[[#This Row],[Age]])))</f>
        <v>35</v>
      </c>
      <c r="N909" t="str">
        <f>IFERROR(_xlfn.XLOOKUP(tbl_HR_Data[[#This Row],[Gender]], Mapping[Gender _Discarded], Mapping[Gender_Correction]), PROPER(TRIM(tbl_HR_Data[[#This Row],[Gender]])))</f>
        <v>Other</v>
      </c>
      <c r="O909" t="str">
        <f>TRIM(tbl_HR_Data[[#This Row],[Position]])</f>
        <v>Analyst</v>
      </c>
      <c r="P909" t="str">
        <f>IFERROR(_xlfn.XLOOKUP(tbl_HR_Data[[#This Row],[Email]], Mapping[Email_Discarded], Mapping[Email_Correction]), LOWER(TRIM(tbl_HR_Data[[#This Row],[Email]])))</f>
        <v>email@example.com</v>
      </c>
      <c r="Q90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09" t="str" cm="1">
        <f t="array" ref="R909">_xlfn.REDUCE(Q909, {"-","/","_","\","(",")"}, _xlfn.LAMBDA(_xlpm.txt,_xlpm.itm, SUBSTITUTE(_xlpm.txt, _xlpm.itm, "")))</f>
        <v>1234567890</v>
      </c>
      <c r="S909" s="3">
        <f>IFERROR(_xlfn.XLOOKUP(tbl_HR_Data[[#This Row],[Joining Date]], Mapping[Joining_Discarded], Mapping[Joining_Correction]), VALUE(tbl_HR_Data[[#This Row],[Joining Date]]))</f>
        <v>43881</v>
      </c>
      <c r="T909" t="str">
        <f>TEXT(tbl_HR_Data[[#This Row],[Joining Date]], "mmm")</f>
        <v>Feb</v>
      </c>
      <c r="U909" t="str">
        <f>TEXT(tbl_HR_Data[[#This Row],[Joining Date]], "ddd")</f>
        <v>Thu</v>
      </c>
    </row>
    <row r="910" spans="1:21" x14ac:dyDescent="0.35">
      <c r="A910" t="s">
        <v>106</v>
      </c>
      <c r="B910">
        <v>25</v>
      </c>
      <c r="C910">
        <v>0</v>
      </c>
      <c r="D910" t="s">
        <v>11</v>
      </c>
      <c r="E910" t="s">
        <v>19</v>
      </c>
      <c r="F910" t="s">
        <v>43</v>
      </c>
      <c r="G910" s="3">
        <v>43881</v>
      </c>
      <c r="H910" t="str">
        <f>TEXT(tbl_HR_Data[[#This Row],[Joining Date]], "mmm")</f>
        <v>Feb</v>
      </c>
      <c r="I910" t="s">
        <v>92</v>
      </c>
      <c r="J910" t="s">
        <v>14</v>
      </c>
      <c r="K910" t="s">
        <v>22</v>
      </c>
      <c r="L910" t="s">
        <v>77</v>
      </c>
      <c r="M910">
        <f>IFERROR( _xlfn.XLOOKUP(TRIM(tbl_HR_Data[[#This Row],[Age]]),#REF!,#REF!), VALUE(TRIM(tbl_HR_Data[[#This Row],[Age]])))</f>
        <v>25</v>
      </c>
      <c r="N910" t="str">
        <f>IFERROR(_xlfn.XLOOKUP(tbl_HR_Data[[#This Row],[Gender]], Mapping[Gender _Discarded], Mapping[Gender_Correction]), PROPER(TRIM(tbl_HR_Data[[#This Row],[Gender]])))</f>
        <v>Male</v>
      </c>
      <c r="O910" t="str">
        <f>TRIM(tbl_HR_Data[[#This Row],[Position]])</f>
        <v>Assistant</v>
      </c>
      <c r="P910" t="str">
        <f>IFERROR(_xlfn.XLOOKUP(tbl_HR_Data[[#This Row],[Email]], Mapping[Email_Discarded], Mapping[Email_Correction]), LOWER(TRIM(tbl_HR_Data[[#This Row],[Email]])))</f>
        <v>user@domain.com</v>
      </c>
      <c r="Q91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10" t="str" cm="1">
        <f t="array" ref="R910">_xlfn.REDUCE(Q910, {"-","/","_","\","(",")"}, _xlfn.LAMBDA(_xlpm.txt,_xlpm.itm, SUBSTITUTE(_xlpm.txt, _xlpm.itm, "")))</f>
        <v>Not Provided</v>
      </c>
      <c r="S910" s="3">
        <f>IFERROR(_xlfn.XLOOKUP(tbl_HR_Data[[#This Row],[Joining Date]], Mapping[Joining_Discarded], Mapping[Joining_Correction]), VALUE(tbl_HR_Data[[#This Row],[Joining Date]]))</f>
        <v>43881</v>
      </c>
      <c r="T910" t="str">
        <f>TEXT(tbl_HR_Data[[#This Row],[Joining Date]], "mmm")</f>
        <v>Feb</v>
      </c>
      <c r="U910" t="str">
        <f>TEXT(tbl_HR_Data[[#This Row],[Joining Date]], "ddd")</f>
        <v>Thu</v>
      </c>
    </row>
    <row r="911" spans="1:21" x14ac:dyDescent="0.35">
      <c r="A911" t="s">
        <v>102</v>
      </c>
      <c r="B911">
        <v>50</v>
      </c>
      <c r="C911">
        <v>65000</v>
      </c>
      <c r="D911" t="s">
        <v>18</v>
      </c>
      <c r="E911" t="s">
        <v>30</v>
      </c>
      <c r="F911" t="s">
        <v>20</v>
      </c>
      <c r="G911" s="3">
        <v>43881</v>
      </c>
      <c r="H911" t="str">
        <f>TEXT(tbl_HR_Data[[#This Row],[Joining Date]], "mmm")</f>
        <v>Feb</v>
      </c>
      <c r="I911" t="s">
        <v>92</v>
      </c>
      <c r="J911" t="s">
        <v>31</v>
      </c>
      <c r="K911" t="s">
        <v>77</v>
      </c>
      <c r="L911" t="s">
        <v>77</v>
      </c>
      <c r="M911">
        <f>IFERROR( _xlfn.XLOOKUP(TRIM(tbl_HR_Data[[#This Row],[Age]]),#REF!,#REF!), VALUE(TRIM(tbl_HR_Data[[#This Row],[Age]])))</f>
        <v>50</v>
      </c>
      <c r="N911" t="str">
        <f>IFERROR(_xlfn.XLOOKUP(tbl_HR_Data[[#This Row],[Gender]], Mapping[Gender _Discarded], Mapping[Gender_Correction]), PROPER(TRIM(tbl_HR_Data[[#This Row],[Gender]])))</f>
        <v>Female</v>
      </c>
      <c r="O911" t="str">
        <f>TRIM(tbl_HR_Data[[#This Row],[Position]])</f>
        <v>Director</v>
      </c>
      <c r="P911" t="str">
        <f>IFERROR(_xlfn.XLOOKUP(tbl_HR_Data[[#This Row],[Email]], Mapping[Email_Discarded], Mapping[Email_Correction]), LOWER(TRIM(tbl_HR_Data[[#This Row],[Email]])))</f>
        <v>not provided</v>
      </c>
      <c r="Q91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11" t="str" cm="1">
        <f t="array" ref="R911">_xlfn.REDUCE(Q911, {"-","/","_","\","(",")"}, _xlfn.LAMBDA(_xlpm.txt,_xlpm.itm, SUBSTITUTE(_xlpm.txt, _xlpm.itm, "")))</f>
        <v>Not Provided</v>
      </c>
      <c r="S911" s="3">
        <f>IFERROR(_xlfn.XLOOKUP(tbl_HR_Data[[#This Row],[Joining Date]], Mapping[Joining_Discarded], Mapping[Joining_Correction]), VALUE(tbl_HR_Data[[#This Row],[Joining Date]]))</f>
        <v>43881</v>
      </c>
      <c r="T911" t="str">
        <f>TEXT(tbl_HR_Data[[#This Row],[Joining Date]], "mmm")</f>
        <v>Feb</v>
      </c>
      <c r="U911" t="str">
        <f>TEXT(tbl_HR_Data[[#This Row],[Joining Date]], "ddd")</f>
        <v>Thu</v>
      </c>
    </row>
    <row r="912" spans="1:21" x14ac:dyDescent="0.35">
      <c r="A912" t="s">
        <v>104</v>
      </c>
      <c r="B912">
        <v>40</v>
      </c>
      <c r="C912">
        <v>55000</v>
      </c>
      <c r="D912" t="s">
        <v>18</v>
      </c>
      <c r="E912" t="s">
        <v>19</v>
      </c>
      <c r="F912" t="s">
        <v>43</v>
      </c>
      <c r="G912" s="3">
        <v>43881</v>
      </c>
      <c r="H912" t="str">
        <f>TEXT(tbl_HR_Data[[#This Row],[Joining Date]], "mmm")</f>
        <v>Feb</v>
      </c>
      <c r="I912" t="s">
        <v>92</v>
      </c>
      <c r="J912" t="s">
        <v>27</v>
      </c>
      <c r="K912" t="s">
        <v>22</v>
      </c>
      <c r="L912" t="s">
        <v>89</v>
      </c>
      <c r="M912">
        <f>IFERROR( _xlfn.XLOOKUP(TRIM(tbl_HR_Data[[#This Row],[Age]]),#REF!,#REF!), VALUE(TRIM(tbl_HR_Data[[#This Row],[Age]])))</f>
        <v>40</v>
      </c>
      <c r="N912" t="str">
        <f>IFERROR(_xlfn.XLOOKUP(tbl_HR_Data[[#This Row],[Gender]], Mapping[Gender _Discarded], Mapping[Gender_Correction]), PROPER(TRIM(tbl_HR_Data[[#This Row],[Gender]])))</f>
        <v>Female</v>
      </c>
      <c r="O912" t="str">
        <f>TRIM(tbl_HR_Data[[#This Row],[Position]])</f>
        <v>Assistant</v>
      </c>
      <c r="P912" t="str">
        <f>IFERROR(_xlfn.XLOOKUP(tbl_HR_Data[[#This Row],[Email]], Mapping[Email_Discarded], Mapping[Email_Correction]), LOWER(TRIM(tbl_HR_Data[[#This Row],[Email]])))</f>
        <v>user@domain.com</v>
      </c>
      <c r="Q91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912" t="str" cm="1">
        <f t="array" ref="R912">_xlfn.REDUCE(Q912, {"-","/","_","\","(",")"}, _xlfn.LAMBDA(_xlpm.txt,_xlpm.itm, SUBSTITUTE(_xlpm.txt, _xlpm.itm, "")))</f>
        <v>5555555555</v>
      </c>
      <c r="S912" s="3">
        <f>IFERROR(_xlfn.XLOOKUP(tbl_HR_Data[[#This Row],[Joining Date]], Mapping[Joining_Discarded], Mapping[Joining_Correction]), VALUE(tbl_HR_Data[[#This Row],[Joining Date]]))</f>
        <v>43881</v>
      </c>
      <c r="T912" t="str">
        <f>TEXT(tbl_HR_Data[[#This Row],[Joining Date]], "mmm")</f>
        <v>Feb</v>
      </c>
      <c r="U912" t="str">
        <f>TEXT(tbl_HR_Data[[#This Row],[Joining Date]], "ddd")</f>
        <v>Thu</v>
      </c>
    </row>
    <row r="913" spans="1:21" x14ac:dyDescent="0.35">
      <c r="A913" t="s">
        <v>100</v>
      </c>
      <c r="B913">
        <v>35</v>
      </c>
      <c r="C913">
        <v>65000</v>
      </c>
      <c r="D913" t="s">
        <v>36</v>
      </c>
      <c r="E913" t="s">
        <v>12</v>
      </c>
      <c r="F913" t="s">
        <v>20</v>
      </c>
      <c r="G913" s="3">
        <v>43881</v>
      </c>
      <c r="H913" t="str">
        <f>TEXT(tbl_HR_Data[[#This Row],[Joining Date]], "mmm")</f>
        <v>Feb</v>
      </c>
      <c r="I913" t="s">
        <v>92</v>
      </c>
      <c r="J913" t="s">
        <v>27</v>
      </c>
      <c r="K913" t="s">
        <v>77</v>
      </c>
      <c r="L913" t="s">
        <v>88</v>
      </c>
      <c r="M913">
        <f>IFERROR( _xlfn.XLOOKUP(TRIM(tbl_HR_Data[[#This Row],[Age]]),#REF!,#REF!), VALUE(TRIM(tbl_HR_Data[[#This Row],[Age]])))</f>
        <v>35</v>
      </c>
      <c r="N913" t="str">
        <f>IFERROR(_xlfn.XLOOKUP(tbl_HR_Data[[#This Row],[Gender]], Mapping[Gender _Discarded], Mapping[Gender_Correction]), PROPER(TRIM(tbl_HR_Data[[#This Row],[Gender]])))</f>
        <v>Other</v>
      </c>
      <c r="O913" t="str">
        <f>TRIM(tbl_HR_Data[[#This Row],[Position]])</f>
        <v>Director</v>
      </c>
      <c r="P913" t="str">
        <f>IFERROR(_xlfn.XLOOKUP(tbl_HR_Data[[#This Row],[Email]], Mapping[Email_Discarded], Mapping[Email_Correction]), LOWER(TRIM(tbl_HR_Data[[#This Row],[Email]])))</f>
        <v>not provided</v>
      </c>
      <c r="Q91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913" t="str" cm="1">
        <f t="array" ref="R913">_xlfn.REDUCE(Q913, {"-","/","_","\","(",")"}, _xlfn.LAMBDA(_xlpm.txt,_xlpm.itm, SUBSTITUTE(_xlpm.txt, _xlpm.itm, "")))</f>
        <v>0987654321</v>
      </c>
      <c r="S913" s="3">
        <f>IFERROR(_xlfn.XLOOKUP(tbl_HR_Data[[#This Row],[Joining Date]], Mapping[Joining_Discarded], Mapping[Joining_Correction]), VALUE(tbl_HR_Data[[#This Row],[Joining Date]]))</f>
        <v>43881</v>
      </c>
      <c r="T913" t="str">
        <f>TEXT(tbl_HR_Data[[#This Row],[Joining Date]], "mmm")</f>
        <v>Feb</v>
      </c>
      <c r="U913" t="str">
        <f>TEXT(tbl_HR_Data[[#This Row],[Joining Date]], "ddd")</f>
        <v>Thu</v>
      </c>
    </row>
    <row r="914" spans="1:21" x14ac:dyDescent="0.35">
      <c r="A914" t="s">
        <v>106</v>
      </c>
      <c r="B914">
        <v>50</v>
      </c>
      <c r="C914">
        <v>60000</v>
      </c>
      <c r="D914" t="s">
        <v>36</v>
      </c>
      <c r="E914" t="s">
        <v>19</v>
      </c>
      <c r="F914" t="s">
        <v>43</v>
      </c>
      <c r="G914" s="3">
        <v>43881</v>
      </c>
      <c r="H914" t="str">
        <f>TEXT(tbl_HR_Data[[#This Row],[Joining Date]], "mmm")</f>
        <v>Feb</v>
      </c>
      <c r="I914" t="s">
        <v>92</v>
      </c>
      <c r="J914" t="s">
        <v>21</v>
      </c>
      <c r="K914" t="s">
        <v>77</v>
      </c>
      <c r="L914" t="s">
        <v>87</v>
      </c>
      <c r="M914">
        <f>IFERROR( _xlfn.XLOOKUP(TRIM(tbl_HR_Data[[#This Row],[Age]]),#REF!,#REF!), VALUE(TRIM(tbl_HR_Data[[#This Row],[Age]])))</f>
        <v>50</v>
      </c>
      <c r="N914" t="str">
        <f>IFERROR(_xlfn.XLOOKUP(tbl_HR_Data[[#This Row],[Gender]], Mapping[Gender _Discarded], Mapping[Gender_Correction]), PROPER(TRIM(tbl_HR_Data[[#This Row],[Gender]])))</f>
        <v>Other</v>
      </c>
      <c r="O914" t="str">
        <f>TRIM(tbl_HR_Data[[#This Row],[Position]])</f>
        <v>Assistant</v>
      </c>
      <c r="P914" t="str">
        <f>IFERROR(_xlfn.XLOOKUP(tbl_HR_Data[[#This Row],[Email]], Mapping[Email_Discarded], Mapping[Email_Correction]), LOWER(TRIM(tbl_HR_Data[[#This Row],[Email]])))</f>
        <v>not provided</v>
      </c>
      <c r="Q91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14" t="str" cm="1">
        <f t="array" ref="R914">_xlfn.REDUCE(Q914, {"-","/","_","\","(",")"}, _xlfn.LAMBDA(_xlpm.txt,_xlpm.itm, SUBSTITUTE(_xlpm.txt, _xlpm.itm, "")))</f>
        <v>1234567890</v>
      </c>
      <c r="S914" s="3">
        <f>IFERROR(_xlfn.XLOOKUP(tbl_HR_Data[[#This Row],[Joining Date]], Mapping[Joining_Discarded], Mapping[Joining_Correction]), VALUE(tbl_HR_Data[[#This Row],[Joining Date]]))</f>
        <v>43881</v>
      </c>
      <c r="T914" t="str">
        <f>TEXT(tbl_HR_Data[[#This Row],[Joining Date]], "mmm")</f>
        <v>Feb</v>
      </c>
      <c r="U914" t="str">
        <f>TEXT(tbl_HR_Data[[#This Row],[Joining Date]], "ddd")</f>
        <v>Thu</v>
      </c>
    </row>
    <row r="915" spans="1:21" x14ac:dyDescent="0.35">
      <c r="A915" t="s">
        <v>100</v>
      </c>
      <c r="B915">
        <v>30</v>
      </c>
      <c r="C915">
        <v>0</v>
      </c>
      <c r="D915" t="s">
        <v>18</v>
      </c>
      <c r="E915" t="s">
        <v>30</v>
      </c>
      <c r="F915" t="s">
        <v>43</v>
      </c>
      <c r="G915" s="3">
        <v>43881</v>
      </c>
      <c r="H915" t="str">
        <f>TEXT(tbl_HR_Data[[#This Row],[Joining Date]], "mmm")</f>
        <v>Feb</v>
      </c>
      <c r="I915" t="s">
        <v>92</v>
      </c>
      <c r="J915" t="s">
        <v>41</v>
      </c>
      <c r="K915" t="s">
        <v>22</v>
      </c>
      <c r="L915" t="s">
        <v>87</v>
      </c>
      <c r="M915">
        <f>IFERROR( _xlfn.XLOOKUP(TRIM(tbl_HR_Data[[#This Row],[Age]]),#REF!,#REF!), VALUE(TRIM(tbl_HR_Data[[#This Row],[Age]])))</f>
        <v>30</v>
      </c>
      <c r="N915" t="str">
        <f>IFERROR(_xlfn.XLOOKUP(tbl_HR_Data[[#This Row],[Gender]], Mapping[Gender _Discarded], Mapping[Gender_Correction]), PROPER(TRIM(tbl_HR_Data[[#This Row],[Gender]])))</f>
        <v>Female</v>
      </c>
      <c r="O915" t="str">
        <f>TRIM(tbl_HR_Data[[#This Row],[Position]])</f>
        <v>Assistant</v>
      </c>
      <c r="P915" t="str">
        <f>IFERROR(_xlfn.XLOOKUP(tbl_HR_Data[[#This Row],[Email]], Mapping[Email_Discarded], Mapping[Email_Correction]), LOWER(TRIM(tbl_HR_Data[[#This Row],[Email]])))</f>
        <v>user@domain.com</v>
      </c>
      <c r="Q91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15" t="str" cm="1">
        <f t="array" ref="R915">_xlfn.REDUCE(Q915, {"-","/","_","\","(",")"}, _xlfn.LAMBDA(_xlpm.txt,_xlpm.itm, SUBSTITUTE(_xlpm.txt, _xlpm.itm, "")))</f>
        <v>1234567890</v>
      </c>
      <c r="S915" s="3">
        <f>IFERROR(_xlfn.XLOOKUP(tbl_HR_Data[[#This Row],[Joining Date]], Mapping[Joining_Discarded], Mapping[Joining_Correction]), VALUE(tbl_HR_Data[[#This Row],[Joining Date]]))</f>
        <v>43881</v>
      </c>
      <c r="T915" t="str">
        <f>TEXT(tbl_HR_Data[[#This Row],[Joining Date]], "mmm")</f>
        <v>Feb</v>
      </c>
      <c r="U915" t="str">
        <f>TEXT(tbl_HR_Data[[#This Row],[Joining Date]], "ddd")</f>
        <v>Thu</v>
      </c>
    </row>
    <row r="916" spans="1:21" x14ac:dyDescent="0.35">
      <c r="A916" t="s">
        <v>102</v>
      </c>
      <c r="B916">
        <v>50</v>
      </c>
      <c r="C916">
        <v>55000</v>
      </c>
      <c r="D916" t="s">
        <v>36</v>
      </c>
      <c r="E916" t="s">
        <v>19</v>
      </c>
      <c r="F916" t="s">
        <v>20</v>
      </c>
      <c r="G916" s="3">
        <v>43881</v>
      </c>
      <c r="H916" t="str">
        <f>TEXT(tbl_HR_Data[[#This Row],[Joining Date]], "mmm")</f>
        <v>Feb</v>
      </c>
      <c r="I916" t="s">
        <v>92</v>
      </c>
      <c r="J916" t="s">
        <v>21</v>
      </c>
      <c r="K916" t="s">
        <v>15</v>
      </c>
      <c r="L916" t="s">
        <v>88</v>
      </c>
      <c r="M916">
        <f>IFERROR( _xlfn.XLOOKUP(TRIM(tbl_HR_Data[[#This Row],[Age]]),#REF!,#REF!), VALUE(TRIM(tbl_HR_Data[[#This Row],[Age]])))</f>
        <v>50</v>
      </c>
      <c r="N916" t="str">
        <f>IFERROR(_xlfn.XLOOKUP(tbl_HR_Data[[#This Row],[Gender]], Mapping[Gender _Discarded], Mapping[Gender_Correction]), PROPER(TRIM(tbl_HR_Data[[#This Row],[Gender]])))</f>
        <v>Other</v>
      </c>
      <c r="O916" t="str">
        <f>TRIM(tbl_HR_Data[[#This Row],[Position]])</f>
        <v>Director</v>
      </c>
      <c r="P916" t="str">
        <f>IFERROR(_xlfn.XLOOKUP(tbl_HR_Data[[#This Row],[Email]], Mapping[Email_Discarded], Mapping[Email_Correction]), LOWER(TRIM(tbl_HR_Data[[#This Row],[Email]])))</f>
        <v>email@example.com</v>
      </c>
      <c r="Q91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916" t="str" cm="1">
        <f t="array" ref="R916">_xlfn.REDUCE(Q916, {"-","/","_","\","(",")"}, _xlfn.LAMBDA(_xlpm.txt,_xlpm.itm, SUBSTITUTE(_xlpm.txt, _xlpm.itm, "")))</f>
        <v>0987654321</v>
      </c>
      <c r="S916" s="3">
        <f>IFERROR(_xlfn.XLOOKUP(tbl_HR_Data[[#This Row],[Joining Date]], Mapping[Joining_Discarded], Mapping[Joining_Correction]), VALUE(tbl_HR_Data[[#This Row],[Joining Date]]))</f>
        <v>43881</v>
      </c>
      <c r="T916" t="str">
        <f>TEXT(tbl_HR_Data[[#This Row],[Joining Date]], "mmm")</f>
        <v>Feb</v>
      </c>
      <c r="U916" t="str">
        <f>TEXT(tbl_HR_Data[[#This Row],[Joining Date]], "ddd")</f>
        <v>Thu</v>
      </c>
    </row>
    <row r="917" spans="1:21" x14ac:dyDescent="0.35">
      <c r="A917" t="s">
        <v>102</v>
      </c>
      <c r="B917">
        <v>25</v>
      </c>
      <c r="C917">
        <v>55000</v>
      </c>
      <c r="D917" t="s">
        <v>36</v>
      </c>
      <c r="E917" t="s">
        <v>19</v>
      </c>
      <c r="F917" t="s">
        <v>39</v>
      </c>
      <c r="G917" s="3">
        <v>43881</v>
      </c>
      <c r="H917" t="str">
        <f>TEXT(tbl_HR_Data[[#This Row],[Joining Date]], "mmm")</f>
        <v>Feb</v>
      </c>
      <c r="I917" t="s">
        <v>92</v>
      </c>
      <c r="J917" t="s">
        <v>31</v>
      </c>
      <c r="K917" t="s">
        <v>15</v>
      </c>
      <c r="L917" t="s">
        <v>89</v>
      </c>
      <c r="M917">
        <f>IFERROR( _xlfn.XLOOKUP(TRIM(tbl_HR_Data[[#This Row],[Age]]),#REF!,#REF!), VALUE(TRIM(tbl_HR_Data[[#This Row],[Age]])))</f>
        <v>25</v>
      </c>
      <c r="N917" t="str">
        <f>IFERROR(_xlfn.XLOOKUP(tbl_HR_Data[[#This Row],[Gender]], Mapping[Gender _Discarded], Mapping[Gender_Correction]), PROPER(TRIM(tbl_HR_Data[[#This Row],[Gender]])))</f>
        <v>Other</v>
      </c>
      <c r="O917" t="str">
        <f>TRIM(tbl_HR_Data[[#This Row],[Position]])</f>
        <v>Clerk</v>
      </c>
      <c r="P917" t="str">
        <f>IFERROR(_xlfn.XLOOKUP(tbl_HR_Data[[#This Row],[Email]], Mapping[Email_Discarded], Mapping[Email_Correction]), LOWER(TRIM(tbl_HR_Data[[#This Row],[Email]])))</f>
        <v>email@example.com</v>
      </c>
      <c r="Q91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917" t="str" cm="1">
        <f t="array" ref="R917">_xlfn.REDUCE(Q917, {"-","/","_","\","(",")"}, _xlfn.LAMBDA(_xlpm.txt,_xlpm.itm, SUBSTITUTE(_xlpm.txt, _xlpm.itm, "")))</f>
        <v>5555555555</v>
      </c>
      <c r="S917" s="3">
        <f>IFERROR(_xlfn.XLOOKUP(tbl_HR_Data[[#This Row],[Joining Date]], Mapping[Joining_Discarded], Mapping[Joining_Correction]), VALUE(tbl_HR_Data[[#This Row],[Joining Date]]))</f>
        <v>43881</v>
      </c>
      <c r="T917" t="str">
        <f>TEXT(tbl_HR_Data[[#This Row],[Joining Date]], "mmm")</f>
        <v>Feb</v>
      </c>
      <c r="U917" t="str">
        <f>TEXT(tbl_HR_Data[[#This Row],[Joining Date]], "ddd")</f>
        <v>Thu</v>
      </c>
    </row>
    <row r="918" spans="1:21" x14ac:dyDescent="0.35">
      <c r="A918" t="s">
        <v>103</v>
      </c>
      <c r="B918">
        <v>30</v>
      </c>
      <c r="C918">
        <v>0</v>
      </c>
      <c r="D918" t="s">
        <v>18</v>
      </c>
      <c r="E918" t="s">
        <v>19</v>
      </c>
      <c r="F918" t="s">
        <v>39</v>
      </c>
      <c r="G918" s="3">
        <v>43881</v>
      </c>
      <c r="H918" t="str">
        <f>TEXT(tbl_HR_Data[[#This Row],[Joining Date]], "mmm")</f>
        <v>Feb</v>
      </c>
      <c r="I918" t="s">
        <v>92</v>
      </c>
      <c r="J918" t="s">
        <v>41</v>
      </c>
      <c r="K918" t="s">
        <v>15</v>
      </c>
      <c r="L918" t="s">
        <v>77</v>
      </c>
      <c r="M918">
        <f>IFERROR( _xlfn.XLOOKUP(TRIM(tbl_HR_Data[[#This Row],[Age]]),#REF!,#REF!), VALUE(TRIM(tbl_HR_Data[[#This Row],[Age]])))</f>
        <v>30</v>
      </c>
      <c r="N918" t="str">
        <f>IFERROR(_xlfn.XLOOKUP(tbl_HR_Data[[#This Row],[Gender]], Mapping[Gender _Discarded], Mapping[Gender_Correction]), PROPER(TRIM(tbl_HR_Data[[#This Row],[Gender]])))</f>
        <v>Female</v>
      </c>
      <c r="O918" t="str">
        <f>TRIM(tbl_HR_Data[[#This Row],[Position]])</f>
        <v>Clerk</v>
      </c>
      <c r="P918" t="str">
        <f>IFERROR(_xlfn.XLOOKUP(tbl_HR_Data[[#This Row],[Email]], Mapping[Email_Discarded], Mapping[Email_Correction]), LOWER(TRIM(tbl_HR_Data[[#This Row],[Email]])))</f>
        <v>email@example.com</v>
      </c>
      <c r="Q91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18" t="str" cm="1">
        <f t="array" ref="R918">_xlfn.REDUCE(Q918, {"-","/","_","\","(",")"}, _xlfn.LAMBDA(_xlpm.txt,_xlpm.itm, SUBSTITUTE(_xlpm.txt, _xlpm.itm, "")))</f>
        <v>Not Provided</v>
      </c>
      <c r="S918" s="3">
        <f>IFERROR(_xlfn.XLOOKUP(tbl_HR_Data[[#This Row],[Joining Date]], Mapping[Joining_Discarded], Mapping[Joining_Correction]), VALUE(tbl_HR_Data[[#This Row],[Joining Date]]))</f>
        <v>43881</v>
      </c>
      <c r="T918" t="str">
        <f>TEXT(tbl_HR_Data[[#This Row],[Joining Date]], "mmm")</f>
        <v>Feb</v>
      </c>
      <c r="U918" t="str">
        <f>TEXT(tbl_HR_Data[[#This Row],[Joining Date]], "ddd")</f>
        <v>Thu</v>
      </c>
    </row>
    <row r="919" spans="1:21" x14ac:dyDescent="0.35">
      <c r="A919" t="s">
        <v>108</v>
      </c>
      <c r="B919">
        <v>0</v>
      </c>
      <c r="C919">
        <v>50000</v>
      </c>
      <c r="D919" t="s">
        <v>36</v>
      </c>
      <c r="E919" t="s">
        <v>30</v>
      </c>
      <c r="F919" t="s">
        <v>13</v>
      </c>
      <c r="G919" s="3">
        <v>43881</v>
      </c>
      <c r="H919" t="str">
        <f>TEXT(tbl_HR_Data[[#This Row],[Joining Date]], "mmm")</f>
        <v>Feb</v>
      </c>
      <c r="I919" t="s">
        <v>92</v>
      </c>
      <c r="J919" t="s">
        <v>14</v>
      </c>
      <c r="K919" t="s">
        <v>15</v>
      </c>
      <c r="L919" t="s">
        <v>77</v>
      </c>
      <c r="M919">
        <f>IFERROR( _xlfn.XLOOKUP(TRIM(tbl_HR_Data[[#This Row],[Age]]),#REF!,#REF!), VALUE(TRIM(tbl_HR_Data[[#This Row],[Age]])))</f>
        <v>0</v>
      </c>
      <c r="N919" t="str">
        <f>IFERROR(_xlfn.XLOOKUP(tbl_HR_Data[[#This Row],[Gender]], Mapping[Gender _Discarded], Mapping[Gender_Correction]), PROPER(TRIM(tbl_HR_Data[[#This Row],[Gender]])))</f>
        <v>Other</v>
      </c>
      <c r="O919" t="str">
        <f>TRIM(tbl_HR_Data[[#This Row],[Position]])</f>
        <v>Manager</v>
      </c>
      <c r="P919" t="str">
        <f>IFERROR(_xlfn.XLOOKUP(tbl_HR_Data[[#This Row],[Email]], Mapping[Email_Discarded], Mapping[Email_Correction]), LOWER(TRIM(tbl_HR_Data[[#This Row],[Email]])))</f>
        <v>email@example.com</v>
      </c>
      <c r="Q91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19" t="str" cm="1">
        <f t="array" ref="R919">_xlfn.REDUCE(Q919, {"-","/","_","\","(",")"}, _xlfn.LAMBDA(_xlpm.txt,_xlpm.itm, SUBSTITUTE(_xlpm.txt, _xlpm.itm, "")))</f>
        <v>Not Provided</v>
      </c>
      <c r="S919" s="3">
        <f>IFERROR(_xlfn.XLOOKUP(tbl_HR_Data[[#This Row],[Joining Date]], Mapping[Joining_Discarded], Mapping[Joining_Correction]), VALUE(tbl_HR_Data[[#This Row],[Joining Date]]))</f>
        <v>43881</v>
      </c>
      <c r="T919" t="str">
        <f>TEXT(tbl_HR_Data[[#This Row],[Joining Date]], "mmm")</f>
        <v>Feb</v>
      </c>
      <c r="U919" t="str">
        <f>TEXT(tbl_HR_Data[[#This Row],[Joining Date]], "ddd")</f>
        <v>Thu</v>
      </c>
    </row>
    <row r="920" spans="1:21" x14ac:dyDescent="0.35">
      <c r="A920" t="s">
        <v>106</v>
      </c>
      <c r="B920">
        <v>40</v>
      </c>
      <c r="C920">
        <v>70000</v>
      </c>
      <c r="D920" t="s">
        <v>18</v>
      </c>
      <c r="E920" t="s">
        <v>19</v>
      </c>
      <c r="F920" t="s">
        <v>39</v>
      </c>
      <c r="G920" s="3">
        <v>43881</v>
      </c>
      <c r="H920" t="str">
        <f>TEXT(tbl_HR_Data[[#This Row],[Joining Date]], "mmm")</f>
        <v>Feb</v>
      </c>
      <c r="I920" t="s">
        <v>92</v>
      </c>
      <c r="J920" t="s">
        <v>31</v>
      </c>
      <c r="K920" t="s">
        <v>22</v>
      </c>
      <c r="L920" t="s">
        <v>88</v>
      </c>
      <c r="M920">
        <f>IFERROR( _xlfn.XLOOKUP(TRIM(tbl_HR_Data[[#This Row],[Age]]),#REF!,#REF!), VALUE(TRIM(tbl_HR_Data[[#This Row],[Age]])))</f>
        <v>40</v>
      </c>
      <c r="N920" t="str">
        <f>IFERROR(_xlfn.XLOOKUP(tbl_HR_Data[[#This Row],[Gender]], Mapping[Gender _Discarded], Mapping[Gender_Correction]), PROPER(TRIM(tbl_HR_Data[[#This Row],[Gender]])))</f>
        <v>Female</v>
      </c>
      <c r="O920" t="str">
        <f>TRIM(tbl_HR_Data[[#This Row],[Position]])</f>
        <v>Clerk</v>
      </c>
      <c r="P920" t="str">
        <f>IFERROR(_xlfn.XLOOKUP(tbl_HR_Data[[#This Row],[Email]], Mapping[Email_Discarded], Mapping[Email_Correction]), LOWER(TRIM(tbl_HR_Data[[#This Row],[Email]])))</f>
        <v>user@domain.com</v>
      </c>
      <c r="Q92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920" t="str" cm="1">
        <f t="array" ref="R920">_xlfn.REDUCE(Q920, {"-","/","_","\","(",")"}, _xlfn.LAMBDA(_xlpm.txt,_xlpm.itm, SUBSTITUTE(_xlpm.txt, _xlpm.itm, "")))</f>
        <v>0987654321</v>
      </c>
      <c r="S920" s="3">
        <f>IFERROR(_xlfn.XLOOKUP(tbl_HR_Data[[#This Row],[Joining Date]], Mapping[Joining_Discarded], Mapping[Joining_Correction]), VALUE(tbl_HR_Data[[#This Row],[Joining Date]]))</f>
        <v>43881</v>
      </c>
      <c r="T920" t="str">
        <f>TEXT(tbl_HR_Data[[#This Row],[Joining Date]], "mmm")</f>
        <v>Feb</v>
      </c>
      <c r="U920" t="str">
        <f>TEXT(tbl_HR_Data[[#This Row],[Joining Date]], "ddd")</f>
        <v>Thu</v>
      </c>
    </row>
    <row r="921" spans="1:21" x14ac:dyDescent="0.35">
      <c r="A921" t="s">
        <v>99</v>
      </c>
      <c r="B921">
        <v>25</v>
      </c>
      <c r="C921">
        <v>55000</v>
      </c>
      <c r="D921" t="s">
        <v>18</v>
      </c>
      <c r="E921" t="s">
        <v>26</v>
      </c>
      <c r="F921" t="s">
        <v>13</v>
      </c>
      <c r="G921" s="3">
        <v>43881</v>
      </c>
      <c r="H921" t="str">
        <f>TEXT(tbl_HR_Data[[#This Row],[Joining Date]], "mmm")</f>
        <v>Feb</v>
      </c>
      <c r="I921" t="s">
        <v>92</v>
      </c>
      <c r="J921" t="s">
        <v>31</v>
      </c>
      <c r="K921" t="s">
        <v>77</v>
      </c>
      <c r="L921" t="s">
        <v>87</v>
      </c>
      <c r="M921">
        <f>IFERROR( _xlfn.XLOOKUP(TRIM(tbl_HR_Data[[#This Row],[Age]]),#REF!,#REF!), VALUE(TRIM(tbl_HR_Data[[#This Row],[Age]])))</f>
        <v>25</v>
      </c>
      <c r="N921" t="str">
        <f>IFERROR(_xlfn.XLOOKUP(tbl_HR_Data[[#This Row],[Gender]], Mapping[Gender _Discarded], Mapping[Gender_Correction]), PROPER(TRIM(tbl_HR_Data[[#This Row],[Gender]])))</f>
        <v>Female</v>
      </c>
      <c r="O921" t="str">
        <f>TRIM(tbl_HR_Data[[#This Row],[Position]])</f>
        <v>Manager</v>
      </c>
      <c r="P921" t="str">
        <f>IFERROR(_xlfn.XLOOKUP(tbl_HR_Data[[#This Row],[Email]], Mapping[Email_Discarded], Mapping[Email_Correction]), LOWER(TRIM(tbl_HR_Data[[#This Row],[Email]])))</f>
        <v>not provided</v>
      </c>
      <c r="Q92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21" t="str" cm="1">
        <f t="array" ref="R921">_xlfn.REDUCE(Q921, {"-","/","_","\","(",")"}, _xlfn.LAMBDA(_xlpm.txt,_xlpm.itm, SUBSTITUTE(_xlpm.txt, _xlpm.itm, "")))</f>
        <v>1234567890</v>
      </c>
      <c r="S921" s="3">
        <f>IFERROR(_xlfn.XLOOKUP(tbl_HR_Data[[#This Row],[Joining Date]], Mapping[Joining_Discarded], Mapping[Joining_Correction]), VALUE(tbl_HR_Data[[#This Row],[Joining Date]]))</f>
        <v>43881</v>
      </c>
      <c r="T921" t="str">
        <f>TEXT(tbl_HR_Data[[#This Row],[Joining Date]], "mmm")</f>
        <v>Feb</v>
      </c>
      <c r="U921" t="str">
        <f>TEXT(tbl_HR_Data[[#This Row],[Joining Date]], "ddd")</f>
        <v>Thu</v>
      </c>
    </row>
    <row r="922" spans="1:21" x14ac:dyDescent="0.35">
      <c r="A922" t="s">
        <v>100</v>
      </c>
      <c r="B922">
        <v>50</v>
      </c>
      <c r="C922">
        <v>70000</v>
      </c>
      <c r="D922" t="s">
        <v>11</v>
      </c>
      <c r="E922" t="s">
        <v>37</v>
      </c>
      <c r="F922" t="s">
        <v>20</v>
      </c>
      <c r="G922" s="3">
        <v>43881</v>
      </c>
      <c r="H922" t="str">
        <f>TEXT(tbl_HR_Data[[#This Row],[Joining Date]], "mmm")</f>
        <v>Feb</v>
      </c>
      <c r="I922" t="s">
        <v>92</v>
      </c>
      <c r="J922" t="s">
        <v>27</v>
      </c>
      <c r="K922" t="s">
        <v>77</v>
      </c>
      <c r="L922" t="s">
        <v>89</v>
      </c>
      <c r="M922">
        <f>IFERROR( _xlfn.XLOOKUP(TRIM(tbl_HR_Data[[#This Row],[Age]]),#REF!,#REF!), VALUE(TRIM(tbl_HR_Data[[#This Row],[Age]])))</f>
        <v>50</v>
      </c>
      <c r="N922" t="str">
        <f>IFERROR(_xlfn.XLOOKUP(tbl_HR_Data[[#This Row],[Gender]], Mapping[Gender _Discarded], Mapping[Gender_Correction]), PROPER(TRIM(tbl_HR_Data[[#This Row],[Gender]])))</f>
        <v>Male</v>
      </c>
      <c r="O922" t="str">
        <f>TRIM(tbl_HR_Data[[#This Row],[Position]])</f>
        <v>Director</v>
      </c>
      <c r="P922" t="str">
        <f>IFERROR(_xlfn.XLOOKUP(tbl_HR_Data[[#This Row],[Email]], Mapping[Email_Discarded], Mapping[Email_Correction]), LOWER(TRIM(tbl_HR_Data[[#This Row],[Email]])))</f>
        <v>not provided</v>
      </c>
      <c r="Q92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922" t="str" cm="1">
        <f t="array" ref="R922">_xlfn.REDUCE(Q922, {"-","/","_","\","(",")"}, _xlfn.LAMBDA(_xlpm.txt,_xlpm.itm, SUBSTITUTE(_xlpm.txt, _xlpm.itm, "")))</f>
        <v>5555555555</v>
      </c>
      <c r="S922" s="3">
        <f>IFERROR(_xlfn.XLOOKUP(tbl_HR_Data[[#This Row],[Joining Date]], Mapping[Joining_Discarded], Mapping[Joining_Correction]), VALUE(tbl_HR_Data[[#This Row],[Joining Date]]))</f>
        <v>43881</v>
      </c>
      <c r="T922" t="str">
        <f>TEXT(tbl_HR_Data[[#This Row],[Joining Date]], "mmm")</f>
        <v>Feb</v>
      </c>
      <c r="U922" t="str">
        <f>TEXT(tbl_HR_Data[[#This Row],[Joining Date]], "ddd")</f>
        <v>Thu</v>
      </c>
    </row>
    <row r="923" spans="1:21" x14ac:dyDescent="0.35">
      <c r="A923" t="s">
        <v>106</v>
      </c>
      <c r="B923">
        <v>0</v>
      </c>
      <c r="C923">
        <v>0</v>
      </c>
      <c r="D923" t="s">
        <v>36</v>
      </c>
      <c r="E923" t="s">
        <v>26</v>
      </c>
      <c r="F923" t="s">
        <v>13</v>
      </c>
      <c r="G923" s="3">
        <v>43881</v>
      </c>
      <c r="H923" t="str">
        <f>TEXT(tbl_HR_Data[[#This Row],[Joining Date]], "mmm")</f>
        <v>Feb</v>
      </c>
      <c r="I923" t="s">
        <v>92</v>
      </c>
      <c r="J923" t="s">
        <v>14</v>
      </c>
      <c r="K923" t="s">
        <v>32</v>
      </c>
      <c r="L923" t="s">
        <v>89</v>
      </c>
      <c r="M923">
        <f>IFERROR( _xlfn.XLOOKUP(TRIM(tbl_HR_Data[[#This Row],[Age]]),#REF!,#REF!), VALUE(TRIM(tbl_HR_Data[[#This Row],[Age]])))</f>
        <v>0</v>
      </c>
      <c r="N923" t="str">
        <f>IFERROR(_xlfn.XLOOKUP(tbl_HR_Data[[#This Row],[Gender]], Mapping[Gender _Discarded], Mapping[Gender_Correction]), PROPER(TRIM(tbl_HR_Data[[#This Row],[Gender]])))</f>
        <v>Other</v>
      </c>
      <c r="O923" t="str">
        <f>TRIM(tbl_HR_Data[[#This Row],[Position]])</f>
        <v>Manager</v>
      </c>
      <c r="P923" t="str">
        <f>IFERROR(_xlfn.XLOOKUP(tbl_HR_Data[[#This Row],[Email]], Mapping[Email_Discarded], Mapping[Email_Correction]), LOWER(TRIM(tbl_HR_Data[[#This Row],[Email]])))</f>
        <v>name@company.org</v>
      </c>
      <c r="Q92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923" t="str" cm="1">
        <f t="array" ref="R923">_xlfn.REDUCE(Q923, {"-","/","_","\","(",")"}, _xlfn.LAMBDA(_xlpm.txt,_xlpm.itm, SUBSTITUTE(_xlpm.txt, _xlpm.itm, "")))</f>
        <v>5555555555</v>
      </c>
      <c r="S923" s="3">
        <f>IFERROR(_xlfn.XLOOKUP(tbl_HR_Data[[#This Row],[Joining Date]], Mapping[Joining_Discarded], Mapping[Joining_Correction]), VALUE(tbl_HR_Data[[#This Row],[Joining Date]]))</f>
        <v>43881</v>
      </c>
      <c r="T923" t="str">
        <f>TEXT(tbl_HR_Data[[#This Row],[Joining Date]], "mmm")</f>
        <v>Feb</v>
      </c>
      <c r="U923" t="str">
        <f>TEXT(tbl_HR_Data[[#This Row],[Joining Date]], "ddd")</f>
        <v>Thu</v>
      </c>
    </row>
    <row r="924" spans="1:21" x14ac:dyDescent="0.35">
      <c r="A924" t="s">
        <v>108</v>
      </c>
      <c r="B924">
        <v>25</v>
      </c>
      <c r="C924">
        <v>0</v>
      </c>
      <c r="D924" t="s">
        <v>36</v>
      </c>
      <c r="E924" t="s">
        <v>12</v>
      </c>
      <c r="F924" t="s">
        <v>39</v>
      </c>
      <c r="G924" s="3">
        <v>43881</v>
      </c>
      <c r="H924" t="str">
        <f>TEXT(tbl_HR_Data[[#This Row],[Joining Date]], "mmm")</f>
        <v>Feb</v>
      </c>
      <c r="I924" t="s">
        <v>92</v>
      </c>
      <c r="J924" t="s">
        <v>21</v>
      </c>
      <c r="K924" t="s">
        <v>77</v>
      </c>
      <c r="L924" t="s">
        <v>87</v>
      </c>
      <c r="M924">
        <f>IFERROR( _xlfn.XLOOKUP(TRIM(tbl_HR_Data[[#This Row],[Age]]),#REF!,#REF!), VALUE(TRIM(tbl_HR_Data[[#This Row],[Age]])))</f>
        <v>25</v>
      </c>
      <c r="N924" t="str">
        <f>IFERROR(_xlfn.XLOOKUP(tbl_HR_Data[[#This Row],[Gender]], Mapping[Gender _Discarded], Mapping[Gender_Correction]), PROPER(TRIM(tbl_HR_Data[[#This Row],[Gender]])))</f>
        <v>Other</v>
      </c>
      <c r="O924" t="str">
        <f>TRIM(tbl_HR_Data[[#This Row],[Position]])</f>
        <v>Clerk</v>
      </c>
      <c r="P924" t="str">
        <f>IFERROR(_xlfn.XLOOKUP(tbl_HR_Data[[#This Row],[Email]], Mapping[Email_Discarded], Mapping[Email_Correction]), LOWER(TRIM(tbl_HR_Data[[#This Row],[Email]])))</f>
        <v>not provided</v>
      </c>
      <c r="Q92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24" t="str" cm="1">
        <f t="array" ref="R924">_xlfn.REDUCE(Q924, {"-","/","_","\","(",")"}, _xlfn.LAMBDA(_xlpm.txt,_xlpm.itm, SUBSTITUTE(_xlpm.txt, _xlpm.itm, "")))</f>
        <v>1234567890</v>
      </c>
      <c r="S924" s="3">
        <f>IFERROR(_xlfn.XLOOKUP(tbl_HR_Data[[#This Row],[Joining Date]], Mapping[Joining_Discarded], Mapping[Joining_Correction]), VALUE(tbl_HR_Data[[#This Row],[Joining Date]]))</f>
        <v>43881</v>
      </c>
      <c r="T924" t="str">
        <f>TEXT(tbl_HR_Data[[#This Row],[Joining Date]], "mmm")</f>
        <v>Feb</v>
      </c>
      <c r="U924" t="str">
        <f>TEXT(tbl_HR_Data[[#This Row],[Joining Date]], "ddd")</f>
        <v>Thu</v>
      </c>
    </row>
    <row r="925" spans="1:21" x14ac:dyDescent="0.35">
      <c r="A925" t="s">
        <v>105</v>
      </c>
      <c r="B925">
        <v>50</v>
      </c>
      <c r="C925">
        <v>0</v>
      </c>
      <c r="D925" t="s">
        <v>36</v>
      </c>
      <c r="E925" t="s">
        <v>26</v>
      </c>
      <c r="F925" t="s">
        <v>20</v>
      </c>
      <c r="G925" s="3">
        <v>43881</v>
      </c>
      <c r="H925" t="str">
        <f>TEXT(tbl_HR_Data[[#This Row],[Joining Date]], "mmm")</f>
        <v>Feb</v>
      </c>
      <c r="I925" t="s">
        <v>92</v>
      </c>
      <c r="J925" t="s">
        <v>41</v>
      </c>
      <c r="K925" t="s">
        <v>77</v>
      </c>
      <c r="L925" t="s">
        <v>77</v>
      </c>
      <c r="M925">
        <f>IFERROR( _xlfn.XLOOKUP(TRIM(tbl_HR_Data[[#This Row],[Age]]),#REF!,#REF!), VALUE(TRIM(tbl_HR_Data[[#This Row],[Age]])))</f>
        <v>50</v>
      </c>
      <c r="N925" t="str">
        <f>IFERROR(_xlfn.XLOOKUP(tbl_HR_Data[[#This Row],[Gender]], Mapping[Gender _Discarded], Mapping[Gender_Correction]), PROPER(TRIM(tbl_HR_Data[[#This Row],[Gender]])))</f>
        <v>Other</v>
      </c>
      <c r="O925" t="str">
        <f>TRIM(tbl_HR_Data[[#This Row],[Position]])</f>
        <v>Director</v>
      </c>
      <c r="P925" t="str">
        <f>IFERROR(_xlfn.XLOOKUP(tbl_HR_Data[[#This Row],[Email]], Mapping[Email_Discarded], Mapping[Email_Correction]), LOWER(TRIM(tbl_HR_Data[[#This Row],[Email]])))</f>
        <v>not provided</v>
      </c>
      <c r="Q92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25" t="str" cm="1">
        <f t="array" ref="R925">_xlfn.REDUCE(Q925, {"-","/","_","\","(",")"}, _xlfn.LAMBDA(_xlpm.txt,_xlpm.itm, SUBSTITUTE(_xlpm.txt, _xlpm.itm, "")))</f>
        <v>Not Provided</v>
      </c>
      <c r="S925" s="3">
        <f>IFERROR(_xlfn.XLOOKUP(tbl_HR_Data[[#This Row],[Joining Date]], Mapping[Joining_Discarded], Mapping[Joining_Correction]), VALUE(tbl_HR_Data[[#This Row],[Joining Date]]))</f>
        <v>43881</v>
      </c>
      <c r="T925" t="str">
        <f>TEXT(tbl_HR_Data[[#This Row],[Joining Date]], "mmm")</f>
        <v>Feb</v>
      </c>
      <c r="U925" t="str">
        <f>TEXT(tbl_HR_Data[[#This Row],[Joining Date]], "ddd")</f>
        <v>Thu</v>
      </c>
    </row>
    <row r="926" spans="1:21" x14ac:dyDescent="0.35">
      <c r="A926" t="s">
        <v>106</v>
      </c>
      <c r="B926">
        <v>30</v>
      </c>
      <c r="C926">
        <v>0</v>
      </c>
      <c r="D926" t="s">
        <v>18</v>
      </c>
      <c r="E926" t="s">
        <v>19</v>
      </c>
      <c r="F926" t="s">
        <v>39</v>
      </c>
      <c r="G926" s="3">
        <v>43881</v>
      </c>
      <c r="H926" t="str">
        <f>TEXT(tbl_HR_Data[[#This Row],[Joining Date]], "mmm")</f>
        <v>Feb</v>
      </c>
      <c r="I926" t="s">
        <v>92</v>
      </c>
      <c r="J926" t="s">
        <v>31</v>
      </c>
      <c r="K926" t="s">
        <v>22</v>
      </c>
      <c r="L926" t="s">
        <v>77</v>
      </c>
      <c r="M926">
        <f>IFERROR( _xlfn.XLOOKUP(TRIM(tbl_HR_Data[[#This Row],[Age]]),#REF!,#REF!), VALUE(TRIM(tbl_HR_Data[[#This Row],[Age]])))</f>
        <v>30</v>
      </c>
      <c r="N926" t="str">
        <f>IFERROR(_xlfn.XLOOKUP(tbl_HR_Data[[#This Row],[Gender]], Mapping[Gender _Discarded], Mapping[Gender_Correction]), PROPER(TRIM(tbl_HR_Data[[#This Row],[Gender]])))</f>
        <v>Female</v>
      </c>
      <c r="O926" t="str">
        <f>TRIM(tbl_HR_Data[[#This Row],[Position]])</f>
        <v>Clerk</v>
      </c>
      <c r="P926" t="str">
        <f>IFERROR(_xlfn.XLOOKUP(tbl_HR_Data[[#This Row],[Email]], Mapping[Email_Discarded], Mapping[Email_Correction]), LOWER(TRIM(tbl_HR_Data[[#This Row],[Email]])))</f>
        <v>user@domain.com</v>
      </c>
      <c r="Q92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26" t="str" cm="1">
        <f t="array" ref="R926">_xlfn.REDUCE(Q926, {"-","/","_","\","(",")"}, _xlfn.LAMBDA(_xlpm.txt,_xlpm.itm, SUBSTITUTE(_xlpm.txt, _xlpm.itm, "")))</f>
        <v>Not Provided</v>
      </c>
      <c r="S926" s="3">
        <f>IFERROR(_xlfn.XLOOKUP(tbl_HR_Data[[#This Row],[Joining Date]], Mapping[Joining_Discarded], Mapping[Joining_Correction]), VALUE(tbl_HR_Data[[#This Row],[Joining Date]]))</f>
        <v>43881</v>
      </c>
      <c r="T926" t="str">
        <f>TEXT(tbl_HR_Data[[#This Row],[Joining Date]], "mmm")</f>
        <v>Feb</v>
      </c>
      <c r="U926" t="str">
        <f>TEXT(tbl_HR_Data[[#This Row],[Joining Date]], "ddd")</f>
        <v>Thu</v>
      </c>
    </row>
    <row r="927" spans="1:21" x14ac:dyDescent="0.35">
      <c r="A927" t="s">
        <v>102</v>
      </c>
      <c r="B927">
        <v>35</v>
      </c>
      <c r="C927">
        <v>65000</v>
      </c>
      <c r="D927" t="s">
        <v>18</v>
      </c>
      <c r="E927" t="s">
        <v>37</v>
      </c>
      <c r="F927" t="s">
        <v>13</v>
      </c>
      <c r="G927" s="3">
        <v>43881</v>
      </c>
      <c r="H927" t="str">
        <f>TEXT(tbl_HR_Data[[#This Row],[Joining Date]], "mmm")</f>
        <v>Feb</v>
      </c>
      <c r="I927" t="s">
        <v>92</v>
      </c>
      <c r="J927" t="s">
        <v>21</v>
      </c>
      <c r="K927" t="s">
        <v>77</v>
      </c>
      <c r="L927" t="s">
        <v>89</v>
      </c>
      <c r="M927">
        <f>IFERROR( _xlfn.XLOOKUP(TRIM(tbl_HR_Data[[#This Row],[Age]]),#REF!,#REF!), VALUE(TRIM(tbl_HR_Data[[#This Row],[Age]])))</f>
        <v>35</v>
      </c>
      <c r="N927" t="str">
        <f>IFERROR(_xlfn.XLOOKUP(tbl_HR_Data[[#This Row],[Gender]], Mapping[Gender _Discarded], Mapping[Gender_Correction]), PROPER(TRIM(tbl_HR_Data[[#This Row],[Gender]])))</f>
        <v>Female</v>
      </c>
      <c r="O927" t="str">
        <f>TRIM(tbl_HR_Data[[#This Row],[Position]])</f>
        <v>Manager</v>
      </c>
      <c r="P927" t="str">
        <f>IFERROR(_xlfn.XLOOKUP(tbl_HR_Data[[#This Row],[Email]], Mapping[Email_Discarded], Mapping[Email_Correction]), LOWER(TRIM(tbl_HR_Data[[#This Row],[Email]])))</f>
        <v>not provided</v>
      </c>
      <c r="Q92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927" t="str" cm="1">
        <f t="array" ref="R927">_xlfn.REDUCE(Q927, {"-","/","_","\","(",")"}, _xlfn.LAMBDA(_xlpm.txt,_xlpm.itm, SUBSTITUTE(_xlpm.txt, _xlpm.itm, "")))</f>
        <v>5555555555</v>
      </c>
      <c r="S927" s="3">
        <f>IFERROR(_xlfn.XLOOKUP(tbl_HR_Data[[#This Row],[Joining Date]], Mapping[Joining_Discarded], Mapping[Joining_Correction]), VALUE(tbl_HR_Data[[#This Row],[Joining Date]]))</f>
        <v>43881</v>
      </c>
      <c r="T927" t="str">
        <f>TEXT(tbl_HR_Data[[#This Row],[Joining Date]], "mmm")</f>
        <v>Feb</v>
      </c>
      <c r="U927" t="str">
        <f>TEXT(tbl_HR_Data[[#This Row],[Joining Date]], "ddd")</f>
        <v>Thu</v>
      </c>
    </row>
    <row r="928" spans="1:21" x14ac:dyDescent="0.35">
      <c r="A928" t="s">
        <v>102</v>
      </c>
      <c r="B928">
        <v>50</v>
      </c>
      <c r="C928">
        <v>50000</v>
      </c>
      <c r="D928" t="s">
        <v>11</v>
      </c>
      <c r="E928" t="s">
        <v>12</v>
      </c>
      <c r="F928" t="s">
        <v>44</v>
      </c>
      <c r="G928" s="3">
        <v>43881</v>
      </c>
      <c r="H928" t="str">
        <f>TEXT(tbl_HR_Data[[#This Row],[Joining Date]], "mmm")</f>
        <v>Feb</v>
      </c>
      <c r="I928" t="s">
        <v>92</v>
      </c>
      <c r="J928" t="s">
        <v>31</v>
      </c>
      <c r="K928" t="s">
        <v>77</v>
      </c>
      <c r="L928" t="s">
        <v>88</v>
      </c>
      <c r="M928">
        <f>IFERROR( _xlfn.XLOOKUP(TRIM(tbl_HR_Data[[#This Row],[Age]]),#REF!,#REF!), VALUE(TRIM(tbl_HR_Data[[#This Row],[Age]])))</f>
        <v>50</v>
      </c>
      <c r="N928" t="str">
        <f>IFERROR(_xlfn.XLOOKUP(tbl_HR_Data[[#This Row],[Gender]], Mapping[Gender _Discarded], Mapping[Gender_Correction]), PROPER(TRIM(tbl_HR_Data[[#This Row],[Gender]])))</f>
        <v>Male</v>
      </c>
      <c r="O928" t="str">
        <f>TRIM(tbl_HR_Data[[#This Row],[Position]])</f>
        <v>Analyst</v>
      </c>
      <c r="P928" t="str">
        <f>IFERROR(_xlfn.XLOOKUP(tbl_HR_Data[[#This Row],[Email]], Mapping[Email_Discarded], Mapping[Email_Correction]), LOWER(TRIM(tbl_HR_Data[[#This Row],[Email]])))</f>
        <v>not provided</v>
      </c>
      <c r="Q92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928" t="str" cm="1">
        <f t="array" ref="R928">_xlfn.REDUCE(Q928, {"-","/","_","\","(",")"}, _xlfn.LAMBDA(_xlpm.txt,_xlpm.itm, SUBSTITUTE(_xlpm.txt, _xlpm.itm, "")))</f>
        <v>0987654321</v>
      </c>
      <c r="S928" s="3">
        <f>IFERROR(_xlfn.XLOOKUP(tbl_HR_Data[[#This Row],[Joining Date]], Mapping[Joining_Discarded], Mapping[Joining_Correction]), VALUE(tbl_HR_Data[[#This Row],[Joining Date]]))</f>
        <v>43881</v>
      </c>
      <c r="T928" t="str">
        <f>TEXT(tbl_HR_Data[[#This Row],[Joining Date]], "mmm")</f>
        <v>Feb</v>
      </c>
      <c r="U928" t="str">
        <f>TEXT(tbl_HR_Data[[#This Row],[Joining Date]], "ddd")</f>
        <v>Thu</v>
      </c>
    </row>
    <row r="929" spans="1:21" x14ac:dyDescent="0.35">
      <c r="A929" t="s">
        <v>103</v>
      </c>
      <c r="B929">
        <v>25</v>
      </c>
      <c r="C929">
        <v>55000</v>
      </c>
      <c r="D929" t="s">
        <v>36</v>
      </c>
      <c r="E929" t="s">
        <v>26</v>
      </c>
      <c r="F929" t="s">
        <v>39</v>
      </c>
      <c r="G929" s="3">
        <v>43881</v>
      </c>
      <c r="H929" t="str">
        <f>TEXT(tbl_HR_Data[[#This Row],[Joining Date]], "mmm")</f>
        <v>Feb</v>
      </c>
      <c r="I929" t="s">
        <v>92</v>
      </c>
      <c r="J929" t="s">
        <v>21</v>
      </c>
      <c r="K929" t="s">
        <v>77</v>
      </c>
      <c r="L929" t="s">
        <v>77</v>
      </c>
      <c r="M929">
        <f>IFERROR( _xlfn.XLOOKUP(TRIM(tbl_HR_Data[[#This Row],[Age]]),#REF!,#REF!), VALUE(TRIM(tbl_HR_Data[[#This Row],[Age]])))</f>
        <v>25</v>
      </c>
      <c r="N929" t="str">
        <f>IFERROR(_xlfn.XLOOKUP(tbl_HR_Data[[#This Row],[Gender]], Mapping[Gender _Discarded], Mapping[Gender_Correction]), PROPER(TRIM(tbl_HR_Data[[#This Row],[Gender]])))</f>
        <v>Other</v>
      </c>
      <c r="O929" t="str">
        <f>TRIM(tbl_HR_Data[[#This Row],[Position]])</f>
        <v>Clerk</v>
      </c>
      <c r="P929" t="str">
        <f>IFERROR(_xlfn.XLOOKUP(tbl_HR_Data[[#This Row],[Email]], Mapping[Email_Discarded], Mapping[Email_Correction]), LOWER(TRIM(tbl_HR_Data[[#This Row],[Email]])))</f>
        <v>not provided</v>
      </c>
      <c r="Q92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29" t="str" cm="1">
        <f t="array" ref="R929">_xlfn.REDUCE(Q929, {"-","/","_","\","(",")"}, _xlfn.LAMBDA(_xlpm.txt,_xlpm.itm, SUBSTITUTE(_xlpm.txt, _xlpm.itm, "")))</f>
        <v>Not Provided</v>
      </c>
      <c r="S929" s="3">
        <f>IFERROR(_xlfn.XLOOKUP(tbl_HR_Data[[#This Row],[Joining Date]], Mapping[Joining_Discarded], Mapping[Joining_Correction]), VALUE(tbl_HR_Data[[#This Row],[Joining Date]]))</f>
        <v>43881</v>
      </c>
      <c r="T929" t="str">
        <f>TEXT(tbl_HR_Data[[#This Row],[Joining Date]], "mmm")</f>
        <v>Feb</v>
      </c>
      <c r="U929" t="str">
        <f>TEXT(tbl_HR_Data[[#This Row],[Joining Date]], "ddd")</f>
        <v>Thu</v>
      </c>
    </row>
    <row r="930" spans="1:21" x14ac:dyDescent="0.35">
      <c r="A930" t="s">
        <v>101</v>
      </c>
      <c r="B930">
        <v>50</v>
      </c>
      <c r="C930">
        <v>0</v>
      </c>
      <c r="D930" t="s">
        <v>36</v>
      </c>
      <c r="E930" t="s">
        <v>37</v>
      </c>
      <c r="F930" t="s">
        <v>20</v>
      </c>
      <c r="G930" s="3">
        <v>43881</v>
      </c>
      <c r="H930" t="str">
        <f>TEXT(tbl_HR_Data[[#This Row],[Joining Date]], "mmm")</f>
        <v>Feb</v>
      </c>
      <c r="I930" t="s">
        <v>92</v>
      </c>
      <c r="J930" t="s">
        <v>31</v>
      </c>
      <c r="K930" t="s">
        <v>77</v>
      </c>
      <c r="L930" t="s">
        <v>77</v>
      </c>
      <c r="M930">
        <f>IFERROR( _xlfn.XLOOKUP(TRIM(tbl_HR_Data[[#This Row],[Age]]),#REF!,#REF!), VALUE(TRIM(tbl_HR_Data[[#This Row],[Age]])))</f>
        <v>50</v>
      </c>
      <c r="N930" t="str">
        <f>IFERROR(_xlfn.XLOOKUP(tbl_HR_Data[[#This Row],[Gender]], Mapping[Gender _Discarded], Mapping[Gender_Correction]), PROPER(TRIM(tbl_HR_Data[[#This Row],[Gender]])))</f>
        <v>Other</v>
      </c>
      <c r="O930" t="str">
        <f>TRIM(tbl_HR_Data[[#This Row],[Position]])</f>
        <v>Director</v>
      </c>
      <c r="P930" t="str">
        <f>IFERROR(_xlfn.XLOOKUP(tbl_HR_Data[[#This Row],[Email]], Mapping[Email_Discarded], Mapping[Email_Correction]), LOWER(TRIM(tbl_HR_Data[[#This Row],[Email]])))</f>
        <v>not provided</v>
      </c>
      <c r="Q93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30" t="str" cm="1">
        <f t="array" ref="R930">_xlfn.REDUCE(Q930, {"-","/","_","\","(",")"}, _xlfn.LAMBDA(_xlpm.txt,_xlpm.itm, SUBSTITUTE(_xlpm.txt, _xlpm.itm, "")))</f>
        <v>Not Provided</v>
      </c>
      <c r="S930" s="3">
        <f>IFERROR(_xlfn.XLOOKUP(tbl_HR_Data[[#This Row],[Joining Date]], Mapping[Joining_Discarded], Mapping[Joining_Correction]), VALUE(tbl_HR_Data[[#This Row],[Joining Date]]))</f>
        <v>43881</v>
      </c>
      <c r="T930" t="str">
        <f>TEXT(tbl_HR_Data[[#This Row],[Joining Date]], "mmm")</f>
        <v>Feb</v>
      </c>
      <c r="U930" t="str">
        <f>TEXT(tbl_HR_Data[[#This Row],[Joining Date]], "ddd")</f>
        <v>Thu</v>
      </c>
    </row>
    <row r="931" spans="1:21" x14ac:dyDescent="0.35">
      <c r="A931" t="s">
        <v>108</v>
      </c>
      <c r="B931">
        <v>25</v>
      </c>
      <c r="C931">
        <v>65000</v>
      </c>
      <c r="D931" t="s">
        <v>18</v>
      </c>
      <c r="E931" t="s">
        <v>19</v>
      </c>
      <c r="F931" t="s">
        <v>20</v>
      </c>
      <c r="G931" s="3">
        <v>43881</v>
      </c>
      <c r="H931" t="str">
        <f>TEXT(tbl_HR_Data[[#This Row],[Joining Date]], "mmm")</f>
        <v>Feb</v>
      </c>
      <c r="I931" t="s">
        <v>92</v>
      </c>
      <c r="J931" t="s">
        <v>41</v>
      </c>
      <c r="K931" t="s">
        <v>32</v>
      </c>
      <c r="L931" t="s">
        <v>77</v>
      </c>
      <c r="M931">
        <f>IFERROR( _xlfn.XLOOKUP(TRIM(tbl_HR_Data[[#This Row],[Age]]),#REF!,#REF!), VALUE(TRIM(tbl_HR_Data[[#This Row],[Age]])))</f>
        <v>25</v>
      </c>
      <c r="N931" t="str">
        <f>IFERROR(_xlfn.XLOOKUP(tbl_HR_Data[[#This Row],[Gender]], Mapping[Gender _Discarded], Mapping[Gender_Correction]), PROPER(TRIM(tbl_HR_Data[[#This Row],[Gender]])))</f>
        <v>Female</v>
      </c>
      <c r="O931" t="str">
        <f>TRIM(tbl_HR_Data[[#This Row],[Position]])</f>
        <v>Director</v>
      </c>
      <c r="P931" t="str">
        <f>IFERROR(_xlfn.XLOOKUP(tbl_HR_Data[[#This Row],[Email]], Mapping[Email_Discarded], Mapping[Email_Correction]), LOWER(TRIM(tbl_HR_Data[[#This Row],[Email]])))</f>
        <v>name@company.org</v>
      </c>
      <c r="Q93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31" t="str" cm="1">
        <f t="array" ref="R931">_xlfn.REDUCE(Q931, {"-","/","_","\","(",")"}, _xlfn.LAMBDA(_xlpm.txt,_xlpm.itm, SUBSTITUTE(_xlpm.txt, _xlpm.itm, "")))</f>
        <v>Not Provided</v>
      </c>
      <c r="S931" s="3">
        <f>IFERROR(_xlfn.XLOOKUP(tbl_HR_Data[[#This Row],[Joining Date]], Mapping[Joining_Discarded], Mapping[Joining_Correction]), VALUE(tbl_HR_Data[[#This Row],[Joining Date]]))</f>
        <v>43881</v>
      </c>
      <c r="T931" t="str">
        <f>TEXT(tbl_HR_Data[[#This Row],[Joining Date]], "mmm")</f>
        <v>Feb</v>
      </c>
      <c r="U931" t="str">
        <f>TEXT(tbl_HR_Data[[#This Row],[Joining Date]], "ddd")</f>
        <v>Thu</v>
      </c>
    </row>
    <row r="932" spans="1:21" x14ac:dyDescent="0.35">
      <c r="A932" t="s">
        <v>105</v>
      </c>
      <c r="B932">
        <v>25</v>
      </c>
      <c r="C932">
        <v>65000</v>
      </c>
      <c r="D932" t="s">
        <v>36</v>
      </c>
      <c r="E932" t="s">
        <v>30</v>
      </c>
      <c r="F932" t="s">
        <v>20</v>
      </c>
      <c r="G932" s="3">
        <v>43881</v>
      </c>
      <c r="H932" t="str">
        <f>TEXT(tbl_HR_Data[[#This Row],[Joining Date]], "mmm")</f>
        <v>Feb</v>
      </c>
      <c r="I932" t="s">
        <v>92</v>
      </c>
      <c r="J932" t="s">
        <v>31</v>
      </c>
      <c r="K932" t="s">
        <v>32</v>
      </c>
      <c r="L932" t="s">
        <v>77</v>
      </c>
      <c r="M932">
        <f>IFERROR( _xlfn.XLOOKUP(TRIM(tbl_HR_Data[[#This Row],[Age]]),#REF!,#REF!), VALUE(TRIM(tbl_HR_Data[[#This Row],[Age]])))</f>
        <v>25</v>
      </c>
      <c r="N932" t="str">
        <f>IFERROR(_xlfn.XLOOKUP(tbl_HR_Data[[#This Row],[Gender]], Mapping[Gender _Discarded], Mapping[Gender_Correction]), PROPER(TRIM(tbl_HR_Data[[#This Row],[Gender]])))</f>
        <v>Other</v>
      </c>
      <c r="O932" t="str">
        <f>TRIM(tbl_HR_Data[[#This Row],[Position]])</f>
        <v>Director</v>
      </c>
      <c r="P932" t="str">
        <f>IFERROR(_xlfn.XLOOKUP(tbl_HR_Data[[#This Row],[Email]], Mapping[Email_Discarded], Mapping[Email_Correction]), LOWER(TRIM(tbl_HR_Data[[#This Row],[Email]])))</f>
        <v>name@company.org</v>
      </c>
      <c r="Q93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32" t="str" cm="1">
        <f t="array" ref="R932">_xlfn.REDUCE(Q932, {"-","/","_","\","(",")"}, _xlfn.LAMBDA(_xlpm.txt,_xlpm.itm, SUBSTITUTE(_xlpm.txt, _xlpm.itm, "")))</f>
        <v>Not Provided</v>
      </c>
      <c r="S932" s="3">
        <f>IFERROR(_xlfn.XLOOKUP(tbl_HR_Data[[#This Row],[Joining Date]], Mapping[Joining_Discarded], Mapping[Joining_Correction]), VALUE(tbl_HR_Data[[#This Row],[Joining Date]]))</f>
        <v>43881</v>
      </c>
      <c r="T932" t="str">
        <f>TEXT(tbl_HR_Data[[#This Row],[Joining Date]], "mmm")</f>
        <v>Feb</v>
      </c>
      <c r="U932" t="str">
        <f>TEXT(tbl_HR_Data[[#This Row],[Joining Date]], "ddd")</f>
        <v>Thu</v>
      </c>
    </row>
    <row r="933" spans="1:21" x14ac:dyDescent="0.35">
      <c r="A933" t="s">
        <v>106</v>
      </c>
      <c r="B933">
        <v>50</v>
      </c>
      <c r="C933">
        <v>65000</v>
      </c>
      <c r="D933" t="s">
        <v>11</v>
      </c>
      <c r="E933" t="s">
        <v>37</v>
      </c>
      <c r="F933" t="s">
        <v>39</v>
      </c>
      <c r="G933" s="3">
        <v>43881</v>
      </c>
      <c r="H933" t="str">
        <f>TEXT(tbl_HR_Data[[#This Row],[Joining Date]], "mmm")</f>
        <v>Feb</v>
      </c>
      <c r="I933" t="s">
        <v>92</v>
      </c>
      <c r="J933" t="s">
        <v>14</v>
      </c>
      <c r="K933" t="s">
        <v>15</v>
      </c>
      <c r="L933" t="s">
        <v>89</v>
      </c>
      <c r="M933">
        <f>IFERROR( _xlfn.XLOOKUP(TRIM(tbl_HR_Data[[#This Row],[Age]]),#REF!,#REF!), VALUE(TRIM(tbl_HR_Data[[#This Row],[Age]])))</f>
        <v>50</v>
      </c>
      <c r="N933" t="str">
        <f>IFERROR(_xlfn.XLOOKUP(tbl_HR_Data[[#This Row],[Gender]], Mapping[Gender _Discarded], Mapping[Gender_Correction]), PROPER(TRIM(tbl_HR_Data[[#This Row],[Gender]])))</f>
        <v>Male</v>
      </c>
      <c r="O933" t="str">
        <f>TRIM(tbl_HR_Data[[#This Row],[Position]])</f>
        <v>Clerk</v>
      </c>
      <c r="P933" t="str">
        <f>IFERROR(_xlfn.XLOOKUP(tbl_HR_Data[[#This Row],[Email]], Mapping[Email_Discarded], Mapping[Email_Correction]), LOWER(TRIM(tbl_HR_Data[[#This Row],[Email]])))</f>
        <v>email@example.com</v>
      </c>
      <c r="Q93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933" t="str" cm="1">
        <f t="array" ref="R933">_xlfn.REDUCE(Q933, {"-","/","_","\","(",")"}, _xlfn.LAMBDA(_xlpm.txt,_xlpm.itm, SUBSTITUTE(_xlpm.txt, _xlpm.itm, "")))</f>
        <v>5555555555</v>
      </c>
      <c r="S933" s="3">
        <f>IFERROR(_xlfn.XLOOKUP(tbl_HR_Data[[#This Row],[Joining Date]], Mapping[Joining_Discarded], Mapping[Joining_Correction]), VALUE(tbl_HR_Data[[#This Row],[Joining Date]]))</f>
        <v>43881</v>
      </c>
      <c r="T933" t="str">
        <f>TEXT(tbl_HR_Data[[#This Row],[Joining Date]], "mmm")</f>
        <v>Feb</v>
      </c>
      <c r="U933" t="str">
        <f>TEXT(tbl_HR_Data[[#This Row],[Joining Date]], "ddd")</f>
        <v>Thu</v>
      </c>
    </row>
    <row r="934" spans="1:21" x14ac:dyDescent="0.35">
      <c r="A934" t="s">
        <v>108</v>
      </c>
      <c r="B934">
        <v>30</v>
      </c>
      <c r="C934">
        <v>0</v>
      </c>
      <c r="D934" t="s">
        <v>36</v>
      </c>
      <c r="E934" t="s">
        <v>37</v>
      </c>
      <c r="F934" t="s">
        <v>39</v>
      </c>
      <c r="G934" s="3">
        <v>43881</v>
      </c>
      <c r="H934" t="str">
        <f>TEXT(tbl_HR_Data[[#This Row],[Joining Date]], "mmm")</f>
        <v>Feb</v>
      </c>
      <c r="I934" t="s">
        <v>92</v>
      </c>
      <c r="J934" t="s">
        <v>21</v>
      </c>
      <c r="K934" t="s">
        <v>32</v>
      </c>
      <c r="L934" t="s">
        <v>89</v>
      </c>
      <c r="M934">
        <f>IFERROR( _xlfn.XLOOKUP(TRIM(tbl_HR_Data[[#This Row],[Age]]),#REF!,#REF!), VALUE(TRIM(tbl_HR_Data[[#This Row],[Age]])))</f>
        <v>30</v>
      </c>
      <c r="N934" t="str">
        <f>IFERROR(_xlfn.XLOOKUP(tbl_HR_Data[[#This Row],[Gender]], Mapping[Gender _Discarded], Mapping[Gender_Correction]), PROPER(TRIM(tbl_HR_Data[[#This Row],[Gender]])))</f>
        <v>Other</v>
      </c>
      <c r="O934" t="str">
        <f>TRIM(tbl_HR_Data[[#This Row],[Position]])</f>
        <v>Clerk</v>
      </c>
      <c r="P934" t="str">
        <f>IFERROR(_xlfn.XLOOKUP(tbl_HR_Data[[#This Row],[Email]], Mapping[Email_Discarded], Mapping[Email_Correction]), LOWER(TRIM(tbl_HR_Data[[#This Row],[Email]])))</f>
        <v>name@company.org</v>
      </c>
      <c r="Q93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934" t="str" cm="1">
        <f t="array" ref="R934">_xlfn.REDUCE(Q934, {"-","/","_","\","(",")"}, _xlfn.LAMBDA(_xlpm.txt,_xlpm.itm, SUBSTITUTE(_xlpm.txt, _xlpm.itm, "")))</f>
        <v>5555555555</v>
      </c>
      <c r="S934" s="3">
        <f>IFERROR(_xlfn.XLOOKUP(tbl_HR_Data[[#This Row],[Joining Date]], Mapping[Joining_Discarded], Mapping[Joining_Correction]), VALUE(tbl_HR_Data[[#This Row],[Joining Date]]))</f>
        <v>43881</v>
      </c>
      <c r="T934" t="str">
        <f>TEXT(tbl_HR_Data[[#This Row],[Joining Date]], "mmm")</f>
        <v>Feb</v>
      </c>
      <c r="U934" t="str">
        <f>TEXT(tbl_HR_Data[[#This Row],[Joining Date]], "ddd")</f>
        <v>Thu</v>
      </c>
    </row>
    <row r="935" spans="1:21" x14ac:dyDescent="0.35">
      <c r="A935" t="s">
        <v>104</v>
      </c>
      <c r="B935">
        <v>30</v>
      </c>
      <c r="C935">
        <v>50000</v>
      </c>
      <c r="D935" t="s">
        <v>36</v>
      </c>
      <c r="E935" t="s">
        <v>37</v>
      </c>
      <c r="F935" t="s">
        <v>39</v>
      </c>
      <c r="G935" s="3">
        <v>43881</v>
      </c>
      <c r="H935" t="str">
        <f>TEXT(tbl_HR_Data[[#This Row],[Joining Date]], "mmm")</f>
        <v>Feb</v>
      </c>
      <c r="I935" t="s">
        <v>92</v>
      </c>
      <c r="J935" t="s">
        <v>31</v>
      </c>
      <c r="K935" t="s">
        <v>22</v>
      </c>
      <c r="L935" t="s">
        <v>89</v>
      </c>
      <c r="M935">
        <f>IFERROR( _xlfn.XLOOKUP(TRIM(tbl_HR_Data[[#This Row],[Age]]),#REF!,#REF!), VALUE(TRIM(tbl_HR_Data[[#This Row],[Age]])))</f>
        <v>30</v>
      </c>
      <c r="N935" t="str">
        <f>IFERROR(_xlfn.XLOOKUP(tbl_HR_Data[[#This Row],[Gender]], Mapping[Gender _Discarded], Mapping[Gender_Correction]), PROPER(TRIM(tbl_HR_Data[[#This Row],[Gender]])))</f>
        <v>Other</v>
      </c>
      <c r="O935" t="str">
        <f>TRIM(tbl_HR_Data[[#This Row],[Position]])</f>
        <v>Clerk</v>
      </c>
      <c r="P935" t="str">
        <f>IFERROR(_xlfn.XLOOKUP(tbl_HR_Data[[#This Row],[Email]], Mapping[Email_Discarded], Mapping[Email_Correction]), LOWER(TRIM(tbl_HR_Data[[#This Row],[Email]])))</f>
        <v>user@domain.com</v>
      </c>
      <c r="Q93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935" t="str" cm="1">
        <f t="array" ref="R935">_xlfn.REDUCE(Q935, {"-","/","_","\","(",")"}, _xlfn.LAMBDA(_xlpm.txt,_xlpm.itm, SUBSTITUTE(_xlpm.txt, _xlpm.itm, "")))</f>
        <v>5555555555</v>
      </c>
      <c r="S935" s="3">
        <f>IFERROR(_xlfn.XLOOKUP(tbl_HR_Data[[#This Row],[Joining Date]], Mapping[Joining_Discarded], Mapping[Joining_Correction]), VALUE(tbl_HR_Data[[#This Row],[Joining Date]]))</f>
        <v>43881</v>
      </c>
      <c r="T935" t="str">
        <f>TEXT(tbl_HR_Data[[#This Row],[Joining Date]], "mmm")</f>
        <v>Feb</v>
      </c>
      <c r="U935" t="str">
        <f>TEXT(tbl_HR_Data[[#This Row],[Joining Date]], "ddd")</f>
        <v>Thu</v>
      </c>
    </row>
    <row r="936" spans="1:21" x14ac:dyDescent="0.35">
      <c r="A936" t="s">
        <v>104</v>
      </c>
      <c r="B936">
        <v>35</v>
      </c>
      <c r="C936">
        <v>65000</v>
      </c>
      <c r="D936" t="s">
        <v>36</v>
      </c>
      <c r="E936" t="s">
        <v>26</v>
      </c>
      <c r="F936" t="s">
        <v>39</v>
      </c>
      <c r="G936" s="3">
        <v>43881</v>
      </c>
      <c r="H936" t="str">
        <f>TEXT(tbl_HR_Data[[#This Row],[Joining Date]], "mmm")</f>
        <v>Feb</v>
      </c>
      <c r="I936" t="s">
        <v>92</v>
      </c>
      <c r="J936" t="s">
        <v>14</v>
      </c>
      <c r="K936" t="s">
        <v>32</v>
      </c>
      <c r="L936" t="s">
        <v>87</v>
      </c>
      <c r="M936">
        <f>IFERROR( _xlfn.XLOOKUP(TRIM(tbl_HR_Data[[#This Row],[Age]]),#REF!,#REF!), VALUE(TRIM(tbl_HR_Data[[#This Row],[Age]])))</f>
        <v>35</v>
      </c>
      <c r="N936" t="str">
        <f>IFERROR(_xlfn.XLOOKUP(tbl_HR_Data[[#This Row],[Gender]], Mapping[Gender _Discarded], Mapping[Gender_Correction]), PROPER(TRIM(tbl_HR_Data[[#This Row],[Gender]])))</f>
        <v>Other</v>
      </c>
      <c r="O936" t="str">
        <f>TRIM(tbl_HR_Data[[#This Row],[Position]])</f>
        <v>Clerk</v>
      </c>
      <c r="P936" t="str">
        <f>IFERROR(_xlfn.XLOOKUP(tbl_HR_Data[[#This Row],[Email]], Mapping[Email_Discarded], Mapping[Email_Correction]), LOWER(TRIM(tbl_HR_Data[[#This Row],[Email]])))</f>
        <v>name@company.org</v>
      </c>
      <c r="Q93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36" t="str" cm="1">
        <f t="array" ref="R936">_xlfn.REDUCE(Q936, {"-","/","_","\","(",")"}, _xlfn.LAMBDA(_xlpm.txt,_xlpm.itm, SUBSTITUTE(_xlpm.txt, _xlpm.itm, "")))</f>
        <v>1234567890</v>
      </c>
      <c r="S936" s="3">
        <f>IFERROR(_xlfn.XLOOKUP(tbl_HR_Data[[#This Row],[Joining Date]], Mapping[Joining_Discarded], Mapping[Joining_Correction]), VALUE(tbl_HR_Data[[#This Row],[Joining Date]]))</f>
        <v>43881</v>
      </c>
      <c r="T936" t="str">
        <f>TEXT(tbl_HR_Data[[#This Row],[Joining Date]], "mmm")</f>
        <v>Feb</v>
      </c>
      <c r="U936" t="str">
        <f>TEXT(tbl_HR_Data[[#This Row],[Joining Date]], "ddd")</f>
        <v>Thu</v>
      </c>
    </row>
    <row r="937" spans="1:21" x14ac:dyDescent="0.35">
      <c r="A937" t="s">
        <v>101</v>
      </c>
      <c r="B937">
        <v>35</v>
      </c>
      <c r="C937">
        <v>0</v>
      </c>
      <c r="D937" t="s">
        <v>18</v>
      </c>
      <c r="E937" t="s">
        <v>37</v>
      </c>
      <c r="F937" t="s">
        <v>44</v>
      </c>
      <c r="G937" s="3">
        <v>43881</v>
      </c>
      <c r="H937" t="str">
        <f>TEXT(tbl_HR_Data[[#This Row],[Joining Date]], "mmm")</f>
        <v>Feb</v>
      </c>
      <c r="I937" t="s">
        <v>92</v>
      </c>
      <c r="J937" t="s">
        <v>27</v>
      </c>
      <c r="K937" t="s">
        <v>77</v>
      </c>
      <c r="L937" t="s">
        <v>88</v>
      </c>
      <c r="M937">
        <f>IFERROR( _xlfn.XLOOKUP(TRIM(tbl_HR_Data[[#This Row],[Age]]),#REF!,#REF!), VALUE(TRIM(tbl_HR_Data[[#This Row],[Age]])))</f>
        <v>35</v>
      </c>
      <c r="N937" t="str">
        <f>IFERROR(_xlfn.XLOOKUP(tbl_HR_Data[[#This Row],[Gender]], Mapping[Gender _Discarded], Mapping[Gender_Correction]), PROPER(TRIM(tbl_HR_Data[[#This Row],[Gender]])))</f>
        <v>Female</v>
      </c>
      <c r="O937" t="str">
        <f>TRIM(tbl_HR_Data[[#This Row],[Position]])</f>
        <v>Analyst</v>
      </c>
      <c r="P937" t="str">
        <f>IFERROR(_xlfn.XLOOKUP(tbl_HR_Data[[#This Row],[Email]], Mapping[Email_Discarded], Mapping[Email_Correction]), LOWER(TRIM(tbl_HR_Data[[#This Row],[Email]])))</f>
        <v>not provided</v>
      </c>
      <c r="Q93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937" t="str" cm="1">
        <f t="array" ref="R937">_xlfn.REDUCE(Q937, {"-","/","_","\","(",")"}, _xlfn.LAMBDA(_xlpm.txt,_xlpm.itm, SUBSTITUTE(_xlpm.txt, _xlpm.itm, "")))</f>
        <v>0987654321</v>
      </c>
      <c r="S937" s="3">
        <f>IFERROR(_xlfn.XLOOKUP(tbl_HR_Data[[#This Row],[Joining Date]], Mapping[Joining_Discarded], Mapping[Joining_Correction]), VALUE(tbl_HR_Data[[#This Row],[Joining Date]]))</f>
        <v>43881</v>
      </c>
      <c r="T937" t="str">
        <f>TEXT(tbl_HR_Data[[#This Row],[Joining Date]], "mmm")</f>
        <v>Feb</v>
      </c>
      <c r="U937" t="str">
        <f>TEXT(tbl_HR_Data[[#This Row],[Joining Date]], "ddd")</f>
        <v>Thu</v>
      </c>
    </row>
    <row r="938" spans="1:21" x14ac:dyDescent="0.35">
      <c r="A938" t="s">
        <v>102</v>
      </c>
      <c r="B938">
        <v>35</v>
      </c>
      <c r="C938">
        <v>0</v>
      </c>
      <c r="D938" t="s">
        <v>36</v>
      </c>
      <c r="E938" t="s">
        <v>12</v>
      </c>
      <c r="F938" t="s">
        <v>39</v>
      </c>
      <c r="G938" s="3">
        <v>43881</v>
      </c>
      <c r="H938" t="str">
        <f>TEXT(tbl_HR_Data[[#This Row],[Joining Date]], "mmm")</f>
        <v>Feb</v>
      </c>
      <c r="I938" t="s">
        <v>92</v>
      </c>
      <c r="J938" t="s">
        <v>41</v>
      </c>
      <c r="K938" t="s">
        <v>77</v>
      </c>
      <c r="L938" t="s">
        <v>87</v>
      </c>
      <c r="M938">
        <f>IFERROR( _xlfn.XLOOKUP(TRIM(tbl_HR_Data[[#This Row],[Age]]),#REF!,#REF!), VALUE(TRIM(tbl_HR_Data[[#This Row],[Age]])))</f>
        <v>35</v>
      </c>
      <c r="N938" t="str">
        <f>IFERROR(_xlfn.XLOOKUP(tbl_HR_Data[[#This Row],[Gender]], Mapping[Gender _Discarded], Mapping[Gender_Correction]), PROPER(TRIM(tbl_HR_Data[[#This Row],[Gender]])))</f>
        <v>Other</v>
      </c>
      <c r="O938" t="str">
        <f>TRIM(tbl_HR_Data[[#This Row],[Position]])</f>
        <v>Clerk</v>
      </c>
      <c r="P938" t="str">
        <f>IFERROR(_xlfn.XLOOKUP(tbl_HR_Data[[#This Row],[Email]], Mapping[Email_Discarded], Mapping[Email_Correction]), LOWER(TRIM(tbl_HR_Data[[#This Row],[Email]])))</f>
        <v>not provided</v>
      </c>
      <c r="Q93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38" t="str" cm="1">
        <f t="array" ref="R938">_xlfn.REDUCE(Q938, {"-","/","_","\","(",")"}, _xlfn.LAMBDA(_xlpm.txt,_xlpm.itm, SUBSTITUTE(_xlpm.txt, _xlpm.itm, "")))</f>
        <v>1234567890</v>
      </c>
      <c r="S938" s="3">
        <f>IFERROR(_xlfn.XLOOKUP(tbl_HR_Data[[#This Row],[Joining Date]], Mapping[Joining_Discarded], Mapping[Joining_Correction]), VALUE(tbl_HR_Data[[#This Row],[Joining Date]]))</f>
        <v>43881</v>
      </c>
      <c r="T938" t="str">
        <f>TEXT(tbl_HR_Data[[#This Row],[Joining Date]], "mmm")</f>
        <v>Feb</v>
      </c>
      <c r="U938" t="str">
        <f>TEXT(tbl_HR_Data[[#This Row],[Joining Date]], "ddd")</f>
        <v>Thu</v>
      </c>
    </row>
    <row r="939" spans="1:21" x14ac:dyDescent="0.35">
      <c r="A939" t="s">
        <v>101</v>
      </c>
      <c r="B939">
        <v>30</v>
      </c>
      <c r="C939">
        <v>70000</v>
      </c>
      <c r="D939" t="s">
        <v>36</v>
      </c>
      <c r="E939" t="s">
        <v>37</v>
      </c>
      <c r="F939" t="s">
        <v>39</v>
      </c>
      <c r="G939" s="3">
        <v>43881</v>
      </c>
      <c r="H939" t="str">
        <f>TEXT(tbl_HR_Data[[#This Row],[Joining Date]], "mmm")</f>
        <v>Feb</v>
      </c>
      <c r="I939" t="s">
        <v>92</v>
      </c>
      <c r="J939" t="s">
        <v>31</v>
      </c>
      <c r="K939" t="s">
        <v>22</v>
      </c>
      <c r="L939" t="s">
        <v>88</v>
      </c>
      <c r="M939">
        <f>IFERROR( _xlfn.XLOOKUP(TRIM(tbl_HR_Data[[#This Row],[Age]]),#REF!,#REF!), VALUE(TRIM(tbl_HR_Data[[#This Row],[Age]])))</f>
        <v>30</v>
      </c>
      <c r="N939" t="str">
        <f>IFERROR(_xlfn.XLOOKUP(tbl_HR_Data[[#This Row],[Gender]], Mapping[Gender _Discarded], Mapping[Gender_Correction]), PROPER(TRIM(tbl_HR_Data[[#This Row],[Gender]])))</f>
        <v>Other</v>
      </c>
      <c r="O939" t="str">
        <f>TRIM(tbl_HR_Data[[#This Row],[Position]])</f>
        <v>Clerk</v>
      </c>
      <c r="P939" t="str">
        <f>IFERROR(_xlfn.XLOOKUP(tbl_HR_Data[[#This Row],[Email]], Mapping[Email_Discarded], Mapping[Email_Correction]), LOWER(TRIM(tbl_HR_Data[[#This Row],[Email]])))</f>
        <v>user@domain.com</v>
      </c>
      <c r="Q93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939" t="str" cm="1">
        <f t="array" ref="R939">_xlfn.REDUCE(Q939, {"-","/","_","\","(",")"}, _xlfn.LAMBDA(_xlpm.txt,_xlpm.itm, SUBSTITUTE(_xlpm.txt, _xlpm.itm, "")))</f>
        <v>0987654321</v>
      </c>
      <c r="S939" s="3">
        <f>IFERROR(_xlfn.XLOOKUP(tbl_HR_Data[[#This Row],[Joining Date]], Mapping[Joining_Discarded], Mapping[Joining_Correction]), VALUE(tbl_HR_Data[[#This Row],[Joining Date]]))</f>
        <v>43881</v>
      </c>
      <c r="T939" t="str">
        <f>TEXT(tbl_HR_Data[[#This Row],[Joining Date]], "mmm")</f>
        <v>Feb</v>
      </c>
      <c r="U939" t="str">
        <f>TEXT(tbl_HR_Data[[#This Row],[Joining Date]], "ddd")</f>
        <v>Thu</v>
      </c>
    </row>
    <row r="940" spans="1:21" x14ac:dyDescent="0.35">
      <c r="A940" t="s">
        <v>103</v>
      </c>
      <c r="B940">
        <v>50</v>
      </c>
      <c r="C940">
        <v>55000</v>
      </c>
      <c r="D940" t="s">
        <v>36</v>
      </c>
      <c r="E940" t="s">
        <v>12</v>
      </c>
      <c r="F940" t="s">
        <v>39</v>
      </c>
      <c r="G940" s="3">
        <v>43881</v>
      </c>
      <c r="H940" t="str">
        <f>TEXT(tbl_HR_Data[[#This Row],[Joining Date]], "mmm")</f>
        <v>Feb</v>
      </c>
      <c r="I940" t="s">
        <v>92</v>
      </c>
      <c r="J940" t="s">
        <v>21</v>
      </c>
      <c r="K940" t="s">
        <v>15</v>
      </c>
      <c r="L940" t="s">
        <v>87</v>
      </c>
      <c r="M940">
        <f>IFERROR( _xlfn.XLOOKUP(TRIM(tbl_HR_Data[[#This Row],[Age]]),#REF!,#REF!), VALUE(TRIM(tbl_HR_Data[[#This Row],[Age]])))</f>
        <v>50</v>
      </c>
      <c r="N940" t="str">
        <f>IFERROR(_xlfn.XLOOKUP(tbl_HR_Data[[#This Row],[Gender]], Mapping[Gender _Discarded], Mapping[Gender_Correction]), PROPER(TRIM(tbl_HR_Data[[#This Row],[Gender]])))</f>
        <v>Other</v>
      </c>
      <c r="O940" t="str">
        <f>TRIM(tbl_HR_Data[[#This Row],[Position]])</f>
        <v>Clerk</v>
      </c>
      <c r="P940" t="str">
        <f>IFERROR(_xlfn.XLOOKUP(tbl_HR_Data[[#This Row],[Email]], Mapping[Email_Discarded], Mapping[Email_Correction]), LOWER(TRIM(tbl_HR_Data[[#This Row],[Email]])))</f>
        <v>email@example.com</v>
      </c>
      <c r="Q94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40" t="str" cm="1">
        <f t="array" ref="R940">_xlfn.REDUCE(Q940, {"-","/","_","\","(",")"}, _xlfn.LAMBDA(_xlpm.txt,_xlpm.itm, SUBSTITUTE(_xlpm.txt, _xlpm.itm, "")))</f>
        <v>1234567890</v>
      </c>
      <c r="S940" s="3">
        <f>IFERROR(_xlfn.XLOOKUP(tbl_HR_Data[[#This Row],[Joining Date]], Mapping[Joining_Discarded], Mapping[Joining_Correction]), VALUE(tbl_HR_Data[[#This Row],[Joining Date]]))</f>
        <v>43881</v>
      </c>
      <c r="T940" t="str">
        <f>TEXT(tbl_HR_Data[[#This Row],[Joining Date]], "mmm")</f>
        <v>Feb</v>
      </c>
      <c r="U940" t="str">
        <f>TEXT(tbl_HR_Data[[#This Row],[Joining Date]], "ddd")</f>
        <v>Thu</v>
      </c>
    </row>
    <row r="941" spans="1:21" x14ac:dyDescent="0.35">
      <c r="A941" t="s">
        <v>99</v>
      </c>
      <c r="B941">
        <v>0</v>
      </c>
      <c r="C941">
        <v>60000</v>
      </c>
      <c r="D941" t="s">
        <v>18</v>
      </c>
      <c r="E941" t="s">
        <v>19</v>
      </c>
      <c r="F941" t="s">
        <v>20</v>
      </c>
      <c r="G941" s="3">
        <v>43881</v>
      </c>
      <c r="H941" t="str">
        <f>TEXT(tbl_HR_Data[[#This Row],[Joining Date]], "mmm")</f>
        <v>Feb</v>
      </c>
      <c r="I941" t="s">
        <v>92</v>
      </c>
      <c r="J941" t="s">
        <v>14</v>
      </c>
      <c r="K941" t="s">
        <v>77</v>
      </c>
      <c r="L941" t="s">
        <v>88</v>
      </c>
      <c r="M941">
        <f>IFERROR( _xlfn.XLOOKUP(TRIM(tbl_HR_Data[[#This Row],[Age]]),#REF!,#REF!), VALUE(TRIM(tbl_HR_Data[[#This Row],[Age]])))</f>
        <v>0</v>
      </c>
      <c r="N941" t="str">
        <f>IFERROR(_xlfn.XLOOKUP(tbl_HR_Data[[#This Row],[Gender]], Mapping[Gender _Discarded], Mapping[Gender_Correction]), PROPER(TRIM(tbl_HR_Data[[#This Row],[Gender]])))</f>
        <v>Female</v>
      </c>
      <c r="O941" t="str">
        <f>TRIM(tbl_HR_Data[[#This Row],[Position]])</f>
        <v>Director</v>
      </c>
      <c r="P941" t="str">
        <f>IFERROR(_xlfn.XLOOKUP(tbl_HR_Data[[#This Row],[Email]], Mapping[Email_Discarded], Mapping[Email_Correction]), LOWER(TRIM(tbl_HR_Data[[#This Row],[Email]])))</f>
        <v>not provided</v>
      </c>
      <c r="Q94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941" t="str" cm="1">
        <f t="array" ref="R941">_xlfn.REDUCE(Q941, {"-","/","_","\","(",")"}, _xlfn.LAMBDA(_xlpm.txt,_xlpm.itm, SUBSTITUTE(_xlpm.txt, _xlpm.itm, "")))</f>
        <v>0987654321</v>
      </c>
      <c r="S941" s="3">
        <f>IFERROR(_xlfn.XLOOKUP(tbl_HR_Data[[#This Row],[Joining Date]], Mapping[Joining_Discarded], Mapping[Joining_Correction]), VALUE(tbl_HR_Data[[#This Row],[Joining Date]]))</f>
        <v>43881</v>
      </c>
      <c r="T941" t="str">
        <f>TEXT(tbl_HR_Data[[#This Row],[Joining Date]], "mmm")</f>
        <v>Feb</v>
      </c>
      <c r="U941" t="str">
        <f>TEXT(tbl_HR_Data[[#This Row],[Joining Date]], "ddd")</f>
        <v>Thu</v>
      </c>
    </row>
    <row r="942" spans="1:21" x14ac:dyDescent="0.35">
      <c r="A942" t="s">
        <v>101</v>
      </c>
      <c r="B942">
        <v>0</v>
      </c>
      <c r="C942">
        <v>0</v>
      </c>
      <c r="D942" t="s">
        <v>11</v>
      </c>
      <c r="E942" t="s">
        <v>30</v>
      </c>
      <c r="F942" t="s">
        <v>44</v>
      </c>
      <c r="G942" s="3">
        <v>43881</v>
      </c>
      <c r="H942" t="str">
        <f>TEXT(tbl_HR_Data[[#This Row],[Joining Date]], "mmm")</f>
        <v>Feb</v>
      </c>
      <c r="I942" t="s">
        <v>92</v>
      </c>
      <c r="J942" t="s">
        <v>21</v>
      </c>
      <c r="K942" t="s">
        <v>32</v>
      </c>
      <c r="L942" t="s">
        <v>87</v>
      </c>
      <c r="M942">
        <f>IFERROR( _xlfn.XLOOKUP(TRIM(tbl_HR_Data[[#This Row],[Age]]),#REF!,#REF!), VALUE(TRIM(tbl_HR_Data[[#This Row],[Age]])))</f>
        <v>0</v>
      </c>
      <c r="N942" t="str">
        <f>IFERROR(_xlfn.XLOOKUP(tbl_HR_Data[[#This Row],[Gender]], Mapping[Gender _Discarded], Mapping[Gender_Correction]), PROPER(TRIM(tbl_HR_Data[[#This Row],[Gender]])))</f>
        <v>Male</v>
      </c>
      <c r="O942" t="str">
        <f>TRIM(tbl_HR_Data[[#This Row],[Position]])</f>
        <v>Analyst</v>
      </c>
      <c r="P942" t="str">
        <f>IFERROR(_xlfn.XLOOKUP(tbl_HR_Data[[#This Row],[Email]], Mapping[Email_Discarded], Mapping[Email_Correction]), LOWER(TRIM(tbl_HR_Data[[#This Row],[Email]])))</f>
        <v>name@company.org</v>
      </c>
      <c r="Q94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42" t="str" cm="1">
        <f t="array" ref="R942">_xlfn.REDUCE(Q942, {"-","/","_","\","(",")"}, _xlfn.LAMBDA(_xlpm.txt,_xlpm.itm, SUBSTITUTE(_xlpm.txt, _xlpm.itm, "")))</f>
        <v>1234567890</v>
      </c>
      <c r="S942" s="3">
        <f>IFERROR(_xlfn.XLOOKUP(tbl_HR_Data[[#This Row],[Joining Date]], Mapping[Joining_Discarded], Mapping[Joining_Correction]), VALUE(tbl_HR_Data[[#This Row],[Joining Date]]))</f>
        <v>43881</v>
      </c>
      <c r="T942" t="str">
        <f>TEXT(tbl_HR_Data[[#This Row],[Joining Date]], "mmm")</f>
        <v>Feb</v>
      </c>
      <c r="U942" t="str">
        <f>TEXT(tbl_HR_Data[[#This Row],[Joining Date]], "ddd")</f>
        <v>Thu</v>
      </c>
    </row>
    <row r="943" spans="1:21" x14ac:dyDescent="0.35">
      <c r="A943" t="s">
        <v>105</v>
      </c>
      <c r="B943">
        <v>30</v>
      </c>
      <c r="C943">
        <v>70000</v>
      </c>
      <c r="D943" t="s">
        <v>11</v>
      </c>
      <c r="E943" t="s">
        <v>26</v>
      </c>
      <c r="F943" t="s">
        <v>39</v>
      </c>
      <c r="G943" s="3">
        <v>43881</v>
      </c>
      <c r="H943" t="str">
        <f>TEXT(tbl_HR_Data[[#This Row],[Joining Date]], "mmm")</f>
        <v>Feb</v>
      </c>
      <c r="I943" t="s">
        <v>92</v>
      </c>
      <c r="J943" t="s">
        <v>14</v>
      </c>
      <c r="K943" t="s">
        <v>77</v>
      </c>
      <c r="L943" t="s">
        <v>77</v>
      </c>
      <c r="M943">
        <f>IFERROR( _xlfn.XLOOKUP(TRIM(tbl_HR_Data[[#This Row],[Age]]),#REF!,#REF!), VALUE(TRIM(tbl_HR_Data[[#This Row],[Age]])))</f>
        <v>30</v>
      </c>
      <c r="N943" t="str">
        <f>IFERROR(_xlfn.XLOOKUP(tbl_HR_Data[[#This Row],[Gender]], Mapping[Gender _Discarded], Mapping[Gender_Correction]), PROPER(TRIM(tbl_HR_Data[[#This Row],[Gender]])))</f>
        <v>Male</v>
      </c>
      <c r="O943" t="str">
        <f>TRIM(tbl_HR_Data[[#This Row],[Position]])</f>
        <v>Clerk</v>
      </c>
      <c r="P943" t="str">
        <f>IFERROR(_xlfn.XLOOKUP(tbl_HR_Data[[#This Row],[Email]], Mapping[Email_Discarded], Mapping[Email_Correction]), LOWER(TRIM(tbl_HR_Data[[#This Row],[Email]])))</f>
        <v>not provided</v>
      </c>
      <c r="Q94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43" t="str" cm="1">
        <f t="array" ref="R943">_xlfn.REDUCE(Q943, {"-","/","_","\","(",")"}, _xlfn.LAMBDA(_xlpm.txt,_xlpm.itm, SUBSTITUTE(_xlpm.txt, _xlpm.itm, "")))</f>
        <v>Not Provided</v>
      </c>
      <c r="S943" s="3">
        <f>IFERROR(_xlfn.XLOOKUP(tbl_HR_Data[[#This Row],[Joining Date]], Mapping[Joining_Discarded], Mapping[Joining_Correction]), VALUE(tbl_HR_Data[[#This Row],[Joining Date]]))</f>
        <v>43881</v>
      </c>
      <c r="T943" t="str">
        <f>TEXT(tbl_HR_Data[[#This Row],[Joining Date]], "mmm")</f>
        <v>Feb</v>
      </c>
      <c r="U943" t="str">
        <f>TEXT(tbl_HR_Data[[#This Row],[Joining Date]], "ddd")</f>
        <v>Thu</v>
      </c>
    </row>
    <row r="944" spans="1:21" x14ac:dyDescent="0.35">
      <c r="A944" t="s">
        <v>103</v>
      </c>
      <c r="B944">
        <v>35</v>
      </c>
      <c r="C944">
        <v>60000</v>
      </c>
      <c r="D944" t="s">
        <v>11</v>
      </c>
      <c r="E944" t="s">
        <v>37</v>
      </c>
      <c r="F944" t="s">
        <v>20</v>
      </c>
      <c r="G944" s="3">
        <v>43881</v>
      </c>
      <c r="H944" t="str">
        <f>TEXT(tbl_HR_Data[[#This Row],[Joining Date]], "mmm")</f>
        <v>Feb</v>
      </c>
      <c r="I944" t="s">
        <v>92</v>
      </c>
      <c r="J944" t="s">
        <v>21</v>
      </c>
      <c r="K944" t="s">
        <v>77</v>
      </c>
      <c r="L944" t="s">
        <v>89</v>
      </c>
      <c r="M944">
        <f>IFERROR( _xlfn.XLOOKUP(TRIM(tbl_HR_Data[[#This Row],[Age]]),#REF!,#REF!), VALUE(TRIM(tbl_HR_Data[[#This Row],[Age]])))</f>
        <v>35</v>
      </c>
      <c r="N944" t="str">
        <f>IFERROR(_xlfn.XLOOKUP(tbl_HR_Data[[#This Row],[Gender]], Mapping[Gender _Discarded], Mapping[Gender_Correction]), PROPER(TRIM(tbl_HR_Data[[#This Row],[Gender]])))</f>
        <v>Male</v>
      </c>
      <c r="O944" t="str">
        <f>TRIM(tbl_HR_Data[[#This Row],[Position]])</f>
        <v>Director</v>
      </c>
      <c r="P944" t="str">
        <f>IFERROR(_xlfn.XLOOKUP(tbl_HR_Data[[#This Row],[Email]], Mapping[Email_Discarded], Mapping[Email_Correction]), LOWER(TRIM(tbl_HR_Data[[#This Row],[Email]])))</f>
        <v>not provided</v>
      </c>
      <c r="Q94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944" t="str" cm="1">
        <f t="array" ref="R944">_xlfn.REDUCE(Q944, {"-","/","_","\","(",")"}, _xlfn.LAMBDA(_xlpm.txt,_xlpm.itm, SUBSTITUTE(_xlpm.txt, _xlpm.itm, "")))</f>
        <v>5555555555</v>
      </c>
      <c r="S944" s="3">
        <f>IFERROR(_xlfn.XLOOKUP(tbl_HR_Data[[#This Row],[Joining Date]], Mapping[Joining_Discarded], Mapping[Joining_Correction]), VALUE(tbl_HR_Data[[#This Row],[Joining Date]]))</f>
        <v>43881</v>
      </c>
      <c r="T944" t="str">
        <f>TEXT(tbl_HR_Data[[#This Row],[Joining Date]], "mmm")</f>
        <v>Feb</v>
      </c>
      <c r="U944" t="str">
        <f>TEXT(tbl_HR_Data[[#This Row],[Joining Date]], "ddd")</f>
        <v>Thu</v>
      </c>
    </row>
    <row r="945" spans="1:21" x14ac:dyDescent="0.35">
      <c r="A945" t="s">
        <v>106</v>
      </c>
      <c r="B945">
        <v>25</v>
      </c>
      <c r="C945">
        <v>70000</v>
      </c>
      <c r="D945" t="s">
        <v>36</v>
      </c>
      <c r="E945" t="s">
        <v>19</v>
      </c>
      <c r="F945" t="s">
        <v>13</v>
      </c>
      <c r="G945" s="3">
        <v>43881</v>
      </c>
      <c r="H945" t="str">
        <f>TEXT(tbl_HR_Data[[#This Row],[Joining Date]], "mmm")</f>
        <v>Feb</v>
      </c>
      <c r="I945" t="s">
        <v>92</v>
      </c>
      <c r="J945" t="s">
        <v>21</v>
      </c>
      <c r="K945" t="s">
        <v>32</v>
      </c>
      <c r="L945" t="s">
        <v>77</v>
      </c>
      <c r="M945">
        <f>IFERROR( _xlfn.XLOOKUP(TRIM(tbl_HR_Data[[#This Row],[Age]]),#REF!,#REF!), VALUE(TRIM(tbl_HR_Data[[#This Row],[Age]])))</f>
        <v>25</v>
      </c>
      <c r="N945" t="str">
        <f>IFERROR(_xlfn.XLOOKUP(tbl_HR_Data[[#This Row],[Gender]], Mapping[Gender _Discarded], Mapping[Gender_Correction]), PROPER(TRIM(tbl_HR_Data[[#This Row],[Gender]])))</f>
        <v>Other</v>
      </c>
      <c r="O945" t="str">
        <f>TRIM(tbl_HR_Data[[#This Row],[Position]])</f>
        <v>Manager</v>
      </c>
      <c r="P945" t="str">
        <f>IFERROR(_xlfn.XLOOKUP(tbl_HR_Data[[#This Row],[Email]], Mapping[Email_Discarded], Mapping[Email_Correction]), LOWER(TRIM(tbl_HR_Data[[#This Row],[Email]])))</f>
        <v>name@company.org</v>
      </c>
      <c r="Q94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45" t="str" cm="1">
        <f t="array" ref="R945">_xlfn.REDUCE(Q945, {"-","/","_","\","(",")"}, _xlfn.LAMBDA(_xlpm.txt,_xlpm.itm, SUBSTITUTE(_xlpm.txt, _xlpm.itm, "")))</f>
        <v>Not Provided</v>
      </c>
      <c r="S945" s="3">
        <f>IFERROR(_xlfn.XLOOKUP(tbl_HR_Data[[#This Row],[Joining Date]], Mapping[Joining_Discarded], Mapping[Joining_Correction]), VALUE(tbl_HR_Data[[#This Row],[Joining Date]]))</f>
        <v>43881</v>
      </c>
      <c r="T945" t="str">
        <f>TEXT(tbl_HR_Data[[#This Row],[Joining Date]], "mmm")</f>
        <v>Feb</v>
      </c>
      <c r="U945" t="str">
        <f>TEXT(tbl_HR_Data[[#This Row],[Joining Date]], "ddd")</f>
        <v>Thu</v>
      </c>
    </row>
    <row r="946" spans="1:21" x14ac:dyDescent="0.35">
      <c r="A946" t="s">
        <v>104</v>
      </c>
      <c r="B946">
        <v>0</v>
      </c>
      <c r="C946">
        <v>60000</v>
      </c>
      <c r="D946" t="s">
        <v>18</v>
      </c>
      <c r="E946" t="s">
        <v>19</v>
      </c>
      <c r="F946" t="s">
        <v>13</v>
      </c>
      <c r="G946" s="3">
        <v>43881</v>
      </c>
      <c r="H946" t="str">
        <f>TEXT(tbl_HR_Data[[#This Row],[Joining Date]], "mmm")</f>
        <v>Feb</v>
      </c>
      <c r="I946" t="s">
        <v>92</v>
      </c>
      <c r="J946" t="s">
        <v>21</v>
      </c>
      <c r="K946" t="s">
        <v>15</v>
      </c>
      <c r="L946" t="s">
        <v>77</v>
      </c>
      <c r="M946">
        <f>IFERROR( _xlfn.XLOOKUP(TRIM(tbl_HR_Data[[#This Row],[Age]]),#REF!,#REF!), VALUE(TRIM(tbl_HR_Data[[#This Row],[Age]])))</f>
        <v>0</v>
      </c>
      <c r="N946" t="str">
        <f>IFERROR(_xlfn.XLOOKUP(tbl_HR_Data[[#This Row],[Gender]], Mapping[Gender _Discarded], Mapping[Gender_Correction]), PROPER(TRIM(tbl_HR_Data[[#This Row],[Gender]])))</f>
        <v>Female</v>
      </c>
      <c r="O946" t="str">
        <f>TRIM(tbl_HR_Data[[#This Row],[Position]])</f>
        <v>Manager</v>
      </c>
      <c r="P946" t="str">
        <f>IFERROR(_xlfn.XLOOKUP(tbl_HR_Data[[#This Row],[Email]], Mapping[Email_Discarded], Mapping[Email_Correction]), LOWER(TRIM(tbl_HR_Data[[#This Row],[Email]])))</f>
        <v>email@example.com</v>
      </c>
      <c r="Q94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46" t="str" cm="1">
        <f t="array" ref="R946">_xlfn.REDUCE(Q946, {"-","/","_","\","(",")"}, _xlfn.LAMBDA(_xlpm.txt,_xlpm.itm, SUBSTITUTE(_xlpm.txt, _xlpm.itm, "")))</f>
        <v>Not Provided</v>
      </c>
      <c r="S946" s="3">
        <f>IFERROR(_xlfn.XLOOKUP(tbl_HR_Data[[#This Row],[Joining Date]], Mapping[Joining_Discarded], Mapping[Joining_Correction]), VALUE(tbl_HR_Data[[#This Row],[Joining Date]]))</f>
        <v>43881</v>
      </c>
      <c r="T946" t="str">
        <f>TEXT(tbl_HR_Data[[#This Row],[Joining Date]], "mmm")</f>
        <v>Feb</v>
      </c>
      <c r="U946" t="str">
        <f>TEXT(tbl_HR_Data[[#This Row],[Joining Date]], "ddd")</f>
        <v>Thu</v>
      </c>
    </row>
    <row r="947" spans="1:21" x14ac:dyDescent="0.35">
      <c r="A947" t="s">
        <v>102</v>
      </c>
      <c r="B947">
        <v>0</v>
      </c>
      <c r="C947">
        <v>70000</v>
      </c>
      <c r="D947" t="s">
        <v>11</v>
      </c>
      <c r="E947" t="s">
        <v>26</v>
      </c>
      <c r="F947" t="s">
        <v>44</v>
      </c>
      <c r="G947" s="3">
        <v>43881</v>
      </c>
      <c r="H947" t="str">
        <f>TEXT(tbl_HR_Data[[#This Row],[Joining Date]], "mmm")</f>
        <v>Feb</v>
      </c>
      <c r="I947" t="s">
        <v>92</v>
      </c>
      <c r="J947" t="s">
        <v>27</v>
      </c>
      <c r="K947" t="s">
        <v>77</v>
      </c>
      <c r="L947" t="s">
        <v>88</v>
      </c>
      <c r="M947">
        <f>IFERROR( _xlfn.XLOOKUP(TRIM(tbl_HR_Data[[#This Row],[Age]]),#REF!,#REF!), VALUE(TRIM(tbl_HR_Data[[#This Row],[Age]])))</f>
        <v>0</v>
      </c>
      <c r="N947" t="str">
        <f>IFERROR(_xlfn.XLOOKUP(tbl_HR_Data[[#This Row],[Gender]], Mapping[Gender _Discarded], Mapping[Gender_Correction]), PROPER(TRIM(tbl_HR_Data[[#This Row],[Gender]])))</f>
        <v>Male</v>
      </c>
      <c r="O947" t="str">
        <f>TRIM(tbl_HR_Data[[#This Row],[Position]])</f>
        <v>Analyst</v>
      </c>
      <c r="P947" t="str">
        <f>IFERROR(_xlfn.XLOOKUP(tbl_HR_Data[[#This Row],[Email]], Mapping[Email_Discarded], Mapping[Email_Correction]), LOWER(TRIM(tbl_HR_Data[[#This Row],[Email]])))</f>
        <v>not provided</v>
      </c>
      <c r="Q94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947" t="str" cm="1">
        <f t="array" ref="R947">_xlfn.REDUCE(Q947, {"-","/","_","\","(",")"}, _xlfn.LAMBDA(_xlpm.txt,_xlpm.itm, SUBSTITUTE(_xlpm.txt, _xlpm.itm, "")))</f>
        <v>0987654321</v>
      </c>
      <c r="S947" s="3">
        <f>IFERROR(_xlfn.XLOOKUP(tbl_HR_Data[[#This Row],[Joining Date]], Mapping[Joining_Discarded], Mapping[Joining_Correction]), VALUE(tbl_HR_Data[[#This Row],[Joining Date]]))</f>
        <v>43881</v>
      </c>
      <c r="T947" t="str">
        <f>TEXT(tbl_HR_Data[[#This Row],[Joining Date]], "mmm")</f>
        <v>Feb</v>
      </c>
      <c r="U947" t="str">
        <f>TEXT(tbl_HR_Data[[#This Row],[Joining Date]], "ddd")</f>
        <v>Thu</v>
      </c>
    </row>
    <row r="948" spans="1:21" x14ac:dyDescent="0.35">
      <c r="A948" t="s">
        <v>102</v>
      </c>
      <c r="B948">
        <v>30</v>
      </c>
      <c r="C948">
        <v>70000</v>
      </c>
      <c r="D948" t="s">
        <v>36</v>
      </c>
      <c r="E948" t="s">
        <v>19</v>
      </c>
      <c r="F948" t="s">
        <v>44</v>
      </c>
      <c r="G948" s="3">
        <v>43881</v>
      </c>
      <c r="H948" t="str">
        <f>TEXT(tbl_HR_Data[[#This Row],[Joining Date]], "mmm")</f>
        <v>Feb</v>
      </c>
      <c r="I948" t="s">
        <v>92</v>
      </c>
      <c r="J948" t="s">
        <v>21</v>
      </c>
      <c r="K948" t="s">
        <v>77</v>
      </c>
      <c r="L948" t="s">
        <v>77</v>
      </c>
      <c r="M948">
        <f>IFERROR( _xlfn.XLOOKUP(TRIM(tbl_HR_Data[[#This Row],[Age]]),#REF!,#REF!), VALUE(TRIM(tbl_HR_Data[[#This Row],[Age]])))</f>
        <v>30</v>
      </c>
      <c r="N948" t="str">
        <f>IFERROR(_xlfn.XLOOKUP(tbl_HR_Data[[#This Row],[Gender]], Mapping[Gender _Discarded], Mapping[Gender_Correction]), PROPER(TRIM(tbl_HR_Data[[#This Row],[Gender]])))</f>
        <v>Other</v>
      </c>
      <c r="O948" t="str">
        <f>TRIM(tbl_HR_Data[[#This Row],[Position]])</f>
        <v>Analyst</v>
      </c>
      <c r="P948" t="str">
        <f>IFERROR(_xlfn.XLOOKUP(tbl_HR_Data[[#This Row],[Email]], Mapping[Email_Discarded], Mapping[Email_Correction]), LOWER(TRIM(tbl_HR_Data[[#This Row],[Email]])))</f>
        <v>not provided</v>
      </c>
      <c r="Q94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48" t="str" cm="1">
        <f t="array" ref="R948">_xlfn.REDUCE(Q948, {"-","/","_","\","(",")"}, _xlfn.LAMBDA(_xlpm.txt,_xlpm.itm, SUBSTITUTE(_xlpm.txt, _xlpm.itm, "")))</f>
        <v>Not Provided</v>
      </c>
      <c r="S948" s="3">
        <f>IFERROR(_xlfn.XLOOKUP(tbl_HR_Data[[#This Row],[Joining Date]], Mapping[Joining_Discarded], Mapping[Joining_Correction]), VALUE(tbl_HR_Data[[#This Row],[Joining Date]]))</f>
        <v>43881</v>
      </c>
      <c r="T948" t="str">
        <f>TEXT(tbl_HR_Data[[#This Row],[Joining Date]], "mmm")</f>
        <v>Feb</v>
      </c>
      <c r="U948" t="str">
        <f>TEXT(tbl_HR_Data[[#This Row],[Joining Date]], "ddd")</f>
        <v>Thu</v>
      </c>
    </row>
    <row r="949" spans="1:21" x14ac:dyDescent="0.35">
      <c r="A949" t="s">
        <v>105</v>
      </c>
      <c r="B949">
        <v>40</v>
      </c>
      <c r="C949">
        <v>55000</v>
      </c>
      <c r="D949" t="s">
        <v>11</v>
      </c>
      <c r="E949" t="s">
        <v>37</v>
      </c>
      <c r="F949" t="s">
        <v>13</v>
      </c>
      <c r="G949" s="3">
        <v>43881</v>
      </c>
      <c r="H949" t="str">
        <f>TEXT(tbl_HR_Data[[#This Row],[Joining Date]], "mmm")</f>
        <v>Feb</v>
      </c>
      <c r="I949" t="s">
        <v>92</v>
      </c>
      <c r="J949" t="s">
        <v>41</v>
      </c>
      <c r="K949" t="s">
        <v>32</v>
      </c>
      <c r="L949" t="s">
        <v>88</v>
      </c>
      <c r="M949">
        <f>IFERROR( _xlfn.XLOOKUP(TRIM(tbl_HR_Data[[#This Row],[Age]]),#REF!,#REF!), VALUE(TRIM(tbl_HR_Data[[#This Row],[Age]])))</f>
        <v>40</v>
      </c>
      <c r="N949" t="str">
        <f>IFERROR(_xlfn.XLOOKUP(tbl_HR_Data[[#This Row],[Gender]], Mapping[Gender _Discarded], Mapping[Gender_Correction]), PROPER(TRIM(tbl_HR_Data[[#This Row],[Gender]])))</f>
        <v>Male</v>
      </c>
      <c r="O949" t="str">
        <f>TRIM(tbl_HR_Data[[#This Row],[Position]])</f>
        <v>Manager</v>
      </c>
      <c r="P949" t="str">
        <f>IFERROR(_xlfn.XLOOKUP(tbl_HR_Data[[#This Row],[Email]], Mapping[Email_Discarded], Mapping[Email_Correction]), LOWER(TRIM(tbl_HR_Data[[#This Row],[Email]])))</f>
        <v>name@company.org</v>
      </c>
      <c r="Q94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949" t="str" cm="1">
        <f t="array" ref="R949">_xlfn.REDUCE(Q949, {"-","/","_","\","(",")"}, _xlfn.LAMBDA(_xlpm.txt,_xlpm.itm, SUBSTITUTE(_xlpm.txt, _xlpm.itm, "")))</f>
        <v>0987654321</v>
      </c>
      <c r="S949" s="3">
        <f>IFERROR(_xlfn.XLOOKUP(tbl_HR_Data[[#This Row],[Joining Date]], Mapping[Joining_Discarded], Mapping[Joining_Correction]), VALUE(tbl_HR_Data[[#This Row],[Joining Date]]))</f>
        <v>43881</v>
      </c>
      <c r="T949" t="str">
        <f>TEXT(tbl_HR_Data[[#This Row],[Joining Date]], "mmm")</f>
        <v>Feb</v>
      </c>
      <c r="U949" t="str">
        <f>TEXT(tbl_HR_Data[[#This Row],[Joining Date]], "ddd")</f>
        <v>Thu</v>
      </c>
    </row>
    <row r="950" spans="1:21" x14ac:dyDescent="0.35">
      <c r="A950" t="s">
        <v>107</v>
      </c>
      <c r="B950">
        <v>0</v>
      </c>
      <c r="C950">
        <v>55000</v>
      </c>
      <c r="D950" t="s">
        <v>11</v>
      </c>
      <c r="E950" t="s">
        <v>30</v>
      </c>
      <c r="F950" t="s">
        <v>13</v>
      </c>
      <c r="G950" s="3">
        <v>43881</v>
      </c>
      <c r="H950" t="str">
        <f>TEXT(tbl_HR_Data[[#This Row],[Joining Date]], "mmm")</f>
        <v>Feb</v>
      </c>
      <c r="I950" t="s">
        <v>92</v>
      </c>
      <c r="J950" t="s">
        <v>14</v>
      </c>
      <c r="K950" t="s">
        <v>32</v>
      </c>
      <c r="L950" t="s">
        <v>87</v>
      </c>
      <c r="M950">
        <f>IFERROR( _xlfn.XLOOKUP(TRIM(tbl_HR_Data[[#This Row],[Age]]),#REF!,#REF!), VALUE(TRIM(tbl_HR_Data[[#This Row],[Age]])))</f>
        <v>0</v>
      </c>
      <c r="N950" t="str">
        <f>IFERROR(_xlfn.XLOOKUP(tbl_HR_Data[[#This Row],[Gender]], Mapping[Gender _Discarded], Mapping[Gender_Correction]), PROPER(TRIM(tbl_HR_Data[[#This Row],[Gender]])))</f>
        <v>Male</v>
      </c>
      <c r="O950" t="str">
        <f>TRIM(tbl_HR_Data[[#This Row],[Position]])</f>
        <v>Manager</v>
      </c>
      <c r="P950" t="str">
        <f>IFERROR(_xlfn.XLOOKUP(tbl_HR_Data[[#This Row],[Email]], Mapping[Email_Discarded], Mapping[Email_Correction]), LOWER(TRIM(tbl_HR_Data[[#This Row],[Email]])))</f>
        <v>name@company.org</v>
      </c>
      <c r="Q95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50" t="str" cm="1">
        <f t="array" ref="R950">_xlfn.REDUCE(Q950, {"-","/","_","\","(",")"}, _xlfn.LAMBDA(_xlpm.txt,_xlpm.itm, SUBSTITUTE(_xlpm.txt, _xlpm.itm, "")))</f>
        <v>1234567890</v>
      </c>
      <c r="S950" s="3">
        <f>IFERROR(_xlfn.XLOOKUP(tbl_HR_Data[[#This Row],[Joining Date]], Mapping[Joining_Discarded], Mapping[Joining_Correction]), VALUE(tbl_HR_Data[[#This Row],[Joining Date]]))</f>
        <v>43881</v>
      </c>
      <c r="T950" t="str">
        <f>TEXT(tbl_HR_Data[[#This Row],[Joining Date]], "mmm")</f>
        <v>Feb</v>
      </c>
      <c r="U950" t="str">
        <f>TEXT(tbl_HR_Data[[#This Row],[Joining Date]], "ddd")</f>
        <v>Thu</v>
      </c>
    </row>
    <row r="951" spans="1:21" x14ac:dyDescent="0.35">
      <c r="A951" t="s">
        <v>101</v>
      </c>
      <c r="B951">
        <v>35</v>
      </c>
      <c r="C951">
        <v>65000</v>
      </c>
      <c r="D951" t="s">
        <v>36</v>
      </c>
      <c r="E951" t="s">
        <v>30</v>
      </c>
      <c r="F951" t="s">
        <v>13</v>
      </c>
      <c r="G951" s="3">
        <v>43881</v>
      </c>
      <c r="H951" t="str">
        <f>TEXT(tbl_HR_Data[[#This Row],[Joining Date]], "mmm")</f>
        <v>Feb</v>
      </c>
      <c r="I951" t="s">
        <v>92</v>
      </c>
      <c r="J951" t="s">
        <v>41</v>
      </c>
      <c r="K951" t="s">
        <v>22</v>
      </c>
      <c r="L951" t="s">
        <v>89</v>
      </c>
      <c r="M951">
        <f>IFERROR( _xlfn.XLOOKUP(TRIM(tbl_HR_Data[[#This Row],[Age]]),#REF!,#REF!), VALUE(TRIM(tbl_HR_Data[[#This Row],[Age]])))</f>
        <v>35</v>
      </c>
      <c r="N951" t="str">
        <f>IFERROR(_xlfn.XLOOKUP(tbl_HR_Data[[#This Row],[Gender]], Mapping[Gender _Discarded], Mapping[Gender_Correction]), PROPER(TRIM(tbl_HR_Data[[#This Row],[Gender]])))</f>
        <v>Other</v>
      </c>
      <c r="O951" t="str">
        <f>TRIM(tbl_HR_Data[[#This Row],[Position]])</f>
        <v>Manager</v>
      </c>
      <c r="P951" t="str">
        <f>IFERROR(_xlfn.XLOOKUP(tbl_HR_Data[[#This Row],[Email]], Mapping[Email_Discarded], Mapping[Email_Correction]), LOWER(TRIM(tbl_HR_Data[[#This Row],[Email]])))</f>
        <v>user@domain.com</v>
      </c>
      <c r="Q95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951" t="str" cm="1">
        <f t="array" ref="R951">_xlfn.REDUCE(Q951, {"-","/","_","\","(",")"}, _xlfn.LAMBDA(_xlpm.txt,_xlpm.itm, SUBSTITUTE(_xlpm.txt, _xlpm.itm, "")))</f>
        <v>5555555555</v>
      </c>
      <c r="S951" s="3">
        <f>IFERROR(_xlfn.XLOOKUP(tbl_HR_Data[[#This Row],[Joining Date]], Mapping[Joining_Discarded], Mapping[Joining_Correction]), VALUE(tbl_HR_Data[[#This Row],[Joining Date]]))</f>
        <v>43881</v>
      </c>
      <c r="T951" t="str">
        <f>TEXT(tbl_HR_Data[[#This Row],[Joining Date]], "mmm")</f>
        <v>Feb</v>
      </c>
      <c r="U951" t="str">
        <f>TEXT(tbl_HR_Data[[#This Row],[Joining Date]], "ddd")</f>
        <v>Thu</v>
      </c>
    </row>
    <row r="952" spans="1:21" x14ac:dyDescent="0.35">
      <c r="A952" t="s">
        <v>104</v>
      </c>
      <c r="B952">
        <v>35</v>
      </c>
      <c r="C952">
        <v>0</v>
      </c>
      <c r="D952" t="s">
        <v>18</v>
      </c>
      <c r="E952" t="s">
        <v>26</v>
      </c>
      <c r="F952" t="s">
        <v>20</v>
      </c>
      <c r="G952" s="3">
        <v>43881</v>
      </c>
      <c r="H952" t="str">
        <f>TEXT(tbl_HR_Data[[#This Row],[Joining Date]], "mmm")</f>
        <v>Feb</v>
      </c>
      <c r="I952" t="s">
        <v>92</v>
      </c>
      <c r="J952" t="s">
        <v>14</v>
      </c>
      <c r="K952" t="s">
        <v>22</v>
      </c>
      <c r="L952" t="s">
        <v>89</v>
      </c>
      <c r="M952">
        <f>IFERROR( _xlfn.XLOOKUP(TRIM(tbl_HR_Data[[#This Row],[Age]]),#REF!,#REF!), VALUE(TRIM(tbl_HR_Data[[#This Row],[Age]])))</f>
        <v>35</v>
      </c>
      <c r="N952" t="str">
        <f>IFERROR(_xlfn.XLOOKUP(tbl_HR_Data[[#This Row],[Gender]], Mapping[Gender _Discarded], Mapping[Gender_Correction]), PROPER(TRIM(tbl_HR_Data[[#This Row],[Gender]])))</f>
        <v>Female</v>
      </c>
      <c r="O952" t="str">
        <f>TRIM(tbl_HR_Data[[#This Row],[Position]])</f>
        <v>Director</v>
      </c>
      <c r="P952" t="str">
        <f>IFERROR(_xlfn.XLOOKUP(tbl_HR_Data[[#This Row],[Email]], Mapping[Email_Discarded], Mapping[Email_Correction]), LOWER(TRIM(tbl_HR_Data[[#This Row],[Email]])))</f>
        <v>user@domain.com</v>
      </c>
      <c r="Q95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952" t="str" cm="1">
        <f t="array" ref="R952">_xlfn.REDUCE(Q952, {"-","/","_","\","(",")"}, _xlfn.LAMBDA(_xlpm.txt,_xlpm.itm, SUBSTITUTE(_xlpm.txt, _xlpm.itm, "")))</f>
        <v>5555555555</v>
      </c>
      <c r="S952" s="3">
        <f>IFERROR(_xlfn.XLOOKUP(tbl_HR_Data[[#This Row],[Joining Date]], Mapping[Joining_Discarded], Mapping[Joining_Correction]), VALUE(tbl_HR_Data[[#This Row],[Joining Date]]))</f>
        <v>43881</v>
      </c>
      <c r="T952" t="str">
        <f>TEXT(tbl_HR_Data[[#This Row],[Joining Date]], "mmm")</f>
        <v>Feb</v>
      </c>
      <c r="U952" t="str">
        <f>TEXT(tbl_HR_Data[[#This Row],[Joining Date]], "ddd")</f>
        <v>Thu</v>
      </c>
    </row>
    <row r="953" spans="1:21" x14ac:dyDescent="0.35">
      <c r="A953" t="s">
        <v>103</v>
      </c>
      <c r="B953">
        <v>35</v>
      </c>
      <c r="C953">
        <v>50000</v>
      </c>
      <c r="D953" t="s">
        <v>11</v>
      </c>
      <c r="E953" t="s">
        <v>12</v>
      </c>
      <c r="F953" t="s">
        <v>39</v>
      </c>
      <c r="G953" s="3">
        <v>43881</v>
      </c>
      <c r="H953" t="str">
        <f>TEXT(tbl_HR_Data[[#This Row],[Joining Date]], "mmm")</f>
        <v>Feb</v>
      </c>
      <c r="I953" t="s">
        <v>92</v>
      </c>
      <c r="J953" t="s">
        <v>41</v>
      </c>
      <c r="K953" t="s">
        <v>22</v>
      </c>
      <c r="L953" t="s">
        <v>87</v>
      </c>
      <c r="M953">
        <f>IFERROR( _xlfn.XLOOKUP(TRIM(tbl_HR_Data[[#This Row],[Age]]),#REF!,#REF!), VALUE(TRIM(tbl_HR_Data[[#This Row],[Age]])))</f>
        <v>35</v>
      </c>
      <c r="N953" t="str">
        <f>IFERROR(_xlfn.XLOOKUP(tbl_HR_Data[[#This Row],[Gender]], Mapping[Gender _Discarded], Mapping[Gender_Correction]), PROPER(TRIM(tbl_HR_Data[[#This Row],[Gender]])))</f>
        <v>Male</v>
      </c>
      <c r="O953" t="str">
        <f>TRIM(tbl_HR_Data[[#This Row],[Position]])</f>
        <v>Clerk</v>
      </c>
      <c r="P953" t="str">
        <f>IFERROR(_xlfn.XLOOKUP(tbl_HR_Data[[#This Row],[Email]], Mapping[Email_Discarded], Mapping[Email_Correction]), LOWER(TRIM(tbl_HR_Data[[#This Row],[Email]])))</f>
        <v>user@domain.com</v>
      </c>
      <c r="Q95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53" t="str" cm="1">
        <f t="array" ref="R953">_xlfn.REDUCE(Q953, {"-","/","_","\","(",")"}, _xlfn.LAMBDA(_xlpm.txt,_xlpm.itm, SUBSTITUTE(_xlpm.txt, _xlpm.itm, "")))</f>
        <v>1234567890</v>
      </c>
      <c r="S953" s="3">
        <f>IFERROR(_xlfn.XLOOKUP(tbl_HR_Data[[#This Row],[Joining Date]], Mapping[Joining_Discarded], Mapping[Joining_Correction]), VALUE(tbl_HR_Data[[#This Row],[Joining Date]]))</f>
        <v>43881</v>
      </c>
      <c r="T953" t="str">
        <f>TEXT(tbl_HR_Data[[#This Row],[Joining Date]], "mmm")</f>
        <v>Feb</v>
      </c>
      <c r="U953" t="str">
        <f>TEXT(tbl_HR_Data[[#This Row],[Joining Date]], "ddd")</f>
        <v>Thu</v>
      </c>
    </row>
    <row r="954" spans="1:21" x14ac:dyDescent="0.35">
      <c r="A954" t="s">
        <v>108</v>
      </c>
      <c r="B954">
        <v>35</v>
      </c>
      <c r="C954">
        <v>65000</v>
      </c>
      <c r="D954" t="s">
        <v>11</v>
      </c>
      <c r="E954" t="s">
        <v>37</v>
      </c>
      <c r="F954" t="s">
        <v>20</v>
      </c>
      <c r="G954" s="3">
        <v>43881</v>
      </c>
      <c r="H954" t="str">
        <f>TEXT(tbl_HR_Data[[#This Row],[Joining Date]], "mmm")</f>
        <v>Feb</v>
      </c>
      <c r="I954" t="s">
        <v>92</v>
      </c>
      <c r="J954" t="s">
        <v>27</v>
      </c>
      <c r="K954" t="s">
        <v>77</v>
      </c>
      <c r="L954" t="s">
        <v>87</v>
      </c>
      <c r="M954">
        <f>IFERROR( _xlfn.XLOOKUP(TRIM(tbl_HR_Data[[#This Row],[Age]]),#REF!,#REF!), VALUE(TRIM(tbl_HR_Data[[#This Row],[Age]])))</f>
        <v>35</v>
      </c>
      <c r="N954" t="str">
        <f>IFERROR(_xlfn.XLOOKUP(tbl_HR_Data[[#This Row],[Gender]], Mapping[Gender _Discarded], Mapping[Gender_Correction]), PROPER(TRIM(tbl_HR_Data[[#This Row],[Gender]])))</f>
        <v>Male</v>
      </c>
      <c r="O954" t="str">
        <f>TRIM(tbl_HR_Data[[#This Row],[Position]])</f>
        <v>Director</v>
      </c>
      <c r="P954" t="str">
        <f>IFERROR(_xlfn.XLOOKUP(tbl_HR_Data[[#This Row],[Email]], Mapping[Email_Discarded], Mapping[Email_Correction]), LOWER(TRIM(tbl_HR_Data[[#This Row],[Email]])))</f>
        <v>not provided</v>
      </c>
      <c r="Q95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54" t="str" cm="1">
        <f t="array" ref="R954">_xlfn.REDUCE(Q954, {"-","/","_","\","(",")"}, _xlfn.LAMBDA(_xlpm.txt,_xlpm.itm, SUBSTITUTE(_xlpm.txt, _xlpm.itm, "")))</f>
        <v>1234567890</v>
      </c>
      <c r="S954" s="3">
        <f>IFERROR(_xlfn.XLOOKUP(tbl_HR_Data[[#This Row],[Joining Date]], Mapping[Joining_Discarded], Mapping[Joining_Correction]), VALUE(tbl_HR_Data[[#This Row],[Joining Date]]))</f>
        <v>43881</v>
      </c>
      <c r="T954" t="str">
        <f>TEXT(tbl_HR_Data[[#This Row],[Joining Date]], "mmm")</f>
        <v>Feb</v>
      </c>
      <c r="U954" t="str">
        <f>TEXT(tbl_HR_Data[[#This Row],[Joining Date]], "ddd")</f>
        <v>Thu</v>
      </c>
    </row>
    <row r="955" spans="1:21" x14ac:dyDescent="0.35">
      <c r="A955" t="s">
        <v>100</v>
      </c>
      <c r="B955">
        <v>50</v>
      </c>
      <c r="C955">
        <v>70000</v>
      </c>
      <c r="D955" t="s">
        <v>11</v>
      </c>
      <c r="E955" t="s">
        <v>19</v>
      </c>
      <c r="F955" t="s">
        <v>13</v>
      </c>
      <c r="G955" s="3">
        <v>43881</v>
      </c>
      <c r="H955" t="str">
        <f>TEXT(tbl_HR_Data[[#This Row],[Joining Date]], "mmm")</f>
        <v>Feb</v>
      </c>
      <c r="I955" t="s">
        <v>92</v>
      </c>
      <c r="J955" t="s">
        <v>41</v>
      </c>
      <c r="K955" t="s">
        <v>22</v>
      </c>
      <c r="L955" t="s">
        <v>77</v>
      </c>
      <c r="M955">
        <f>IFERROR( _xlfn.XLOOKUP(TRIM(tbl_HR_Data[[#This Row],[Age]]),#REF!,#REF!), VALUE(TRIM(tbl_HR_Data[[#This Row],[Age]])))</f>
        <v>50</v>
      </c>
      <c r="N955" t="str">
        <f>IFERROR(_xlfn.XLOOKUP(tbl_HR_Data[[#This Row],[Gender]], Mapping[Gender _Discarded], Mapping[Gender_Correction]), PROPER(TRIM(tbl_HR_Data[[#This Row],[Gender]])))</f>
        <v>Male</v>
      </c>
      <c r="O955" t="str">
        <f>TRIM(tbl_HR_Data[[#This Row],[Position]])</f>
        <v>Manager</v>
      </c>
      <c r="P955" t="str">
        <f>IFERROR(_xlfn.XLOOKUP(tbl_HR_Data[[#This Row],[Email]], Mapping[Email_Discarded], Mapping[Email_Correction]), LOWER(TRIM(tbl_HR_Data[[#This Row],[Email]])))</f>
        <v>user@domain.com</v>
      </c>
      <c r="Q95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55" t="str" cm="1">
        <f t="array" ref="R955">_xlfn.REDUCE(Q955, {"-","/","_","\","(",")"}, _xlfn.LAMBDA(_xlpm.txt,_xlpm.itm, SUBSTITUTE(_xlpm.txt, _xlpm.itm, "")))</f>
        <v>Not Provided</v>
      </c>
      <c r="S955" s="3">
        <f>IFERROR(_xlfn.XLOOKUP(tbl_HR_Data[[#This Row],[Joining Date]], Mapping[Joining_Discarded], Mapping[Joining_Correction]), VALUE(tbl_HR_Data[[#This Row],[Joining Date]]))</f>
        <v>43881</v>
      </c>
      <c r="T955" t="str">
        <f>TEXT(tbl_HR_Data[[#This Row],[Joining Date]], "mmm")</f>
        <v>Feb</v>
      </c>
      <c r="U955" t="str">
        <f>TEXT(tbl_HR_Data[[#This Row],[Joining Date]], "ddd")</f>
        <v>Thu</v>
      </c>
    </row>
    <row r="956" spans="1:21" x14ac:dyDescent="0.35">
      <c r="A956" t="s">
        <v>102</v>
      </c>
      <c r="B956">
        <v>0</v>
      </c>
      <c r="C956">
        <v>65000</v>
      </c>
      <c r="D956" t="s">
        <v>11</v>
      </c>
      <c r="E956" t="s">
        <v>30</v>
      </c>
      <c r="F956" t="s">
        <v>13</v>
      </c>
      <c r="G956" s="3">
        <v>43881</v>
      </c>
      <c r="H956" t="str">
        <f>TEXT(tbl_HR_Data[[#This Row],[Joining Date]], "mmm")</f>
        <v>Feb</v>
      </c>
      <c r="I956" t="s">
        <v>92</v>
      </c>
      <c r="J956" t="s">
        <v>31</v>
      </c>
      <c r="K956" t="s">
        <v>77</v>
      </c>
      <c r="L956" t="s">
        <v>88</v>
      </c>
      <c r="M956">
        <f>IFERROR( _xlfn.XLOOKUP(TRIM(tbl_HR_Data[[#This Row],[Age]]),#REF!,#REF!), VALUE(TRIM(tbl_HR_Data[[#This Row],[Age]])))</f>
        <v>0</v>
      </c>
      <c r="N956" t="str">
        <f>IFERROR(_xlfn.XLOOKUP(tbl_HR_Data[[#This Row],[Gender]], Mapping[Gender _Discarded], Mapping[Gender_Correction]), PROPER(TRIM(tbl_HR_Data[[#This Row],[Gender]])))</f>
        <v>Male</v>
      </c>
      <c r="O956" t="str">
        <f>TRIM(tbl_HR_Data[[#This Row],[Position]])</f>
        <v>Manager</v>
      </c>
      <c r="P956" t="str">
        <f>IFERROR(_xlfn.XLOOKUP(tbl_HR_Data[[#This Row],[Email]], Mapping[Email_Discarded], Mapping[Email_Correction]), LOWER(TRIM(tbl_HR_Data[[#This Row],[Email]])))</f>
        <v>not provided</v>
      </c>
      <c r="Q95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956" t="str" cm="1">
        <f t="array" ref="R956">_xlfn.REDUCE(Q956, {"-","/","_","\","(",")"}, _xlfn.LAMBDA(_xlpm.txt,_xlpm.itm, SUBSTITUTE(_xlpm.txt, _xlpm.itm, "")))</f>
        <v>0987654321</v>
      </c>
      <c r="S956" s="3">
        <f>IFERROR(_xlfn.XLOOKUP(tbl_HR_Data[[#This Row],[Joining Date]], Mapping[Joining_Discarded], Mapping[Joining_Correction]), VALUE(tbl_HR_Data[[#This Row],[Joining Date]]))</f>
        <v>43881</v>
      </c>
      <c r="T956" t="str">
        <f>TEXT(tbl_HR_Data[[#This Row],[Joining Date]], "mmm")</f>
        <v>Feb</v>
      </c>
      <c r="U956" t="str">
        <f>TEXT(tbl_HR_Data[[#This Row],[Joining Date]], "ddd")</f>
        <v>Thu</v>
      </c>
    </row>
    <row r="957" spans="1:21" x14ac:dyDescent="0.35">
      <c r="A957" t="s">
        <v>99</v>
      </c>
      <c r="B957">
        <v>0</v>
      </c>
      <c r="C957">
        <v>65000</v>
      </c>
      <c r="D957" t="s">
        <v>18</v>
      </c>
      <c r="E957" t="s">
        <v>19</v>
      </c>
      <c r="F957" t="s">
        <v>13</v>
      </c>
      <c r="G957" s="3">
        <v>43881</v>
      </c>
      <c r="H957" t="str">
        <f>TEXT(tbl_HR_Data[[#This Row],[Joining Date]], "mmm")</f>
        <v>Feb</v>
      </c>
      <c r="I957" t="s">
        <v>92</v>
      </c>
      <c r="J957" t="s">
        <v>27</v>
      </c>
      <c r="K957" t="s">
        <v>22</v>
      </c>
      <c r="L957" t="s">
        <v>89</v>
      </c>
      <c r="M957">
        <f>IFERROR( _xlfn.XLOOKUP(TRIM(tbl_HR_Data[[#This Row],[Age]]),#REF!,#REF!), VALUE(TRIM(tbl_HR_Data[[#This Row],[Age]])))</f>
        <v>0</v>
      </c>
      <c r="N957" t="str">
        <f>IFERROR(_xlfn.XLOOKUP(tbl_HR_Data[[#This Row],[Gender]], Mapping[Gender _Discarded], Mapping[Gender_Correction]), PROPER(TRIM(tbl_HR_Data[[#This Row],[Gender]])))</f>
        <v>Female</v>
      </c>
      <c r="O957" t="str">
        <f>TRIM(tbl_HR_Data[[#This Row],[Position]])</f>
        <v>Manager</v>
      </c>
      <c r="P957" t="str">
        <f>IFERROR(_xlfn.XLOOKUP(tbl_HR_Data[[#This Row],[Email]], Mapping[Email_Discarded], Mapping[Email_Correction]), LOWER(TRIM(tbl_HR_Data[[#This Row],[Email]])))</f>
        <v>user@domain.com</v>
      </c>
      <c r="Q95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957" t="str" cm="1">
        <f t="array" ref="R957">_xlfn.REDUCE(Q957, {"-","/","_","\","(",")"}, _xlfn.LAMBDA(_xlpm.txt,_xlpm.itm, SUBSTITUTE(_xlpm.txt, _xlpm.itm, "")))</f>
        <v>5555555555</v>
      </c>
      <c r="S957" s="3">
        <f>IFERROR(_xlfn.XLOOKUP(tbl_HR_Data[[#This Row],[Joining Date]], Mapping[Joining_Discarded], Mapping[Joining_Correction]), VALUE(tbl_HR_Data[[#This Row],[Joining Date]]))</f>
        <v>43881</v>
      </c>
      <c r="T957" t="str">
        <f>TEXT(tbl_HR_Data[[#This Row],[Joining Date]], "mmm")</f>
        <v>Feb</v>
      </c>
      <c r="U957" t="str">
        <f>TEXT(tbl_HR_Data[[#This Row],[Joining Date]], "ddd")</f>
        <v>Thu</v>
      </c>
    </row>
    <row r="958" spans="1:21" x14ac:dyDescent="0.35">
      <c r="A958" t="s">
        <v>99</v>
      </c>
      <c r="B958">
        <v>50</v>
      </c>
      <c r="C958">
        <v>50000</v>
      </c>
      <c r="D958" t="s">
        <v>36</v>
      </c>
      <c r="E958" t="s">
        <v>19</v>
      </c>
      <c r="F958" t="s">
        <v>13</v>
      </c>
      <c r="G958" s="3">
        <v>43881</v>
      </c>
      <c r="H958" t="str">
        <f>TEXT(tbl_HR_Data[[#This Row],[Joining Date]], "mmm")</f>
        <v>Feb</v>
      </c>
      <c r="I958" t="s">
        <v>92</v>
      </c>
      <c r="J958" t="s">
        <v>27</v>
      </c>
      <c r="K958" t="s">
        <v>77</v>
      </c>
      <c r="L958" t="s">
        <v>77</v>
      </c>
      <c r="M958">
        <f>IFERROR( _xlfn.XLOOKUP(TRIM(tbl_HR_Data[[#This Row],[Age]]),#REF!,#REF!), VALUE(TRIM(tbl_HR_Data[[#This Row],[Age]])))</f>
        <v>50</v>
      </c>
      <c r="N958" t="str">
        <f>IFERROR(_xlfn.XLOOKUP(tbl_HR_Data[[#This Row],[Gender]], Mapping[Gender _Discarded], Mapping[Gender_Correction]), PROPER(TRIM(tbl_HR_Data[[#This Row],[Gender]])))</f>
        <v>Other</v>
      </c>
      <c r="O958" t="str">
        <f>TRIM(tbl_HR_Data[[#This Row],[Position]])</f>
        <v>Manager</v>
      </c>
      <c r="P958" t="str">
        <f>IFERROR(_xlfn.XLOOKUP(tbl_HR_Data[[#This Row],[Email]], Mapping[Email_Discarded], Mapping[Email_Correction]), LOWER(TRIM(tbl_HR_Data[[#This Row],[Email]])))</f>
        <v>not provided</v>
      </c>
      <c r="Q95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58" t="str" cm="1">
        <f t="array" ref="R958">_xlfn.REDUCE(Q958, {"-","/","_","\","(",")"}, _xlfn.LAMBDA(_xlpm.txt,_xlpm.itm, SUBSTITUTE(_xlpm.txt, _xlpm.itm, "")))</f>
        <v>Not Provided</v>
      </c>
      <c r="S958" s="3">
        <f>IFERROR(_xlfn.XLOOKUP(tbl_HR_Data[[#This Row],[Joining Date]], Mapping[Joining_Discarded], Mapping[Joining_Correction]), VALUE(tbl_HR_Data[[#This Row],[Joining Date]]))</f>
        <v>43881</v>
      </c>
      <c r="T958" t="str">
        <f>TEXT(tbl_HR_Data[[#This Row],[Joining Date]], "mmm")</f>
        <v>Feb</v>
      </c>
      <c r="U958" t="str">
        <f>TEXT(tbl_HR_Data[[#This Row],[Joining Date]], "ddd")</f>
        <v>Thu</v>
      </c>
    </row>
    <row r="959" spans="1:21" x14ac:dyDescent="0.35">
      <c r="A959" t="s">
        <v>105</v>
      </c>
      <c r="B959">
        <v>0</v>
      </c>
      <c r="C959">
        <v>0</v>
      </c>
      <c r="D959" t="s">
        <v>11</v>
      </c>
      <c r="E959" t="s">
        <v>19</v>
      </c>
      <c r="F959" t="s">
        <v>43</v>
      </c>
      <c r="G959" s="3">
        <v>43881</v>
      </c>
      <c r="H959" t="str">
        <f>TEXT(tbl_HR_Data[[#This Row],[Joining Date]], "mmm")</f>
        <v>Feb</v>
      </c>
      <c r="I959" t="s">
        <v>92</v>
      </c>
      <c r="J959" t="s">
        <v>41</v>
      </c>
      <c r="K959" t="s">
        <v>77</v>
      </c>
      <c r="L959" t="s">
        <v>77</v>
      </c>
      <c r="M959">
        <f>IFERROR( _xlfn.XLOOKUP(TRIM(tbl_HR_Data[[#This Row],[Age]]),#REF!,#REF!), VALUE(TRIM(tbl_HR_Data[[#This Row],[Age]])))</f>
        <v>0</v>
      </c>
      <c r="N959" t="str">
        <f>IFERROR(_xlfn.XLOOKUP(tbl_HR_Data[[#This Row],[Gender]], Mapping[Gender _Discarded], Mapping[Gender_Correction]), PROPER(TRIM(tbl_HR_Data[[#This Row],[Gender]])))</f>
        <v>Male</v>
      </c>
      <c r="O959" t="str">
        <f>TRIM(tbl_HR_Data[[#This Row],[Position]])</f>
        <v>Assistant</v>
      </c>
      <c r="P959" t="str">
        <f>IFERROR(_xlfn.XLOOKUP(tbl_HR_Data[[#This Row],[Email]], Mapping[Email_Discarded], Mapping[Email_Correction]), LOWER(TRIM(tbl_HR_Data[[#This Row],[Email]])))</f>
        <v>not provided</v>
      </c>
      <c r="Q95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59" t="str" cm="1">
        <f t="array" ref="R959">_xlfn.REDUCE(Q959, {"-","/","_","\","(",")"}, _xlfn.LAMBDA(_xlpm.txt,_xlpm.itm, SUBSTITUTE(_xlpm.txt, _xlpm.itm, "")))</f>
        <v>Not Provided</v>
      </c>
      <c r="S959" s="3">
        <f>IFERROR(_xlfn.XLOOKUP(tbl_HR_Data[[#This Row],[Joining Date]], Mapping[Joining_Discarded], Mapping[Joining_Correction]), VALUE(tbl_HR_Data[[#This Row],[Joining Date]]))</f>
        <v>43881</v>
      </c>
      <c r="T959" t="str">
        <f>TEXT(tbl_HR_Data[[#This Row],[Joining Date]], "mmm")</f>
        <v>Feb</v>
      </c>
      <c r="U959" t="str">
        <f>TEXT(tbl_HR_Data[[#This Row],[Joining Date]], "ddd")</f>
        <v>Thu</v>
      </c>
    </row>
    <row r="960" spans="1:21" x14ac:dyDescent="0.35">
      <c r="A960" t="s">
        <v>107</v>
      </c>
      <c r="B960">
        <v>35</v>
      </c>
      <c r="C960">
        <v>70000</v>
      </c>
      <c r="D960" t="s">
        <v>18</v>
      </c>
      <c r="E960" t="s">
        <v>30</v>
      </c>
      <c r="F960" t="s">
        <v>44</v>
      </c>
      <c r="G960" s="3">
        <v>43881</v>
      </c>
      <c r="H960" t="str">
        <f>TEXT(tbl_HR_Data[[#This Row],[Joining Date]], "mmm")</f>
        <v>Feb</v>
      </c>
      <c r="I960" t="s">
        <v>92</v>
      </c>
      <c r="J960" t="s">
        <v>31</v>
      </c>
      <c r="K960" t="s">
        <v>15</v>
      </c>
      <c r="L960" t="s">
        <v>88</v>
      </c>
      <c r="M960">
        <f>IFERROR( _xlfn.XLOOKUP(TRIM(tbl_HR_Data[[#This Row],[Age]]),#REF!,#REF!), VALUE(TRIM(tbl_HR_Data[[#This Row],[Age]])))</f>
        <v>35</v>
      </c>
      <c r="N960" t="str">
        <f>IFERROR(_xlfn.XLOOKUP(tbl_HR_Data[[#This Row],[Gender]], Mapping[Gender _Discarded], Mapping[Gender_Correction]), PROPER(TRIM(tbl_HR_Data[[#This Row],[Gender]])))</f>
        <v>Female</v>
      </c>
      <c r="O960" t="str">
        <f>TRIM(tbl_HR_Data[[#This Row],[Position]])</f>
        <v>Analyst</v>
      </c>
      <c r="P960" t="str">
        <f>IFERROR(_xlfn.XLOOKUP(tbl_HR_Data[[#This Row],[Email]], Mapping[Email_Discarded], Mapping[Email_Correction]), LOWER(TRIM(tbl_HR_Data[[#This Row],[Email]])))</f>
        <v>email@example.com</v>
      </c>
      <c r="Q96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960" t="str" cm="1">
        <f t="array" ref="R960">_xlfn.REDUCE(Q960, {"-","/","_","\","(",")"}, _xlfn.LAMBDA(_xlpm.txt,_xlpm.itm, SUBSTITUTE(_xlpm.txt, _xlpm.itm, "")))</f>
        <v>0987654321</v>
      </c>
      <c r="S960" s="3">
        <f>IFERROR(_xlfn.XLOOKUP(tbl_HR_Data[[#This Row],[Joining Date]], Mapping[Joining_Discarded], Mapping[Joining_Correction]), VALUE(tbl_HR_Data[[#This Row],[Joining Date]]))</f>
        <v>43881</v>
      </c>
      <c r="T960" t="str">
        <f>TEXT(tbl_HR_Data[[#This Row],[Joining Date]], "mmm")</f>
        <v>Feb</v>
      </c>
      <c r="U960" t="str">
        <f>TEXT(tbl_HR_Data[[#This Row],[Joining Date]], "ddd")</f>
        <v>Thu</v>
      </c>
    </row>
    <row r="961" spans="1:21" x14ac:dyDescent="0.35">
      <c r="A961" t="s">
        <v>101</v>
      </c>
      <c r="B961">
        <v>25</v>
      </c>
      <c r="C961">
        <v>65000</v>
      </c>
      <c r="D961" t="s">
        <v>18</v>
      </c>
      <c r="E961" t="s">
        <v>37</v>
      </c>
      <c r="F961" t="s">
        <v>43</v>
      </c>
      <c r="G961" s="3">
        <v>43881</v>
      </c>
      <c r="H961" t="str">
        <f>TEXT(tbl_HR_Data[[#This Row],[Joining Date]], "mmm")</f>
        <v>Feb</v>
      </c>
      <c r="I961" t="s">
        <v>92</v>
      </c>
      <c r="J961" t="s">
        <v>31</v>
      </c>
      <c r="K961" t="s">
        <v>77</v>
      </c>
      <c r="L961" t="s">
        <v>89</v>
      </c>
      <c r="M961">
        <f>IFERROR( _xlfn.XLOOKUP(TRIM(tbl_HR_Data[[#This Row],[Age]]),#REF!,#REF!), VALUE(TRIM(tbl_HR_Data[[#This Row],[Age]])))</f>
        <v>25</v>
      </c>
      <c r="N961" t="str">
        <f>IFERROR(_xlfn.XLOOKUP(tbl_HR_Data[[#This Row],[Gender]], Mapping[Gender _Discarded], Mapping[Gender_Correction]), PROPER(TRIM(tbl_HR_Data[[#This Row],[Gender]])))</f>
        <v>Female</v>
      </c>
      <c r="O961" t="str">
        <f>TRIM(tbl_HR_Data[[#This Row],[Position]])</f>
        <v>Assistant</v>
      </c>
      <c r="P961" t="str">
        <f>IFERROR(_xlfn.XLOOKUP(tbl_HR_Data[[#This Row],[Email]], Mapping[Email_Discarded], Mapping[Email_Correction]), LOWER(TRIM(tbl_HR_Data[[#This Row],[Email]])))</f>
        <v>not provided</v>
      </c>
      <c r="Q96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961" t="str" cm="1">
        <f t="array" ref="R961">_xlfn.REDUCE(Q961, {"-","/","_","\","(",")"}, _xlfn.LAMBDA(_xlpm.txt,_xlpm.itm, SUBSTITUTE(_xlpm.txt, _xlpm.itm, "")))</f>
        <v>5555555555</v>
      </c>
      <c r="S961" s="3">
        <f>IFERROR(_xlfn.XLOOKUP(tbl_HR_Data[[#This Row],[Joining Date]], Mapping[Joining_Discarded], Mapping[Joining_Correction]), VALUE(tbl_HR_Data[[#This Row],[Joining Date]]))</f>
        <v>43881</v>
      </c>
      <c r="T961" t="str">
        <f>TEXT(tbl_HR_Data[[#This Row],[Joining Date]], "mmm")</f>
        <v>Feb</v>
      </c>
      <c r="U961" t="str">
        <f>TEXT(tbl_HR_Data[[#This Row],[Joining Date]], "ddd")</f>
        <v>Thu</v>
      </c>
    </row>
    <row r="962" spans="1:21" x14ac:dyDescent="0.35">
      <c r="A962" t="s">
        <v>106</v>
      </c>
      <c r="B962">
        <v>0</v>
      </c>
      <c r="C962">
        <v>60000</v>
      </c>
      <c r="D962" t="s">
        <v>11</v>
      </c>
      <c r="E962" t="s">
        <v>12</v>
      </c>
      <c r="F962" t="s">
        <v>13</v>
      </c>
      <c r="G962" s="3">
        <v>43881</v>
      </c>
      <c r="H962" t="str">
        <f>TEXT(tbl_HR_Data[[#This Row],[Joining Date]], "mmm")</f>
        <v>Feb</v>
      </c>
      <c r="I962" t="s">
        <v>92</v>
      </c>
      <c r="J962" t="s">
        <v>27</v>
      </c>
      <c r="K962" t="s">
        <v>77</v>
      </c>
      <c r="L962" t="s">
        <v>89</v>
      </c>
      <c r="M962">
        <f>IFERROR( _xlfn.XLOOKUP(TRIM(tbl_HR_Data[[#This Row],[Age]]),#REF!,#REF!), VALUE(TRIM(tbl_HR_Data[[#This Row],[Age]])))</f>
        <v>0</v>
      </c>
      <c r="N962" t="str">
        <f>IFERROR(_xlfn.XLOOKUP(tbl_HR_Data[[#This Row],[Gender]], Mapping[Gender _Discarded], Mapping[Gender_Correction]), PROPER(TRIM(tbl_HR_Data[[#This Row],[Gender]])))</f>
        <v>Male</v>
      </c>
      <c r="O962" t="str">
        <f>TRIM(tbl_HR_Data[[#This Row],[Position]])</f>
        <v>Manager</v>
      </c>
      <c r="P962" t="str">
        <f>IFERROR(_xlfn.XLOOKUP(tbl_HR_Data[[#This Row],[Email]], Mapping[Email_Discarded], Mapping[Email_Correction]), LOWER(TRIM(tbl_HR_Data[[#This Row],[Email]])))</f>
        <v>not provided</v>
      </c>
      <c r="Q96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962" t="str" cm="1">
        <f t="array" ref="R962">_xlfn.REDUCE(Q962, {"-","/","_","\","(",")"}, _xlfn.LAMBDA(_xlpm.txt,_xlpm.itm, SUBSTITUTE(_xlpm.txt, _xlpm.itm, "")))</f>
        <v>5555555555</v>
      </c>
      <c r="S962" s="3">
        <f>IFERROR(_xlfn.XLOOKUP(tbl_HR_Data[[#This Row],[Joining Date]], Mapping[Joining_Discarded], Mapping[Joining_Correction]), VALUE(tbl_HR_Data[[#This Row],[Joining Date]]))</f>
        <v>43881</v>
      </c>
      <c r="T962" t="str">
        <f>TEXT(tbl_HR_Data[[#This Row],[Joining Date]], "mmm")</f>
        <v>Feb</v>
      </c>
      <c r="U962" t="str">
        <f>TEXT(tbl_HR_Data[[#This Row],[Joining Date]], "ddd")</f>
        <v>Thu</v>
      </c>
    </row>
    <row r="963" spans="1:21" x14ac:dyDescent="0.35">
      <c r="A963" t="s">
        <v>107</v>
      </c>
      <c r="B963">
        <v>30</v>
      </c>
      <c r="C963">
        <v>55000</v>
      </c>
      <c r="D963" t="s">
        <v>18</v>
      </c>
      <c r="E963" t="s">
        <v>12</v>
      </c>
      <c r="F963" t="s">
        <v>44</v>
      </c>
      <c r="G963" s="3">
        <v>43881</v>
      </c>
      <c r="H963" t="str">
        <f>TEXT(tbl_HR_Data[[#This Row],[Joining Date]], "mmm")</f>
        <v>Feb</v>
      </c>
      <c r="I963" t="s">
        <v>92</v>
      </c>
      <c r="J963" t="s">
        <v>31</v>
      </c>
      <c r="K963" t="s">
        <v>77</v>
      </c>
      <c r="L963" t="s">
        <v>77</v>
      </c>
      <c r="M963">
        <f>IFERROR( _xlfn.XLOOKUP(TRIM(tbl_HR_Data[[#This Row],[Age]]),#REF!,#REF!), VALUE(TRIM(tbl_HR_Data[[#This Row],[Age]])))</f>
        <v>30</v>
      </c>
      <c r="N963" t="str">
        <f>IFERROR(_xlfn.XLOOKUP(tbl_HR_Data[[#This Row],[Gender]], Mapping[Gender _Discarded], Mapping[Gender_Correction]), PROPER(TRIM(tbl_HR_Data[[#This Row],[Gender]])))</f>
        <v>Female</v>
      </c>
      <c r="O963" t="str">
        <f>TRIM(tbl_HR_Data[[#This Row],[Position]])</f>
        <v>Analyst</v>
      </c>
      <c r="P963" t="str">
        <f>IFERROR(_xlfn.XLOOKUP(tbl_HR_Data[[#This Row],[Email]], Mapping[Email_Discarded], Mapping[Email_Correction]), LOWER(TRIM(tbl_HR_Data[[#This Row],[Email]])))</f>
        <v>not provided</v>
      </c>
      <c r="Q96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63" t="str" cm="1">
        <f t="array" ref="R963">_xlfn.REDUCE(Q963, {"-","/","_","\","(",")"}, _xlfn.LAMBDA(_xlpm.txt,_xlpm.itm, SUBSTITUTE(_xlpm.txt, _xlpm.itm, "")))</f>
        <v>Not Provided</v>
      </c>
      <c r="S963" s="3">
        <f>IFERROR(_xlfn.XLOOKUP(tbl_HR_Data[[#This Row],[Joining Date]], Mapping[Joining_Discarded], Mapping[Joining_Correction]), VALUE(tbl_HR_Data[[#This Row],[Joining Date]]))</f>
        <v>43881</v>
      </c>
      <c r="T963" t="str">
        <f>TEXT(tbl_HR_Data[[#This Row],[Joining Date]], "mmm")</f>
        <v>Feb</v>
      </c>
      <c r="U963" t="str">
        <f>TEXT(tbl_HR_Data[[#This Row],[Joining Date]], "ddd")</f>
        <v>Thu</v>
      </c>
    </row>
    <row r="964" spans="1:21" x14ac:dyDescent="0.35">
      <c r="A964" t="s">
        <v>105</v>
      </c>
      <c r="B964">
        <v>30</v>
      </c>
      <c r="C964">
        <v>50000</v>
      </c>
      <c r="D964" t="s">
        <v>18</v>
      </c>
      <c r="E964" t="s">
        <v>30</v>
      </c>
      <c r="F964" t="s">
        <v>39</v>
      </c>
      <c r="G964" s="3">
        <v>43881</v>
      </c>
      <c r="H964" t="str">
        <f>TEXT(tbl_HR_Data[[#This Row],[Joining Date]], "mmm")</f>
        <v>Feb</v>
      </c>
      <c r="I964" t="s">
        <v>92</v>
      </c>
      <c r="J964" t="s">
        <v>21</v>
      </c>
      <c r="K964" t="s">
        <v>32</v>
      </c>
      <c r="L964" t="s">
        <v>87</v>
      </c>
      <c r="M964">
        <f>IFERROR( _xlfn.XLOOKUP(TRIM(tbl_HR_Data[[#This Row],[Age]]),#REF!,#REF!), VALUE(TRIM(tbl_HR_Data[[#This Row],[Age]])))</f>
        <v>30</v>
      </c>
      <c r="N964" t="str">
        <f>IFERROR(_xlfn.XLOOKUP(tbl_HR_Data[[#This Row],[Gender]], Mapping[Gender _Discarded], Mapping[Gender_Correction]), PROPER(TRIM(tbl_HR_Data[[#This Row],[Gender]])))</f>
        <v>Female</v>
      </c>
      <c r="O964" t="str">
        <f>TRIM(tbl_HR_Data[[#This Row],[Position]])</f>
        <v>Clerk</v>
      </c>
      <c r="P964" t="str">
        <f>IFERROR(_xlfn.XLOOKUP(tbl_HR_Data[[#This Row],[Email]], Mapping[Email_Discarded], Mapping[Email_Correction]), LOWER(TRIM(tbl_HR_Data[[#This Row],[Email]])))</f>
        <v>name@company.org</v>
      </c>
      <c r="Q96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64" t="str" cm="1">
        <f t="array" ref="R964">_xlfn.REDUCE(Q964, {"-","/","_","\","(",")"}, _xlfn.LAMBDA(_xlpm.txt,_xlpm.itm, SUBSTITUTE(_xlpm.txt, _xlpm.itm, "")))</f>
        <v>1234567890</v>
      </c>
      <c r="S964" s="3">
        <f>IFERROR(_xlfn.XLOOKUP(tbl_HR_Data[[#This Row],[Joining Date]], Mapping[Joining_Discarded], Mapping[Joining_Correction]), VALUE(tbl_HR_Data[[#This Row],[Joining Date]]))</f>
        <v>43881</v>
      </c>
      <c r="T964" t="str">
        <f>TEXT(tbl_HR_Data[[#This Row],[Joining Date]], "mmm")</f>
        <v>Feb</v>
      </c>
      <c r="U964" t="str">
        <f>TEXT(tbl_HR_Data[[#This Row],[Joining Date]], "ddd")</f>
        <v>Thu</v>
      </c>
    </row>
    <row r="965" spans="1:21" x14ac:dyDescent="0.35">
      <c r="A965" t="s">
        <v>104</v>
      </c>
      <c r="B965">
        <v>35</v>
      </c>
      <c r="C965">
        <v>60000</v>
      </c>
      <c r="D965" t="s">
        <v>11</v>
      </c>
      <c r="E965" t="s">
        <v>19</v>
      </c>
      <c r="F965" t="s">
        <v>20</v>
      </c>
      <c r="G965" s="3">
        <v>43881</v>
      </c>
      <c r="H965" t="str">
        <f>TEXT(tbl_HR_Data[[#This Row],[Joining Date]], "mmm")</f>
        <v>Feb</v>
      </c>
      <c r="I965" t="s">
        <v>92</v>
      </c>
      <c r="J965" t="s">
        <v>21</v>
      </c>
      <c r="K965" t="s">
        <v>32</v>
      </c>
      <c r="L965" t="s">
        <v>87</v>
      </c>
      <c r="M965">
        <f>IFERROR( _xlfn.XLOOKUP(TRIM(tbl_HR_Data[[#This Row],[Age]]),#REF!,#REF!), VALUE(TRIM(tbl_HR_Data[[#This Row],[Age]])))</f>
        <v>35</v>
      </c>
      <c r="N965" t="str">
        <f>IFERROR(_xlfn.XLOOKUP(tbl_HR_Data[[#This Row],[Gender]], Mapping[Gender _Discarded], Mapping[Gender_Correction]), PROPER(TRIM(tbl_HR_Data[[#This Row],[Gender]])))</f>
        <v>Male</v>
      </c>
      <c r="O965" t="str">
        <f>TRIM(tbl_HR_Data[[#This Row],[Position]])</f>
        <v>Director</v>
      </c>
      <c r="P965" t="str">
        <f>IFERROR(_xlfn.XLOOKUP(tbl_HR_Data[[#This Row],[Email]], Mapping[Email_Discarded], Mapping[Email_Correction]), LOWER(TRIM(tbl_HR_Data[[#This Row],[Email]])))</f>
        <v>name@company.org</v>
      </c>
      <c r="Q96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65" t="str" cm="1">
        <f t="array" ref="R965">_xlfn.REDUCE(Q965, {"-","/","_","\","(",")"}, _xlfn.LAMBDA(_xlpm.txt,_xlpm.itm, SUBSTITUTE(_xlpm.txt, _xlpm.itm, "")))</f>
        <v>1234567890</v>
      </c>
      <c r="S965" s="3">
        <f>IFERROR(_xlfn.XLOOKUP(tbl_HR_Data[[#This Row],[Joining Date]], Mapping[Joining_Discarded], Mapping[Joining_Correction]), VALUE(tbl_HR_Data[[#This Row],[Joining Date]]))</f>
        <v>43881</v>
      </c>
      <c r="T965" t="str">
        <f>TEXT(tbl_HR_Data[[#This Row],[Joining Date]], "mmm")</f>
        <v>Feb</v>
      </c>
      <c r="U965" t="str">
        <f>TEXT(tbl_HR_Data[[#This Row],[Joining Date]], "ddd")</f>
        <v>Thu</v>
      </c>
    </row>
    <row r="966" spans="1:21" x14ac:dyDescent="0.35">
      <c r="A966" t="s">
        <v>103</v>
      </c>
      <c r="B966">
        <v>50</v>
      </c>
      <c r="C966">
        <v>60000</v>
      </c>
      <c r="D966" t="s">
        <v>36</v>
      </c>
      <c r="E966" t="s">
        <v>26</v>
      </c>
      <c r="F966" t="s">
        <v>44</v>
      </c>
      <c r="G966" s="3">
        <v>43881</v>
      </c>
      <c r="H966" t="str">
        <f>TEXT(tbl_HR_Data[[#This Row],[Joining Date]], "mmm")</f>
        <v>Feb</v>
      </c>
      <c r="I966" t="s">
        <v>92</v>
      </c>
      <c r="J966" t="s">
        <v>21</v>
      </c>
      <c r="K966" t="s">
        <v>77</v>
      </c>
      <c r="L966" t="s">
        <v>77</v>
      </c>
      <c r="M966">
        <f>IFERROR( _xlfn.XLOOKUP(TRIM(tbl_HR_Data[[#This Row],[Age]]),#REF!,#REF!), VALUE(TRIM(tbl_HR_Data[[#This Row],[Age]])))</f>
        <v>50</v>
      </c>
      <c r="N966" t="str">
        <f>IFERROR(_xlfn.XLOOKUP(tbl_HR_Data[[#This Row],[Gender]], Mapping[Gender _Discarded], Mapping[Gender_Correction]), PROPER(TRIM(tbl_HR_Data[[#This Row],[Gender]])))</f>
        <v>Other</v>
      </c>
      <c r="O966" t="str">
        <f>TRIM(tbl_HR_Data[[#This Row],[Position]])</f>
        <v>Analyst</v>
      </c>
      <c r="P966" t="str">
        <f>IFERROR(_xlfn.XLOOKUP(tbl_HR_Data[[#This Row],[Email]], Mapping[Email_Discarded], Mapping[Email_Correction]), LOWER(TRIM(tbl_HR_Data[[#This Row],[Email]])))</f>
        <v>not provided</v>
      </c>
      <c r="Q96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66" t="str" cm="1">
        <f t="array" ref="R966">_xlfn.REDUCE(Q966, {"-","/","_","\","(",")"}, _xlfn.LAMBDA(_xlpm.txt,_xlpm.itm, SUBSTITUTE(_xlpm.txt, _xlpm.itm, "")))</f>
        <v>Not Provided</v>
      </c>
      <c r="S966" s="3">
        <f>IFERROR(_xlfn.XLOOKUP(tbl_HR_Data[[#This Row],[Joining Date]], Mapping[Joining_Discarded], Mapping[Joining_Correction]), VALUE(tbl_HR_Data[[#This Row],[Joining Date]]))</f>
        <v>43881</v>
      </c>
      <c r="T966" t="str">
        <f>TEXT(tbl_HR_Data[[#This Row],[Joining Date]], "mmm")</f>
        <v>Feb</v>
      </c>
      <c r="U966" t="str">
        <f>TEXT(tbl_HR_Data[[#This Row],[Joining Date]], "ddd")</f>
        <v>Thu</v>
      </c>
    </row>
    <row r="967" spans="1:21" x14ac:dyDescent="0.35">
      <c r="A967" t="s">
        <v>103</v>
      </c>
      <c r="B967">
        <v>40</v>
      </c>
      <c r="C967">
        <v>55000</v>
      </c>
      <c r="D967" t="s">
        <v>18</v>
      </c>
      <c r="E967" t="s">
        <v>12</v>
      </c>
      <c r="F967" t="s">
        <v>39</v>
      </c>
      <c r="G967" s="3">
        <v>43881</v>
      </c>
      <c r="H967" t="str">
        <f>TEXT(tbl_HR_Data[[#This Row],[Joining Date]], "mmm")</f>
        <v>Feb</v>
      </c>
      <c r="I967" t="s">
        <v>92</v>
      </c>
      <c r="J967" t="s">
        <v>27</v>
      </c>
      <c r="K967" t="s">
        <v>22</v>
      </c>
      <c r="L967" t="s">
        <v>77</v>
      </c>
      <c r="M967">
        <f>IFERROR( _xlfn.XLOOKUP(TRIM(tbl_HR_Data[[#This Row],[Age]]),#REF!,#REF!), VALUE(TRIM(tbl_HR_Data[[#This Row],[Age]])))</f>
        <v>40</v>
      </c>
      <c r="N967" t="str">
        <f>IFERROR(_xlfn.XLOOKUP(tbl_HR_Data[[#This Row],[Gender]], Mapping[Gender _Discarded], Mapping[Gender_Correction]), PROPER(TRIM(tbl_HR_Data[[#This Row],[Gender]])))</f>
        <v>Female</v>
      </c>
      <c r="O967" t="str">
        <f>TRIM(tbl_HR_Data[[#This Row],[Position]])</f>
        <v>Clerk</v>
      </c>
      <c r="P967" t="str">
        <f>IFERROR(_xlfn.XLOOKUP(tbl_HR_Data[[#This Row],[Email]], Mapping[Email_Discarded], Mapping[Email_Correction]), LOWER(TRIM(tbl_HR_Data[[#This Row],[Email]])))</f>
        <v>user@domain.com</v>
      </c>
      <c r="Q96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67" t="str" cm="1">
        <f t="array" ref="R967">_xlfn.REDUCE(Q967, {"-","/","_","\","(",")"}, _xlfn.LAMBDA(_xlpm.txt,_xlpm.itm, SUBSTITUTE(_xlpm.txt, _xlpm.itm, "")))</f>
        <v>Not Provided</v>
      </c>
      <c r="S967" s="3">
        <f>IFERROR(_xlfn.XLOOKUP(tbl_HR_Data[[#This Row],[Joining Date]], Mapping[Joining_Discarded], Mapping[Joining_Correction]), VALUE(tbl_HR_Data[[#This Row],[Joining Date]]))</f>
        <v>43881</v>
      </c>
      <c r="T967" t="str">
        <f>TEXT(tbl_HR_Data[[#This Row],[Joining Date]], "mmm")</f>
        <v>Feb</v>
      </c>
      <c r="U967" t="str">
        <f>TEXT(tbl_HR_Data[[#This Row],[Joining Date]], "ddd")</f>
        <v>Thu</v>
      </c>
    </row>
    <row r="968" spans="1:21" x14ac:dyDescent="0.35">
      <c r="A968" t="s">
        <v>107</v>
      </c>
      <c r="B968">
        <v>40</v>
      </c>
      <c r="C968">
        <v>0</v>
      </c>
      <c r="D968" t="s">
        <v>18</v>
      </c>
      <c r="E968" t="s">
        <v>19</v>
      </c>
      <c r="F968" t="s">
        <v>44</v>
      </c>
      <c r="G968" s="3">
        <v>43881</v>
      </c>
      <c r="H968" t="str">
        <f>TEXT(tbl_HR_Data[[#This Row],[Joining Date]], "mmm")</f>
        <v>Feb</v>
      </c>
      <c r="I968" t="s">
        <v>92</v>
      </c>
      <c r="J968" t="s">
        <v>27</v>
      </c>
      <c r="K968" t="s">
        <v>77</v>
      </c>
      <c r="L968" t="s">
        <v>87</v>
      </c>
      <c r="M968">
        <f>IFERROR( _xlfn.XLOOKUP(TRIM(tbl_HR_Data[[#This Row],[Age]]),#REF!,#REF!), VALUE(TRIM(tbl_HR_Data[[#This Row],[Age]])))</f>
        <v>40</v>
      </c>
      <c r="N968" t="str">
        <f>IFERROR(_xlfn.XLOOKUP(tbl_HR_Data[[#This Row],[Gender]], Mapping[Gender _Discarded], Mapping[Gender_Correction]), PROPER(TRIM(tbl_HR_Data[[#This Row],[Gender]])))</f>
        <v>Female</v>
      </c>
      <c r="O968" t="str">
        <f>TRIM(tbl_HR_Data[[#This Row],[Position]])</f>
        <v>Analyst</v>
      </c>
      <c r="P968" t="str">
        <f>IFERROR(_xlfn.XLOOKUP(tbl_HR_Data[[#This Row],[Email]], Mapping[Email_Discarded], Mapping[Email_Correction]), LOWER(TRIM(tbl_HR_Data[[#This Row],[Email]])))</f>
        <v>not provided</v>
      </c>
      <c r="Q96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68" t="str" cm="1">
        <f t="array" ref="R968">_xlfn.REDUCE(Q968, {"-","/","_","\","(",")"}, _xlfn.LAMBDA(_xlpm.txt,_xlpm.itm, SUBSTITUTE(_xlpm.txt, _xlpm.itm, "")))</f>
        <v>1234567890</v>
      </c>
      <c r="S968" s="3">
        <f>IFERROR(_xlfn.XLOOKUP(tbl_HR_Data[[#This Row],[Joining Date]], Mapping[Joining_Discarded], Mapping[Joining_Correction]), VALUE(tbl_HR_Data[[#This Row],[Joining Date]]))</f>
        <v>43881</v>
      </c>
      <c r="T968" t="str">
        <f>TEXT(tbl_HR_Data[[#This Row],[Joining Date]], "mmm")</f>
        <v>Feb</v>
      </c>
      <c r="U968" t="str">
        <f>TEXT(tbl_HR_Data[[#This Row],[Joining Date]], "ddd")</f>
        <v>Thu</v>
      </c>
    </row>
    <row r="969" spans="1:21" x14ac:dyDescent="0.35">
      <c r="A969" t="s">
        <v>107</v>
      </c>
      <c r="B969">
        <v>0</v>
      </c>
      <c r="C969">
        <v>70000</v>
      </c>
      <c r="D969" t="s">
        <v>18</v>
      </c>
      <c r="E969" t="s">
        <v>37</v>
      </c>
      <c r="F969" t="s">
        <v>39</v>
      </c>
      <c r="G969" s="3">
        <v>43881</v>
      </c>
      <c r="H969" t="str">
        <f>TEXT(tbl_HR_Data[[#This Row],[Joining Date]], "mmm")</f>
        <v>Feb</v>
      </c>
      <c r="I969" t="s">
        <v>92</v>
      </c>
      <c r="J969" t="s">
        <v>41</v>
      </c>
      <c r="K969" t="s">
        <v>22</v>
      </c>
      <c r="L969" t="s">
        <v>87</v>
      </c>
      <c r="M969">
        <f>IFERROR( _xlfn.XLOOKUP(TRIM(tbl_HR_Data[[#This Row],[Age]]),#REF!,#REF!), VALUE(TRIM(tbl_HR_Data[[#This Row],[Age]])))</f>
        <v>0</v>
      </c>
      <c r="N969" t="str">
        <f>IFERROR(_xlfn.XLOOKUP(tbl_HR_Data[[#This Row],[Gender]], Mapping[Gender _Discarded], Mapping[Gender_Correction]), PROPER(TRIM(tbl_HR_Data[[#This Row],[Gender]])))</f>
        <v>Female</v>
      </c>
      <c r="O969" t="str">
        <f>TRIM(tbl_HR_Data[[#This Row],[Position]])</f>
        <v>Clerk</v>
      </c>
      <c r="P969" t="str">
        <f>IFERROR(_xlfn.XLOOKUP(tbl_HR_Data[[#This Row],[Email]], Mapping[Email_Discarded], Mapping[Email_Correction]), LOWER(TRIM(tbl_HR_Data[[#This Row],[Email]])))</f>
        <v>user@domain.com</v>
      </c>
      <c r="Q96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69" t="str" cm="1">
        <f t="array" ref="R969">_xlfn.REDUCE(Q969, {"-","/","_","\","(",")"}, _xlfn.LAMBDA(_xlpm.txt,_xlpm.itm, SUBSTITUTE(_xlpm.txt, _xlpm.itm, "")))</f>
        <v>1234567890</v>
      </c>
      <c r="S969" s="3">
        <f>IFERROR(_xlfn.XLOOKUP(tbl_HR_Data[[#This Row],[Joining Date]], Mapping[Joining_Discarded], Mapping[Joining_Correction]), VALUE(tbl_HR_Data[[#This Row],[Joining Date]]))</f>
        <v>43881</v>
      </c>
      <c r="T969" t="str">
        <f>TEXT(tbl_HR_Data[[#This Row],[Joining Date]], "mmm")</f>
        <v>Feb</v>
      </c>
      <c r="U969" t="str">
        <f>TEXT(tbl_HR_Data[[#This Row],[Joining Date]], "ddd")</f>
        <v>Thu</v>
      </c>
    </row>
    <row r="970" spans="1:21" x14ac:dyDescent="0.35">
      <c r="A970" t="s">
        <v>106</v>
      </c>
      <c r="B970">
        <v>50</v>
      </c>
      <c r="C970">
        <v>55000</v>
      </c>
      <c r="D970" t="s">
        <v>36</v>
      </c>
      <c r="E970" t="s">
        <v>30</v>
      </c>
      <c r="F970" t="s">
        <v>20</v>
      </c>
      <c r="G970" s="3">
        <v>43881</v>
      </c>
      <c r="H970" t="str">
        <f>TEXT(tbl_HR_Data[[#This Row],[Joining Date]], "mmm")</f>
        <v>Feb</v>
      </c>
      <c r="I970" t="s">
        <v>92</v>
      </c>
      <c r="J970" t="s">
        <v>31</v>
      </c>
      <c r="K970" t="s">
        <v>22</v>
      </c>
      <c r="L970" t="s">
        <v>88</v>
      </c>
      <c r="M970">
        <f>IFERROR( _xlfn.XLOOKUP(TRIM(tbl_HR_Data[[#This Row],[Age]]),#REF!,#REF!), VALUE(TRIM(tbl_HR_Data[[#This Row],[Age]])))</f>
        <v>50</v>
      </c>
      <c r="N970" t="str">
        <f>IFERROR(_xlfn.XLOOKUP(tbl_HR_Data[[#This Row],[Gender]], Mapping[Gender _Discarded], Mapping[Gender_Correction]), PROPER(TRIM(tbl_HR_Data[[#This Row],[Gender]])))</f>
        <v>Other</v>
      </c>
      <c r="O970" t="str">
        <f>TRIM(tbl_HR_Data[[#This Row],[Position]])</f>
        <v>Director</v>
      </c>
      <c r="P970" t="str">
        <f>IFERROR(_xlfn.XLOOKUP(tbl_HR_Data[[#This Row],[Email]], Mapping[Email_Discarded], Mapping[Email_Correction]), LOWER(TRIM(tbl_HR_Data[[#This Row],[Email]])))</f>
        <v>user@domain.com</v>
      </c>
      <c r="Q97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970" t="str" cm="1">
        <f t="array" ref="R970">_xlfn.REDUCE(Q970, {"-","/","_","\","(",")"}, _xlfn.LAMBDA(_xlpm.txt,_xlpm.itm, SUBSTITUTE(_xlpm.txt, _xlpm.itm, "")))</f>
        <v>0987654321</v>
      </c>
      <c r="S970" s="3">
        <f>IFERROR(_xlfn.XLOOKUP(tbl_HR_Data[[#This Row],[Joining Date]], Mapping[Joining_Discarded], Mapping[Joining_Correction]), VALUE(tbl_HR_Data[[#This Row],[Joining Date]]))</f>
        <v>43881</v>
      </c>
      <c r="T970" t="str">
        <f>TEXT(tbl_HR_Data[[#This Row],[Joining Date]], "mmm")</f>
        <v>Feb</v>
      </c>
      <c r="U970" t="str">
        <f>TEXT(tbl_HR_Data[[#This Row],[Joining Date]], "ddd")</f>
        <v>Thu</v>
      </c>
    </row>
    <row r="971" spans="1:21" x14ac:dyDescent="0.35">
      <c r="A971" t="s">
        <v>100</v>
      </c>
      <c r="B971">
        <v>50</v>
      </c>
      <c r="C971">
        <v>70000</v>
      </c>
      <c r="D971" t="s">
        <v>36</v>
      </c>
      <c r="E971" t="s">
        <v>37</v>
      </c>
      <c r="F971" t="s">
        <v>13</v>
      </c>
      <c r="G971" s="3">
        <v>43881</v>
      </c>
      <c r="H971" t="str">
        <f>TEXT(tbl_HR_Data[[#This Row],[Joining Date]], "mmm")</f>
        <v>Feb</v>
      </c>
      <c r="I971" t="s">
        <v>92</v>
      </c>
      <c r="J971" t="s">
        <v>31</v>
      </c>
      <c r="K971" t="s">
        <v>22</v>
      </c>
      <c r="L971" t="s">
        <v>88</v>
      </c>
      <c r="M971">
        <f>IFERROR( _xlfn.XLOOKUP(TRIM(tbl_HR_Data[[#This Row],[Age]]),#REF!,#REF!), VALUE(TRIM(tbl_HR_Data[[#This Row],[Age]])))</f>
        <v>50</v>
      </c>
      <c r="N971" t="str">
        <f>IFERROR(_xlfn.XLOOKUP(tbl_HR_Data[[#This Row],[Gender]], Mapping[Gender _Discarded], Mapping[Gender_Correction]), PROPER(TRIM(tbl_HR_Data[[#This Row],[Gender]])))</f>
        <v>Other</v>
      </c>
      <c r="O971" t="str">
        <f>TRIM(tbl_HR_Data[[#This Row],[Position]])</f>
        <v>Manager</v>
      </c>
      <c r="P971" t="str">
        <f>IFERROR(_xlfn.XLOOKUP(tbl_HR_Data[[#This Row],[Email]], Mapping[Email_Discarded], Mapping[Email_Correction]), LOWER(TRIM(tbl_HR_Data[[#This Row],[Email]])))</f>
        <v>user@domain.com</v>
      </c>
      <c r="Q97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971" t="str" cm="1">
        <f t="array" ref="R971">_xlfn.REDUCE(Q971, {"-","/","_","\","(",")"}, _xlfn.LAMBDA(_xlpm.txt,_xlpm.itm, SUBSTITUTE(_xlpm.txt, _xlpm.itm, "")))</f>
        <v>0987654321</v>
      </c>
      <c r="S971" s="3">
        <f>IFERROR(_xlfn.XLOOKUP(tbl_HR_Data[[#This Row],[Joining Date]], Mapping[Joining_Discarded], Mapping[Joining_Correction]), VALUE(tbl_HR_Data[[#This Row],[Joining Date]]))</f>
        <v>43881</v>
      </c>
      <c r="T971" t="str">
        <f>TEXT(tbl_HR_Data[[#This Row],[Joining Date]], "mmm")</f>
        <v>Feb</v>
      </c>
      <c r="U971" t="str">
        <f>TEXT(tbl_HR_Data[[#This Row],[Joining Date]], "ddd")</f>
        <v>Thu</v>
      </c>
    </row>
    <row r="972" spans="1:21" x14ac:dyDescent="0.35">
      <c r="A972" t="s">
        <v>107</v>
      </c>
      <c r="B972">
        <v>30</v>
      </c>
      <c r="C972">
        <v>50000</v>
      </c>
      <c r="D972" t="s">
        <v>11</v>
      </c>
      <c r="E972" t="s">
        <v>30</v>
      </c>
      <c r="F972" t="s">
        <v>44</v>
      </c>
      <c r="G972" s="3">
        <v>43881</v>
      </c>
      <c r="H972" t="str">
        <f>TEXT(tbl_HR_Data[[#This Row],[Joining Date]], "mmm")</f>
        <v>Feb</v>
      </c>
      <c r="I972" t="s">
        <v>92</v>
      </c>
      <c r="J972" t="s">
        <v>41</v>
      </c>
      <c r="K972" t="s">
        <v>22</v>
      </c>
      <c r="L972" t="s">
        <v>87</v>
      </c>
      <c r="M972">
        <f>IFERROR( _xlfn.XLOOKUP(TRIM(tbl_HR_Data[[#This Row],[Age]]),#REF!,#REF!), VALUE(TRIM(tbl_HR_Data[[#This Row],[Age]])))</f>
        <v>30</v>
      </c>
      <c r="N972" t="str">
        <f>IFERROR(_xlfn.XLOOKUP(tbl_HR_Data[[#This Row],[Gender]], Mapping[Gender _Discarded], Mapping[Gender_Correction]), PROPER(TRIM(tbl_HR_Data[[#This Row],[Gender]])))</f>
        <v>Male</v>
      </c>
      <c r="O972" t="str">
        <f>TRIM(tbl_HR_Data[[#This Row],[Position]])</f>
        <v>Analyst</v>
      </c>
      <c r="P972" t="str">
        <f>IFERROR(_xlfn.XLOOKUP(tbl_HR_Data[[#This Row],[Email]], Mapping[Email_Discarded], Mapping[Email_Correction]), LOWER(TRIM(tbl_HR_Data[[#This Row],[Email]])))</f>
        <v>user@domain.com</v>
      </c>
      <c r="Q97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72" t="str" cm="1">
        <f t="array" ref="R972">_xlfn.REDUCE(Q972, {"-","/","_","\","(",")"}, _xlfn.LAMBDA(_xlpm.txt,_xlpm.itm, SUBSTITUTE(_xlpm.txt, _xlpm.itm, "")))</f>
        <v>1234567890</v>
      </c>
      <c r="S972" s="3">
        <f>IFERROR(_xlfn.XLOOKUP(tbl_HR_Data[[#This Row],[Joining Date]], Mapping[Joining_Discarded], Mapping[Joining_Correction]), VALUE(tbl_HR_Data[[#This Row],[Joining Date]]))</f>
        <v>43881</v>
      </c>
      <c r="T972" t="str">
        <f>TEXT(tbl_HR_Data[[#This Row],[Joining Date]], "mmm")</f>
        <v>Feb</v>
      </c>
      <c r="U972" t="str">
        <f>TEXT(tbl_HR_Data[[#This Row],[Joining Date]], "ddd")</f>
        <v>Thu</v>
      </c>
    </row>
    <row r="973" spans="1:21" x14ac:dyDescent="0.35">
      <c r="A973" t="s">
        <v>103</v>
      </c>
      <c r="B973">
        <v>50</v>
      </c>
      <c r="C973">
        <v>50000</v>
      </c>
      <c r="D973" t="s">
        <v>36</v>
      </c>
      <c r="E973" t="s">
        <v>19</v>
      </c>
      <c r="F973" t="s">
        <v>43</v>
      </c>
      <c r="G973" s="3">
        <v>43881</v>
      </c>
      <c r="H973" t="str">
        <f>TEXT(tbl_HR_Data[[#This Row],[Joining Date]], "mmm")</f>
        <v>Feb</v>
      </c>
      <c r="I973" t="s">
        <v>92</v>
      </c>
      <c r="J973" t="s">
        <v>31</v>
      </c>
      <c r="K973" t="s">
        <v>22</v>
      </c>
      <c r="L973" t="s">
        <v>88</v>
      </c>
      <c r="M973">
        <f>IFERROR( _xlfn.XLOOKUP(TRIM(tbl_HR_Data[[#This Row],[Age]]),#REF!,#REF!), VALUE(TRIM(tbl_HR_Data[[#This Row],[Age]])))</f>
        <v>50</v>
      </c>
      <c r="N973" t="str">
        <f>IFERROR(_xlfn.XLOOKUP(tbl_HR_Data[[#This Row],[Gender]], Mapping[Gender _Discarded], Mapping[Gender_Correction]), PROPER(TRIM(tbl_HR_Data[[#This Row],[Gender]])))</f>
        <v>Other</v>
      </c>
      <c r="O973" t="str">
        <f>TRIM(tbl_HR_Data[[#This Row],[Position]])</f>
        <v>Assistant</v>
      </c>
      <c r="P973" t="str">
        <f>IFERROR(_xlfn.XLOOKUP(tbl_HR_Data[[#This Row],[Email]], Mapping[Email_Discarded], Mapping[Email_Correction]), LOWER(TRIM(tbl_HR_Data[[#This Row],[Email]])))</f>
        <v>user@domain.com</v>
      </c>
      <c r="Q97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973" t="str" cm="1">
        <f t="array" ref="R973">_xlfn.REDUCE(Q973, {"-","/","_","\","(",")"}, _xlfn.LAMBDA(_xlpm.txt,_xlpm.itm, SUBSTITUTE(_xlpm.txt, _xlpm.itm, "")))</f>
        <v>0987654321</v>
      </c>
      <c r="S973" s="3">
        <f>IFERROR(_xlfn.XLOOKUP(tbl_HR_Data[[#This Row],[Joining Date]], Mapping[Joining_Discarded], Mapping[Joining_Correction]), VALUE(tbl_HR_Data[[#This Row],[Joining Date]]))</f>
        <v>43881</v>
      </c>
      <c r="T973" t="str">
        <f>TEXT(tbl_HR_Data[[#This Row],[Joining Date]], "mmm")</f>
        <v>Feb</v>
      </c>
      <c r="U973" t="str">
        <f>TEXT(tbl_HR_Data[[#This Row],[Joining Date]], "ddd")</f>
        <v>Thu</v>
      </c>
    </row>
    <row r="974" spans="1:21" x14ac:dyDescent="0.35">
      <c r="A974" t="s">
        <v>99</v>
      </c>
      <c r="B974">
        <v>0</v>
      </c>
      <c r="C974">
        <v>50000</v>
      </c>
      <c r="D974" t="s">
        <v>18</v>
      </c>
      <c r="E974" t="s">
        <v>30</v>
      </c>
      <c r="F974" t="s">
        <v>44</v>
      </c>
      <c r="G974" s="3">
        <v>43881</v>
      </c>
      <c r="H974" t="str">
        <f>TEXT(tbl_HR_Data[[#This Row],[Joining Date]], "mmm")</f>
        <v>Feb</v>
      </c>
      <c r="I974" t="s">
        <v>92</v>
      </c>
      <c r="J974" t="s">
        <v>41</v>
      </c>
      <c r="K974" t="s">
        <v>77</v>
      </c>
      <c r="L974" t="s">
        <v>77</v>
      </c>
      <c r="M974">
        <f>IFERROR( _xlfn.XLOOKUP(TRIM(tbl_HR_Data[[#This Row],[Age]]),#REF!,#REF!), VALUE(TRIM(tbl_HR_Data[[#This Row],[Age]])))</f>
        <v>0</v>
      </c>
      <c r="N974" t="str">
        <f>IFERROR(_xlfn.XLOOKUP(tbl_HR_Data[[#This Row],[Gender]], Mapping[Gender _Discarded], Mapping[Gender_Correction]), PROPER(TRIM(tbl_HR_Data[[#This Row],[Gender]])))</f>
        <v>Female</v>
      </c>
      <c r="O974" t="str">
        <f>TRIM(tbl_HR_Data[[#This Row],[Position]])</f>
        <v>Analyst</v>
      </c>
      <c r="P974" t="str">
        <f>IFERROR(_xlfn.XLOOKUP(tbl_HR_Data[[#This Row],[Email]], Mapping[Email_Discarded], Mapping[Email_Correction]), LOWER(TRIM(tbl_HR_Data[[#This Row],[Email]])))</f>
        <v>not provided</v>
      </c>
      <c r="Q97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74" t="str" cm="1">
        <f t="array" ref="R974">_xlfn.REDUCE(Q974, {"-","/","_","\","(",")"}, _xlfn.LAMBDA(_xlpm.txt,_xlpm.itm, SUBSTITUTE(_xlpm.txt, _xlpm.itm, "")))</f>
        <v>Not Provided</v>
      </c>
      <c r="S974" s="3">
        <f>IFERROR(_xlfn.XLOOKUP(tbl_HR_Data[[#This Row],[Joining Date]], Mapping[Joining_Discarded], Mapping[Joining_Correction]), VALUE(tbl_HR_Data[[#This Row],[Joining Date]]))</f>
        <v>43881</v>
      </c>
      <c r="T974" t="str">
        <f>TEXT(tbl_HR_Data[[#This Row],[Joining Date]], "mmm")</f>
        <v>Feb</v>
      </c>
      <c r="U974" t="str">
        <f>TEXT(tbl_HR_Data[[#This Row],[Joining Date]], "ddd")</f>
        <v>Thu</v>
      </c>
    </row>
    <row r="975" spans="1:21" x14ac:dyDescent="0.35">
      <c r="A975" t="s">
        <v>101</v>
      </c>
      <c r="B975">
        <v>25</v>
      </c>
      <c r="C975">
        <v>70000</v>
      </c>
      <c r="D975" t="s">
        <v>11</v>
      </c>
      <c r="E975" t="s">
        <v>30</v>
      </c>
      <c r="F975" t="s">
        <v>20</v>
      </c>
      <c r="G975" s="3">
        <v>43881</v>
      </c>
      <c r="H975" t="str">
        <f>TEXT(tbl_HR_Data[[#This Row],[Joining Date]], "mmm")</f>
        <v>Feb</v>
      </c>
      <c r="I975" t="s">
        <v>92</v>
      </c>
      <c r="J975" t="s">
        <v>41</v>
      </c>
      <c r="K975" t="s">
        <v>22</v>
      </c>
      <c r="L975" t="s">
        <v>77</v>
      </c>
      <c r="M975">
        <f>IFERROR( _xlfn.XLOOKUP(TRIM(tbl_HR_Data[[#This Row],[Age]]),#REF!,#REF!), VALUE(TRIM(tbl_HR_Data[[#This Row],[Age]])))</f>
        <v>25</v>
      </c>
      <c r="N975" t="str">
        <f>IFERROR(_xlfn.XLOOKUP(tbl_HR_Data[[#This Row],[Gender]], Mapping[Gender _Discarded], Mapping[Gender_Correction]), PROPER(TRIM(tbl_HR_Data[[#This Row],[Gender]])))</f>
        <v>Male</v>
      </c>
      <c r="O975" t="str">
        <f>TRIM(tbl_HR_Data[[#This Row],[Position]])</f>
        <v>Director</v>
      </c>
      <c r="P975" t="str">
        <f>IFERROR(_xlfn.XLOOKUP(tbl_HR_Data[[#This Row],[Email]], Mapping[Email_Discarded], Mapping[Email_Correction]), LOWER(TRIM(tbl_HR_Data[[#This Row],[Email]])))</f>
        <v>user@domain.com</v>
      </c>
      <c r="Q97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75" t="str" cm="1">
        <f t="array" ref="R975">_xlfn.REDUCE(Q975, {"-","/","_","\","(",")"}, _xlfn.LAMBDA(_xlpm.txt,_xlpm.itm, SUBSTITUTE(_xlpm.txt, _xlpm.itm, "")))</f>
        <v>Not Provided</v>
      </c>
      <c r="S975" s="3">
        <f>IFERROR(_xlfn.XLOOKUP(tbl_HR_Data[[#This Row],[Joining Date]], Mapping[Joining_Discarded], Mapping[Joining_Correction]), VALUE(tbl_HR_Data[[#This Row],[Joining Date]]))</f>
        <v>43881</v>
      </c>
      <c r="T975" t="str">
        <f>TEXT(tbl_HR_Data[[#This Row],[Joining Date]], "mmm")</f>
        <v>Feb</v>
      </c>
      <c r="U975" t="str">
        <f>TEXT(tbl_HR_Data[[#This Row],[Joining Date]], "ddd")</f>
        <v>Thu</v>
      </c>
    </row>
    <row r="976" spans="1:21" x14ac:dyDescent="0.35">
      <c r="A976" t="s">
        <v>100</v>
      </c>
      <c r="B976">
        <v>25</v>
      </c>
      <c r="C976">
        <v>0</v>
      </c>
      <c r="D976" t="s">
        <v>11</v>
      </c>
      <c r="E976" t="s">
        <v>37</v>
      </c>
      <c r="F976" t="s">
        <v>44</v>
      </c>
      <c r="G976" s="3">
        <v>43881</v>
      </c>
      <c r="H976" t="str">
        <f>TEXT(tbl_HR_Data[[#This Row],[Joining Date]], "mmm")</f>
        <v>Feb</v>
      </c>
      <c r="I976" t="s">
        <v>92</v>
      </c>
      <c r="J976" t="s">
        <v>27</v>
      </c>
      <c r="K976" t="s">
        <v>77</v>
      </c>
      <c r="L976" t="s">
        <v>77</v>
      </c>
      <c r="M976">
        <f>IFERROR( _xlfn.XLOOKUP(TRIM(tbl_HR_Data[[#This Row],[Age]]),#REF!,#REF!), VALUE(TRIM(tbl_HR_Data[[#This Row],[Age]])))</f>
        <v>25</v>
      </c>
      <c r="N976" t="str">
        <f>IFERROR(_xlfn.XLOOKUP(tbl_HR_Data[[#This Row],[Gender]], Mapping[Gender _Discarded], Mapping[Gender_Correction]), PROPER(TRIM(tbl_HR_Data[[#This Row],[Gender]])))</f>
        <v>Male</v>
      </c>
      <c r="O976" t="str">
        <f>TRIM(tbl_HR_Data[[#This Row],[Position]])</f>
        <v>Analyst</v>
      </c>
      <c r="P976" t="str">
        <f>IFERROR(_xlfn.XLOOKUP(tbl_HR_Data[[#This Row],[Email]], Mapping[Email_Discarded], Mapping[Email_Correction]), LOWER(TRIM(tbl_HR_Data[[#This Row],[Email]])))</f>
        <v>not provided</v>
      </c>
      <c r="Q97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76" t="str" cm="1">
        <f t="array" ref="R976">_xlfn.REDUCE(Q976, {"-","/","_","\","(",")"}, _xlfn.LAMBDA(_xlpm.txt,_xlpm.itm, SUBSTITUTE(_xlpm.txt, _xlpm.itm, "")))</f>
        <v>Not Provided</v>
      </c>
      <c r="S976" s="3">
        <f>IFERROR(_xlfn.XLOOKUP(tbl_HR_Data[[#This Row],[Joining Date]], Mapping[Joining_Discarded], Mapping[Joining_Correction]), VALUE(tbl_HR_Data[[#This Row],[Joining Date]]))</f>
        <v>43881</v>
      </c>
      <c r="T976" t="str">
        <f>TEXT(tbl_HR_Data[[#This Row],[Joining Date]], "mmm")</f>
        <v>Feb</v>
      </c>
      <c r="U976" t="str">
        <f>TEXT(tbl_HR_Data[[#This Row],[Joining Date]], "ddd")</f>
        <v>Thu</v>
      </c>
    </row>
    <row r="977" spans="1:21" x14ac:dyDescent="0.35">
      <c r="A977" t="s">
        <v>104</v>
      </c>
      <c r="B977">
        <v>25</v>
      </c>
      <c r="C977">
        <v>70000</v>
      </c>
      <c r="D977" t="s">
        <v>18</v>
      </c>
      <c r="E977" t="s">
        <v>37</v>
      </c>
      <c r="F977" t="s">
        <v>39</v>
      </c>
      <c r="G977" s="3">
        <v>43881</v>
      </c>
      <c r="H977" t="str">
        <f>TEXT(tbl_HR_Data[[#This Row],[Joining Date]], "mmm")</f>
        <v>Feb</v>
      </c>
      <c r="I977" t="s">
        <v>92</v>
      </c>
      <c r="J977" t="s">
        <v>21</v>
      </c>
      <c r="K977" t="s">
        <v>77</v>
      </c>
      <c r="L977" t="s">
        <v>77</v>
      </c>
      <c r="M977">
        <f>IFERROR( _xlfn.XLOOKUP(TRIM(tbl_HR_Data[[#This Row],[Age]]),#REF!,#REF!), VALUE(TRIM(tbl_HR_Data[[#This Row],[Age]])))</f>
        <v>25</v>
      </c>
      <c r="N977" t="str">
        <f>IFERROR(_xlfn.XLOOKUP(tbl_HR_Data[[#This Row],[Gender]], Mapping[Gender _Discarded], Mapping[Gender_Correction]), PROPER(TRIM(tbl_HR_Data[[#This Row],[Gender]])))</f>
        <v>Female</v>
      </c>
      <c r="O977" t="str">
        <f>TRIM(tbl_HR_Data[[#This Row],[Position]])</f>
        <v>Clerk</v>
      </c>
      <c r="P977" t="str">
        <f>IFERROR(_xlfn.XLOOKUP(tbl_HR_Data[[#This Row],[Email]], Mapping[Email_Discarded], Mapping[Email_Correction]), LOWER(TRIM(tbl_HR_Data[[#This Row],[Email]])))</f>
        <v>not provided</v>
      </c>
      <c r="Q97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77" t="str" cm="1">
        <f t="array" ref="R977">_xlfn.REDUCE(Q977, {"-","/","_","\","(",")"}, _xlfn.LAMBDA(_xlpm.txt,_xlpm.itm, SUBSTITUTE(_xlpm.txt, _xlpm.itm, "")))</f>
        <v>Not Provided</v>
      </c>
      <c r="S977" s="3">
        <f>IFERROR(_xlfn.XLOOKUP(tbl_HR_Data[[#This Row],[Joining Date]], Mapping[Joining_Discarded], Mapping[Joining_Correction]), VALUE(tbl_HR_Data[[#This Row],[Joining Date]]))</f>
        <v>43881</v>
      </c>
      <c r="T977" t="str">
        <f>TEXT(tbl_HR_Data[[#This Row],[Joining Date]], "mmm")</f>
        <v>Feb</v>
      </c>
      <c r="U977" t="str">
        <f>TEXT(tbl_HR_Data[[#This Row],[Joining Date]], "ddd")</f>
        <v>Thu</v>
      </c>
    </row>
    <row r="978" spans="1:21" x14ac:dyDescent="0.35">
      <c r="A978" t="s">
        <v>99</v>
      </c>
      <c r="B978">
        <v>35</v>
      </c>
      <c r="C978">
        <v>65000</v>
      </c>
      <c r="D978" t="s">
        <v>18</v>
      </c>
      <c r="E978" t="s">
        <v>26</v>
      </c>
      <c r="F978" t="s">
        <v>20</v>
      </c>
      <c r="G978" s="3">
        <v>43881</v>
      </c>
      <c r="H978" t="str">
        <f>TEXT(tbl_HR_Data[[#This Row],[Joining Date]], "mmm")</f>
        <v>Feb</v>
      </c>
      <c r="I978" t="s">
        <v>92</v>
      </c>
      <c r="J978" t="s">
        <v>41</v>
      </c>
      <c r="K978" t="s">
        <v>77</v>
      </c>
      <c r="L978" t="s">
        <v>77</v>
      </c>
      <c r="M978">
        <f>IFERROR( _xlfn.XLOOKUP(TRIM(tbl_HR_Data[[#This Row],[Age]]),#REF!,#REF!), VALUE(TRIM(tbl_HR_Data[[#This Row],[Age]])))</f>
        <v>35</v>
      </c>
      <c r="N978" t="str">
        <f>IFERROR(_xlfn.XLOOKUP(tbl_HR_Data[[#This Row],[Gender]], Mapping[Gender _Discarded], Mapping[Gender_Correction]), PROPER(TRIM(tbl_HR_Data[[#This Row],[Gender]])))</f>
        <v>Female</v>
      </c>
      <c r="O978" t="str">
        <f>TRIM(tbl_HR_Data[[#This Row],[Position]])</f>
        <v>Director</v>
      </c>
      <c r="P978" t="str">
        <f>IFERROR(_xlfn.XLOOKUP(tbl_HR_Data[[#This Row],[Email]], Mapping[Email_Discarded], Mapping[Email_Correction]), LOWER(TRIM(tbl_HR_Data[[#This Row],[Email]])))</f>
        <v>not provided</v>
      </c>
      <c r="Q97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78" t="str" cm="1">
        <f t="array" ref="R978">_xlfn.REDUCE(Q978, {"-","/","_","\","(",")"}, _xlfn.LAMBDA(_xlpm.txt,_xlpm.itm, SUBSTITUTE(_xlpm.txt, _xlpm.itm, "")))</f>
        <v>Not Provided</v>
      </c>
      <c r="S978" s="3">
        <f>IFERROR(_xlfn.XLOOKUP(tbl_HR_Data[[#This Row],[Joining Date]], Mapping[Joining_Discarded], Mapping[Joining_Correction]), VALUE(tbl_HR_Data[[#This Row],[Joining Date]]))</f>
        <v>43881</v>
      </c>
      <c r="T978" t="str">
        <f>TEXT(tbl_HR_Data[[#This Row],[Joining Date]], "mmm")</f>
        <v>Feb</v>
      </c>
      <c r="U978" t="str">
        <f>TEXT(tbl_HR_Data[[#This Row],[Joining Date]], "ddd")</f>
        <v>Thu</v>
      </c>
    </row>
    <row r="979" spans="1:21" x14ac:dyDescent="0.35">
      <c r="A979" t="s">
        <v>100</v>
      </c>
      <c r="B979">
        <v>0</v>
      </c>
      <c r="C979">
        <v>50000</v>
      </c>
      <c r="D979" t="s">
        <v>36</v>
      </c>
      <c r="E979" t="s">
        <v>19</v>
      </c>
      <c r="F979" t="s">
        <v>20</v>
      </c>
      <c r="G979" s="3">
        <v>43881</v>
      </c>
      <c r="H979" t="s">
        <v>96</v>
      </c>
      <c r="I979" t="s">
        <v>92</v>
      </c>
      <c r="J979" t="s">
        <v>41</v>
      </c>
      <c r="K979" t="s">
        <v>22</v>
      </c>
      <c r="L979" t="s">
        <v>87</v>
      </c>
      <c r="M979">
        <f>IFERROR( _xlfn.XLOOKUP(TRIM(tbl_HR_Data[[#This Row],[Age]]),#REF!,#REF!), VALUE(TRIM(tbl_HR_Data[[#This Row],[Age]])))</f>
        <v>0</v>
      </c>
      <c r="N979" t="str">
        <f>IFERROR(_xlfn.XLOOKUP(tbl_HR_Data[[#This Row],[Gender]], Mapping[Gender _Discarded], Mapping[Gender_Correction]), PROPER(TRIM(tbl_HR_Data[[#This Row],[Gender]])))</f>
        <v>Other</v>
      </c>
      <c r="O979" t="str">
        <f>TRIM(tbl_HR_Data[[#This Row],[Position]])</f>
        <v>Director</v>
      </c>
      <c r="P979" t="str">
        <f>IFERROR(_xlfn.XLOOKUP(tbl_HR_Data[[#This Row],[Email]], Mapping[Email_Discarded], Mapping[Email_Correction]), LOWER(TRIM(tbl_HR_Data[[#This Row],[Email]])))</f>
        <v>user@domain.com</v>
      </c>
      <c r="Q97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79" t="str" cm="1">
        <f t="array" ref="R979">_xlfn.REDUCE(Q979, {"-","/","_","\","(",")"}, _xlfn.LAMBDA(_xlpm.txt,_xlpm.itm, SUBSTITUTE(_xlpm.txt, _xlpm.itm, "")))</f>
        <v>1234567890</v>
      </c>
      <c r="S979" s="3">
        <f>IFERROR(_xlfn.XLOOKUP(tbl_HR_Data[[#This Row],[Joining Date]], Mapping[Joining_Discarded], Mapping[Joining_Correction]), VALUE(tbl_HR_Data[[#This Row],[Joining Date]]))</f>
        <v>43881</v>
      </c>
      <c r="T979" t="str">
        <f>TEXT(tbl_HR_Data[[#This Row],[Joining Date]], "mmm")</f>
        <v>Feb</v>
      </c>
      <c r="U979" t="str">
        <f>TEXT(tbl_HR_Data[[#This Row],[Joining Date]], "ddd")</f>
        <v>Thu</v>
      </c>
    </row>
    <row r="980" spans="1:21" x14ac:dyDescent="0.35">
      <c r="A980" t="s">
        <v>104</v>
      </c>
      <c r="B980">
        <v>35</v>
      </c>
      <c r="C980">
        <v>55000</v>
      </c>
      <c r="D980" t="s">
        <v>11</v>
      </c>
      <c r="E980" t="s">
        <v>19</v>
      </c>
      <c r="F980" t="s">
        <v>39</v>
      </c>
      <c r="G980" s="3">
        <v>43881</v>
      </c>
      <c r="H980" t="s">
        <v>96</v>
      </c>
      <c r="I980" t="s">
        <v>92</v>
      </c>
      <c r="J980" t="s">
        <v>21</v>
      </c>
      <c r="K980" t="s">
        <v>15</v>
      </c>
      <c r="L980" t="s">
        <v>77</v>
      </c>
      <c r="M980">
        <f>IFERROR( _xlfn.XLOOKUP(TRIM(tbl_HR_Data[[#This Row],[Age]]),#REF!,#REF!), VALUE(TRIM(tbl_HR_Data[[#This Row],[Age]])))</f>
        <v>35</v>
      </c>
      <c r="N980" t="str">
        <f>IFERROR(_xlfn.XLOOKUP(tbl_HR_Data[[#This Row],[Gender]], Mapping[Gender _Discarded], Mapping[Gender_Correction]), PROPER(TRIM(tbl_HR_Data[[#This Row],[Gender]])))</f>
        <v>Male</v>
      </c>
      <c r="O980" t="str">
        <f>TRIM(tbl_HR_Data[[#This Row],[Position]])</f>
        <v>Clerk</v>
      </c>
      <c r="P980" t="str">
        <f>IFERROR(_xlfn.XLOOKUP(tbl_HR_Data[[#This Row],[Email]], Mapping[Email_Discarded], Mapping[Email_Correction]), LOWER(TRIM(tbl_HR_Data[[#This Row],[Email]])))</f>
        <v>email@example.com</v>
      </c>
      <c r="Q98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80" t="str" cm="1">
        <f t="array" ref="R980">_xlfn.REDUCE(Q980, {"-","/","_","\","(",")"}, _xlfn.LAMBDA(_xlpm.txt,_xlpm.itm, SUBSTITUTE(_xlpm.txt, _xlpm.itm, "")))</f>
        <v>Not Provided</v>
      </c>
      <c r="S980" s="3">
        <f>IFERROR(_xlfn.XLOOKUP(tbl_HR_Data[[#This Row],[Joining Date]], Mapping[Joining_Discarded], Mapping[Joining_Correction]), VALUE(tbl_HR_Data[[#This Row],[Joining Date]]))</f>
        <v>43881</v>
      </c>
      <c r="T980" t="str">
        <f>TEXT(tbl_HR_Data[[#This Row],[Joining Date]],"mmm")</f>
        <v>Feb</v>
      </c>
      <c r="U980" t="str">
        <f>TEXT(tbl_HR_Data[[#This Row],[Joining Date]], "ddd")</f>
        <v>Thu</v>
      </c>
    </row>
    <row r="981" spans="1:21" x14ac:dyDescent="0.35">
      <c r="A981" t="s">
        <v>108</v>
      </c>
      <c r="B981">
        <v>30</v>
      </c>
      <c r="C981">
        <v>0</v>
      </c>
      <c r="D981" t="s">
        <v>36</v>
      </c>
      <c r="E981" t="s">
        <v>19</v>
      </c>
      <c r="F981" t="s">
        <v>13</v>
      </c>
      <c r="G981" s="3">
        <v>43881</v>
      </c>
      <c r="H981" t="s">
        <v>96</v>
      </c>
      <c r="I981" t="s">
        <v>92</v>
      </c>
      <c r="J981" t="s">
        <v>41</v>
      </c>
      <c r="K981" t="s">
        <v>32</v>
      </c>
      <c r="L981" t="s">
        <v>77</v>
      </c>
      <c r="M981">
        <f>IFERROR( _xlfn.XLOOKUP(TRIM(tbl_HR_Data[[#This Row],[Age]]),#REF!,#REF!), VALUE(TRIM(tbl_HR_Data[[#This Row],[Age]])))</f>
        <v>30</v>
      </c>
      <c r="N981" t="str">
        <f>IFERROR(_xlfn.XLOOKUP(tbl_HR_Data[[#This Row],[Gender]], Mapping[Gender _Discarded], Mapping[Gender_Correction]), PROPER(TRIM(tbl_HR_Data[[#This Row],[Gender]])))</f>
        <v>Other</v>
      </c>
      <c r="O981" t="str">
        <f>TRIM(tbl_HR_Data[[#This Row],[Position]])</f>
        <v>Manager</v>
      </c>
      <c r="P981" t="str">
        <f>IFERROR(_xlfn.XLOOKUP(tbl_HR_Data[[#This Row],[Email]], Mapping[Email_Discarded], Mapping[Email_Correction]), LOWER(TRIM(tbl_HR_Data[[#This Row],[Email]])))</f>
        <v>name@company.org</v>
      </c>
      <c r="Q98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81" t="str" cm="1">
        <f t="array" ref="R981">_xlfn.REDUCE(Q981, {"-","/","_","\","(",")"}, _xlfn.LAMBDA(_xlpm.txt,_xlpm.itm, SUBSTITUTE(_xlpm.txt, _xlpm.itm, "")))</f>
        <v>Not Provided</v>
      </c>
      <c r="S981" s="3">
        <f>IFERROR(_xlfn.XLOOKUP(tbl_HR_Data[[#This Row],[Joining Date]], Mapping[Joining_Discarded], Mapping[Joining_Correction]), VALUE(tbl_HR_Data[[#This Row],[Joining Date]]))</f>
        <v>43881</v>
      </c>
      <c r="T981" t="str">
        <f>TEXT(tbl_HR_Data[[#This Row],[Joining Date]],"mmm")</f>
        <v>Feb</v>
      </c>
      <c r="U981" t="str">
        <f>TEXT(tbl_HR_Data[[#This Row],[Joining Date]], "ddd")</f>
        <v>Thu</v>
      </c>
    </row>
    <row r="982" spans="1:21" x14ac:dyDescent="0.35">
      <c r="A982" t="s">
        <v>105</v>
      </c>
      <c r="B982">
        <v>50</v>
      </c>
      <c r="C982">
        <v>0</v>
      </c>
      <c r="D982" t="s">
        <v>36</v>
      </c>
      <c r="E982" t="s">
        <v>12</v>
      </c>
      <c r="F982" t="s">
        <v>43</v>
      </c>
      <c r="G982" s="3">
        <v>43881</v>
      </c>
      <c r="H982" t="s">
        <v>96</v>
      </c>
      <c r="I982" t="s">
        <v>92</v>
      </c>
      <c r="J982" t="s">
        <v>41</v>
      </c>
      <c r="K982" t="s">
        <v>15</v>
      </c>
      <c r="L982" t="s">
        <v>88</v>
      </c>
      <c r="M982">
        <f>IFERROR( _xlfn.XLOOKUP(TRIM(tbl_HR_Data[[#This Row],[Age]]),#REF!,#REF!), VALUE(TRIM(tbl_HR_Data[[#This Row],[Age]])))</f>
        <v>50</v>
      </c>
      <c r="N982" t="str">
        <f>IFERROR(_xlfn.XLOOKUP(tbl_HR_Data[[#This Row],[Gender]], Mapping[Gender _Discarded], Mapping[Gender_Correction]), PROPER(TRIM(tbl_HR_Data[[#This Row],[Gender]])))</f>
        <v>Other</v>
      </c>
      <c r="O982" t="str">
        <f>TRIM(tbl_HR_Data[[#This Row],[Position]])</f>
        <v>Assistant</v>
      </c>
      <c r="P982" t="str">
        <f>IFERROR(_xlfn.XLOOKUP(tbl_HR_Data[[#This Row],[Email]], Mapping[Email_Discarded], Mapping[Email_Correction]), LOWER(TRIM(tbl_HR_Data[[#This Row],[Email]])))</f>
        <v>email@example.com</v>
      </c>
      <c r="Q98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982" t="str" cm="1">
        <f t="array" ref="R982">_xlfn.REDUCE(Q982, {"-","/","_","\","(",")"}, _xlfn.LAMBDA(_xlpm.txt,_xlpm.itm, SUBSTITUTE(_xlpm.txt, _xlpm.itm, "")))</f>
        <v>0987654321</v>
      </c>
      <c r="S982" s="3">
        <f>IFERROR(_xlfn.XLOOKUP(tbl_HR_Data[[#This Row],[Joining Date]], Mapping[Joining_Discarded], Mapping[Joining_Correction]), VALUE(tbl_HR_Data[[#This Row],[Joining Date]]))</f>
        <v>43881</v>
      </c>
      <c r="T982" t="str">
        <f>TEXT(tbl_HR_Data[[#This Row],[Joining Date]],"mmm")</f>
        <v>Feb</v>
      </c>
      <c r="U982" t="str">
        <f>TEXT(tbl_HR_Data[[#This Row],[Joining Date]], "ddd")</f>
        <v>Thu</v>
      </c>
    </row>
    <row r="983" spans="1:21" x14ac:dyDescent="0.35">
      <c r="A983" t="s">
        <v>101</v>
      </c>
      <c r="B983">
        <v>30</v>
      </c>
      <c r="C983">
        <v>70000</v>
      </c>
      <c r="D983" t="s">
        <v>36</v>
      </c>
      <c r="E983" t="s">
        <v>26</v>
      </c>
      <c r="F983" t="s">
        <v>20</v>
      </c>
      <c r="G983" s="3">
        <v>43881</v>
      </c>
      <c r="H983" t="s">
        <v>96</v>
      </c>
      <c r="I983" t="s">
        <v>92</v>
      </c>
      <c r="J983" t="s">
        <v>41</v>
      </c>
      <c r="K983" t="s">
        <v>77</v>
      </c>
      <c r="L983" t="s">
        <v>77</v>
      </c>
      <c r="M983">
        <f>IFERROR( _xlfn.XLOOKUP(TRIM(tbl_HR_Data[[#This Row],[Age]]),#REF!,#REF!), VALUE(TRIM(tbl_HR_Data[[#This Row],[Age]])))</f>
        <v>30</v>
      </c>
      <c r="N983" t="str">
        <f>IFERROR(_xlfn.XLOOKUP(tbl_HR_Data[[#This Row],[Gender]], Mapping[Gender _Discarded], Mapping[Gender_Correction]), PROPER(TRIM(tbl_HR_Data[[#This Row],[Gender]])))</f>
        <v>Other</v>
      </c>
      <c r="O983" t="str">
        <f>TRIM(tbl_HR_Data[[#This Row],[Position]])</f>
        <v>Director</v>
      </c>
      <c r="P983" t="str">
        <f>IFERROR(_xlfn.XLOOKUP(tbl_HR_Data[[#This Row],[Email]], Mapping[Email_Discarded], Mapping[Email_Correction]), LOWER(TRIM(tbl_HR_Data[[#This Row],[Email]])))</f>
        <v>not provided</v>
      </c>
      <c r="Q98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83" t="str" cm="1">
        <f t="array" ref="R983">_xlfn.REDUCE(Q983, {"-","/","_","\","(",")"}, _xlfn.LAMBDA(_xlpm.txt,_xlpm.itm, SUBSTITUTE(_xlpm.txt, _xlpm.itm, "")))</f>
        <v>Not Provided</v>
      </c>
      <c r="S983" s="3">
        <f>IFERROR(_xlfn.XLOOKUP(tbl_HR_Data[[#This Row],[Joining Date]], Mapping[Joining_Discarded], Mapping[Joining_Correction]), VALUE(tbl_HR_Data[[#This Row],[Joining Date]]))</f>
        <v>43881</v>
      </c>
      <c r="T983" t="str">
        <f>TEXT(tbl_HR_Data[[#This Row],[Joining Date]],"mmm")</f>
        <v>Feb</v>
      </c>
      <c r="U983" t="str">
        <f>TEXT(tbl_HR_Data[[#This Row],[Joining Date]], "ddd")</f>
        <v>Thu</v>
      </c>
    </row>
    <row r="984" spans="1:21" x14ac:dyDescent="0.35">
      <c r="A984" t="s">
        <v>100</v>
      </c>
      <c r="B984">
        <v>25</v>
      </c>
      <c r="C984">
        <v>50000</v>
      </c>
      <c r="D984" t="s">
        <v>11</v>
      </c>
      <c r="E984" t="s">
        <v>26</v>
      </c>
      <c r="F984" t="s">
        <v>43</v>
      </c>
      <c r="G984" s="3">
        <v>43881</v>
      </c>
      <c r="H984" t="s">
        <v>96</v>
      </c>
      <c r="I984" t="s">
        <v>92</v>
      </c>
      <c r="J984" t="s">
        <v>27</v>
      </c>
      <c r="K984" t="s">
        <v>77</v>
      </c>
      <c r="L984" t="s">
        <v>87</v>
      </c>
      <c r="M984">
        <f>IFERROR( _xlfn.XLOOKUP(TRIM(tbl_HR_Data[[#This Row],[Age]]),#REF!,#REF!), VALUE(TRIM(tbl_HR_Data[[#This Row],[Age]])))</f>
        <v>25</v>
      </c>
      <c r="N984" t="str">
        <f>IFERROR(_xlfn.XLOOKUP(tbl_HR_Data[[#This Row],[Gender]], Mapping[Gender _Discarded], Mapping[Gender_Correction]), PROPER(TRIM(tbl_HR_Data[[#This Row],[Gender]])))</f>
        <v>Male</v>
      </c>
      <c r="O984" t="str">
        <f>TRIM(tbl_HR_Data[[#This Row],[Position]])</f>
        <v>Assistant</v>
      </c>
      <c r="P984" t="str">
        <f>IFERROR(_xlfn.XLOOKUP(tbl_HR_Data[[#This Row],[Email]], Mapping[Email_Discarded], Mapping[Email_Correction]), LOWER(TRIM(tbl_HR_Data[[#This Row],[Email]])))</f>
        <v>not provided</v>
      </c>
      <c r="Q98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84" t="str" cm="1">
        <f t="array" ref="R984">_xlfn.REDUCE(Q984, {"-","/","_","\","(",")"}, _xlfn.LAMBDA(_xlpm.txt,_xlpm.itm, SUBSTITUTE(_xlpm.txt, _xlpm.itm, "")))</f>
        <v>1234567890</v>
      </c>
      <c r="S984" s="3">
        <f>IFERROR(_xlfn.XLOOKUP(tbl_HR_Data[[#This Row],[Joining Date]], Mapping[Joining_Discarded], Mapping[Joining_Correction]), VALUE(tbl_HR_Data[[#This Row],[Joining Date]]))</f>
        <v>43881</v>
      </c>
      <c r="T984" t="str">
        <f>TEXT(tbl_HR_Data[[#This Row],[Joining Date]],"mmm")</f>
        <v>Feb</v>
      </c>
      <c r="U984" t="str">
        <f>TEXT(tbl_HR_Data[[#This Row],[Joining Date]], "ddd")</f>
        <v>Thu</v>
      </c>
    </row>
    <row r="985" spans="1:21" x14ac:dyDescent="0.35">
      <c r="A985" t="s">
        <v>100</v>
      </c>
      <c r="B985">
        <v>0</v>
      </c>
      <c r="C985">
        <v>55000</v>
      </c>
      <c r="D985" t="s">
        <v>18</v>
      </c>
      <c r="E985" t="s">
        <v>37</v>
      </c>
      <c r="F985" t="s">
        <v>39</v>
      </c>
      <c r="G985" s="3">
        <v>43881</v>
      </c>
      <c r="H985" t="s">
        <v>96</v>
      </c>
      <c r="I985" t="s">
        <v>92</v>
      </c>
      <c r="J985" t="s">
        <v>31</v>
      </c>
      <c r="K985" t="s">
        <v>15</v>
      </c>
      <c r="L985" t="s">
        <v>88</v>
      </c>
      <c r="M985">
        <f>IFERROR( _xlfn.XLOOKUP(TRIM(tbl_HR_Data[[#This Row],[Age]]),#REF!,#REF!), VALUE(TRIM(tbl_HR_Data[[#This Row],[Age]])))</f>
        <v>0</v>
      </c>
      <c r="N985" t="str">
        <f>IFERROR(_xlfn.XLOOKUP(tbl_HR_Data[[#This Row],[Gender]], Mapping[Gender _Discarded], Mapping[Gender_Correction]), PROPER(TRIM(tbl_HR_Data[[#This Row],[Gender]])))</f>
        <v>Female</v>
      </c>
      <c r="O985" t="str">
        <f>TRIM(tbl_HR_Data[[#This Row],[Position]])</f>
        <v>Clerk</v>
      </c>
      <c r="P985" t="str">
        <f>IFERROR(_xlfn.XLOOKUP(tbl_HR_Data[[#This Row],[Email]], Mapping[Email_Discarded], Mapping[Email_Correction]), LOWER(TRIM(tbl_HR_Data[[#This Row],[Email]])))</f>
        <v>email@example.com</v>
      </c>
      <c r="Q98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985" t="str" cm="1">
        <f t="array" ref="R985">_xlfn.REDUCE(Q985, {"-","/","_","\","(",")"}, _xlfn.LAMBDA(_xlpm.txt,_xlpm.itm, SUBSTITUTE(_xlpm.txt, _xlpm.itm, "")))</f>
        <v>0987654321</v>
      </c>
      <c r="S985" s="3">
        <f>IFERROR(_xlfn.XLOOKUP(tbl_HR_Data[[#This Row],[Joining Date]], Mapping[Joining_Discarded], Mapping[Joining_Correction]), VALUE(tbl_HR_Data[[#This Row],[Joining Date]]))</f>
        <v>43881</v>
      </c>
      <c r="T985" t="str">
        <f>TEXT(tbl_HR_Data[[#This Row],[Joining Date]],"mmm")</f>
        <v>Feb</v>
      </c>
      <c r="U985" t="str">
        <f>TEXT(tbl_HR_Data[[#This Row],[Joining Date]], "ddd")</f>
        <v>Thu</v>
      </c>
    </row>
    <row r="986" spans="1:21" x14ac:dyDescent="0.35">
      <c r="A986" t="s">
        <v>105</v>
      </c>
      <c r="B986">
        <v>35</v>
      </c>
      <c r="C986">
        <v>55000</v>
      </c>
      <c r="D986" t="s">
        <v>11</v>
      </c>
      <c r="E986" t="s">
        <v>26</v>
      </c>
      <c r="F986" t="s">
        <v>39</v>
      </c>
      <c r="G986" s="3">
        <v>43881</v>
      </c>
      <c r="H986" t="s">
        <v>96</v>
      </c>
      <c r="I986" t="s">
        <v>92</v>
      </c>
      <c r="J986" t="s">
        <v>14</v>
      </c>
      <c r="K986" t="s">
        <v>22</v>
      </c>
      <c r="L986" t="s">
        <v>87</v>
      </c>
      <c r="M986">
        <f>IFERROR( _xlfn.XLOOKUP(TRIM(tbl_HR_Data[[#This Row],[Age]]),#REF!,#REF!), VALUE(TRIM(tbl_HR_Data[[#This Row],[Age]])))</f>
        <v>35</v>
      </c>
      <c r="N986" t="str">
        <f>IFERROR(_xlfn.XLOOKUP(tbl_HR_Data[[#This Row],[Gender]], Mapping[Gender _Discarded], Mapping[Gender_Correction]), PROPER(TRIM(tbl_HR_Data[[#This Row],[Gender]])))</f>
        <v>Male</v>
      </c>
      <c r="O986" t="str">
        <f>TRIM(tbl_HR_Data[[#This Row],[Position]])</f>
        <v>Clerk</v>
      </c>
      <c r="P986" t="str">
        <f>IFERROR(_xlfn.XLOOKUP(tbl_HR_Data[[#This Row],[Email]], Mapping[Email_Discarded], Mapping[Email_Correction]), LOWER(TRIM(tbl_HR_Data[[#This Row],[Email]])))</f>
        <v>user@domain.com</v>
      </c>
      <c r="Q98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86" t="str" cm="1">
        <f t="array" ref="R986">_xlfn.REDUCE(Q986, {"-","/","_","\","(",")"}, _xlfn.LAMBDA(_xlpm.txt,_xlpm.itm, SUBSTITUTE(_xlpm.txt, _xlpm.itm, "")))</f>
        <v>1234567890</v>
      </c>
      <c r="S986" s="3">
        <f>IFERROR(_xlfn.XLOOKUP(tbl_HR_Data[[#This Row],[Joining Date]], Mapping[Joining_Discarded], Mapping[Joining_Correction]), VALUE(tbl_HR_Data[[#This Row],[Joining Date]]))</f>
        <v>43881</v>
      </c>
      <c r="T986" t="str">
        <f>TEXT(tbl_HR_Data[[#This Row],[Joining Date]],"mmm")</f>
        <v>Feb</v>
      </c>
      <c r="U986" t="str">
        <f>TEXT(tbl_HR_Data[[#This Row],[Joining Date]], "ddd")</f>
        <v>Thu</v>
      </c>
    </row>
    <row r="987" spans="1:21" x14ac:dyDescent="0.35">
      <c r="A987" t="s">
        <v>101</v>
      </c>
      <c r="B987">
        <v>35</v>
      </c>
      <c r="C987">
        <v>55000</v>
      </c>
      <c r="D987" t="s">
        <v>18</v>
      </c>
      <c r="E987" t="s">
        <v>30</v>
      </c>
      <c r="F987" t="s">
        <v>44</v>
      </c>
      <c r="G987" s="3">
        <v>43881</v>
      </c>
      <c r="H987" t="s">
        <v>96</v>
      </c>
      <c r="I987" t="s">
        <v>92</v>
      </c>
      <c r="J987" t="s">
        <v>31</v>
      </c>
      <c r="K987" t="s">
        <v>77</v>
      </c>
      <c r="L987" t="s">
        <v>88</v>
      </c>
      <c r="M987">
        <f>IFERROR( _xlfn.XLOOKUP(TRIM(tbl_HR_Data[[#This Row],[Age]]),#REF!,#REF!), VALUE(TRIM(tbl_HR_Data[[#This Row],[Age]])))</f>
        <v>35</v>
      </c>
      <c r="N987" t="str">
        <f>IFERROR(_xlfn.XLOOKUP(tbl_HR_Data[[#This Row],[Gender]], Mapping[Gender _Discarded], Mapping[Gender_Correction]), PROPER(TRIM(tbl_HR_Data[[#This Row],[Gender]])))</f>
        <v>Female</v>
      </c>
      <c r="O987" t="str">
        <f>TRIM(tbl_HR_Data[[#This Row],[Position]])</f>
        <v>Analyst</v>
      </c>
      <c r="P987" t="str">
        <f>IFERROR(_xlfn.XLOOKUP(tbl_HR_Data[[#This Row],[Email]], Mapping[Email_Discarded], Mapping[Email_Correction]), LOWER(TRIM(tbl_HR_Data[[#This Row],[Email]])))</f>
        <v>not provided</v>
      </c>
      <c r="Q98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987" t="str" cm="1">
        <f t="array" ref="R987">_xlfn.REDUCE(Q987, {"-","/","_","\","(",")"}, _xlfn.LAMBDA(_xlpm.txt,_xlpm.itm, SUBSTITUTE(_xlpm.txt, _xlpm.itm, "")))</f>
        <v>0987654321</v>
      </c>
      <c r="S987" s="3">
        <f>IFERROR(_xlfn.XLOOKUP(tbl_HR_Data[[#This Row],[Joining Date]], Mapping[Joining_Discarded], Mapping[Joining_Correction]), VALUE(tbl_HR_Data[[#This Row],[Joining Date]]))</f>
        <v>43881</v>
      </c>
      <c r="T987" t="str">
        <f>TEXT(tbl_HR_Data[[#This Row],[Joining Date]],"mmm")</f>
        <v>Feb</v>
      </c>
      <c r="U987" t="str">
        <f>TEXT(tbl_HR_Data[[#This Row],[Joining Date]], "ddd")</f>
        <v>Thu</v>
      </c>
    </row>
    <row r="988" spans="1:21" x14ac:dyDescent="0.35">
      <c r="A988" t="s">
        <v>102</v>
      </c>
      <c r="B988">
        <v>25</v>
      </c>
      <c r="C988">
        <v>65000</v>
      </c>
      <c r="D988" t="s">
        <v>11</v>
      </c>
      <c r="E988" t="s">
        <v>19</v>
      </c>
      <c r="F988" t="s">
        <v>43</v>
      </c>
      <c r="G988" s="3">
        <v>43881</v>
      </c>
      <c r="H988" t="s">
        <v>96</v>
      </c>
      <c r="I988" t="s">
        <v>92</v>
      </c>
      <c r="J988" t="s">
        <v>14</v>
      </c>
      <c r="K988" t="s">
        <v>22</v>
      </c>
      <c r="L988" t="s">
        <v>89</v>
      </c>
      <c r="M988">
        <f>IFERROR( _xlfn.XLOOKUP(TRIM(tbl_HR_Data[[#This Row],[Age]]),#REF!,#REF!), VALUE(TRIM(tbl_HR_Data[[#This Row],[Age]])))</f>
        <v>25</v>
      </c>
      <c r="N988" t="str">
        <f>IFERROR(_xlfn.XLOOKUP(tbl_HR_Data[[#This Row],[Gender]], Mapping[Gender _Discarded], Mapping[Gender_Correction]), PROPER(TRIM(tbl_HR_Data[[#This Row],[Gender]])))</f>
        <v>Male</v>
      </c>
      <c r="O988" t="str">
        <f>TRIM(tbl_HR_Data[[#This Row],[Position]])</f>
        <v>Assistant</v>
      </c>
      <c r="P988" t="str">
        <f>IFERROR(_xlfn.XLOOKUP(tbl_HR_Data[[#This Row],[Email]], Mapping[Email_Discarded], Mapping[Email_Correction]), LOWER(TRIM(tbl_HR_Data[[#This Row],[Email]])))</f>
        <v>user@domain.com</v>
      </c>
      <c r="Q98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988" t="str" cm="1">
        <f t="array" ref="R988">_xlfn.REDUCE(Q988, {"-","/","_","\","(",")"}, _xlfn.LAMBDA(_xlpm.txt,_xlpm.itm, SUBSTITUTE(_xlpm.txt, _xlpm.itm, "")))</f>
        <v>5555555555</v>
      </c>
      <c r="S988" s="3">
        <f>IFERROR(_xlfn.XLOOKUP(tbl_HR_Data[[#This Row],[Joining Date]], Mapping[Joining_Discarded], Mapping[Joining_Correction]), VALUE(tbl_HR_Data[[#This Row],[Joining Date]]))</f>
        <v>43881</v>
      </c>
      <c r="T988" t="str">
        <f>TEXT(tbl_HR_Data[[#This Row],[Joining Date]],"mmm")</f>
        <v>Feb</v>
      </c>
      <c r="U988" t="str">
        <f>TEXT(tbl_HR_Data[[#This Row],[Joining Date]], "ddd")</f>
        <v>Thu</v>
      </c>
    </row>
    <row r="989" spans="1:21" x14ac:dyDescent="0.35">
      <c r="A989" t="s">
        <v>99</v>
      </c>
      <c r="B989">
        <v>25</v>
      </c>
      <c r="C989">
        <v>55000</v>
      </c>
      <c r="D989" t="s">
        <v>36</v>
      </c>
      <c r="E989" t="s">
        <v>37</v>
      </c>
      <c r="F989" t="s">
        <v>13</v>
      </c>
      <c r="G989" s="3">
        <v>43881</v>
      </c>
      <c r="H989" t="s">
        <v>96</v>
      </c>
      <c r="I989" t="s">
        <v>92</v>
      </c>
      <c r="J989" t="s">
        <v>21</v>
      </c>
      <c r="K989" t="s">
        <v>77</v>
      </c>
      <c r="L989" t="s">
        <v>77</v>
      </c>
      <c r="M989">
        <f>IFERROR( _xlfn.XLOOKUP(TRIM(tbl_HR_Data[[#This Row],[Age]]),#REF!,#REF!), VALUE(TRIM(tbl_HR_Data[[#This Row],[Age]])))</f>
        <v>25</v>
      </c>
      <c r="N989" t="str">
        <f>IFERROR(_xlfn.XLOOKUP(tbl_HR_Data[[#This Row],[Gender]], Mapping[Gender _Discarded], Mapping[Gender_Correction]), PROPER(TRIM(tbl_HR_Data[[#This Row],[Gender]])))</f>
        <v>Other</v>
      </c>
      <c r="O989" t="str">
        <f>TRIM(tbl_HR_Data[[#This Row],[Position]])</f>
        <v>Manager</v>
      </c>
      <c r="P989" t="str">
        <f>IFERROR(_xlfn.XLOOKUP(tbl_HR_Data[[#This Row],[Email]], Mapping[Email_Discarded], Mapping[Email_Correction]), LOWER(TRIM(tbl_HR_Data[[#This Row],[Email]])))</f>
        <v>not provided</v>
      </c>
      <c r="Q98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89" t="str" cm="1">
        <f t="array" ref="R989">_xlfn.REDUCE(Q989, {"-","/","_","\","(",")"}, _xlfn.LAMBDA(_xlpm.txt,_xlpm.itm, SUBSTITUTE(_xlpm.txt, _xlpm.itm, "")))</f>
        <v>Not Provided</v>
      </c>
      <c r="S989" s="3">
        <f>IFERROR(_xlfn.XLOOKUP(tbl_HR_Data[[#This Row],[Joining Date]], Mapping[Joining_Discarded], Mapping[Joining_Correction]), VALUE(tbl_HR_Data[[#This Row],[Joining Date]]))</f>
        <v>43881</v>
      </c>
      <c r="T989" t="str">
        <f>TEXT(tbl_HR_Data[[#This Row],[Joining Date]],"mmm")</f>
        <v>Feb</v>
      </c>
      <c r="U989" t="str">
        <f>TEXT(tbl_HR_Data[[#This Row],[Joining Date]], "ddd")</f>
        <v>Thu</v>
      </c>
    </row>
    <row r="990" spans="1:21" x14ac:dyDescent="0.35">
      <c r="A990" t="s">
        <v>101</v>
      </c>
      <c r="B990">
        <v>50</v>
      </c>
      <c r="C990">
        <v>0</v>
      </c>
      <c r="D990" t="s">
        <v>11</v>
      </c>
      <c r="E990" t="s">
        <v>37</v>
      </c>
      <c r="F990" t="s">
        <v>39</v>
      </c>
      <c r="G990" s="3">
        <v>43881</v>
      </c>
      <c r="H990" t="s">
        <v>96</v>
      </c>
      <c r="I990" t="s">
        <v>92</v>
      </c>
      <c r="J990" t="s">
        <v>21</v>
      </c>
      <c r="K990" t="s">
        <v>15</v>
      </c>
      <c r="L990" t="s">
        <v>88</v>
      </c>
      <c r="M990">
        <f>IFERROR( _xlfn.XLOOKUP(TRIM(tbl_HR_Data[[#This Row],[Age]]),#REF!,#REF!), VALUE(TRIM(tbl_HR_Data[[#This Row],[Age]])))</f>
        <v>50</v>
      </c>
      <c r="N990" t="str">
        <f>IFERROR(_xlfn.XLOOKUP(tbl_HR_Data[[#This Row],[Gender]], Mapping[Gender _Discarded], Mapping[Gender_Correction]), PROPER(TRIM(tbl_HR_Data[[#This Row],[Gender]])))</f>
        <v>Male</v>
      </c>
      <c r="O990" t="str">
        <f>TRIM(tbl_HR_Data[[#This Row],[Position]])</f>
        <v>Clerk</v>
      </c>
      <c r="P990" t="str">
        <f>IFERROR(_xlfn.XLOOKUP(tbl_HR_Data[[#This Row],[Email]], Mapping[Email_Discarded], Mapping[Email_Correction]), LOWER(TRIM(tbl_HR_Data[[#This Row],[Email]])))</f>
        <v>email@example.com</v>
      </c>
      <c r="Q99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990" t="str" cm="1">
        <f t="array" ref="R990">_xlfn.REDUCE(Q990, {"-","/","_","\","(",")"}, _xlfn.LAMBDA(_xlpm.txt,_xlpm.itm, SUBSTITUTE(_xlpm.txt, _xlpm.itm, "")))</f>
        <v>0987654321</v>
      </c>
      <c r="S990" s="3">
        <f>IFERROR(_xlfn.XLOOKUP(tbl_HR_Data[[#This Row],[Joining Date]], Mapping[Joining_Discarded], Mapping[Joining_Correction]), VALUE(tbl_HR_Data[[#This Row],[Joining Date]]))</f>
        <v>43881</v>
      </c>
      <c r="T990" t="str">
        <f>TEXT(tbl_HR_Data[[#This Row],[Joining Date]],"mmm")</f>
        <v>Feb</v>
      </c>
      <c r="U990" t="str">
        <f>TEXT(tbl_HR_Data[[#This Row],[Joining Date]], "ddd")</f>
        <v>Thu</v>
      </c>
    </row>
    <row r="991" spans="1:21" x14ac:dyDescent="0.35">
      <c r="A991" t="s">
        <v>99</v>
      </c>
      <c r="B991">
        <v>25</v>
      </c>
      <c r="C991">
        <v>55000</v>
      </c>
      <c r="D991" t="s">
        <v>11</v>
      </c>
      <c r="E991" t="s">
        <v>30</v>
      </c>
      <c r="F991" t="s">
        <v>39</v>
      </c>
      <c r="G991" s="3">
        <v>43881</v>
      </c>
      <c r="H991" t="s">
        <v>96</v>
      </c>
      <c r="I991" t="s">
        <v>92</v>
      </c>
      <c r="J991" t="s">
        <v>27</v>
      </c>
      <c r="K991" t="s">
        <v>77</v>
      </c>
      <c r="L991" t="s">
        <v>77</v>
      </c>
      <c r="M991">
        <f>IFERROR( _xlfn.XLOOKUP(TRIM(tbl_HR_Data[[#This Row],[Age]]),#REF!,#REF!), VALUE(TRIM(tbl_HR_Data[[#This Row],[Age]])))</f>
        <v>25</v>
      </c>
      <c r="N991" t="str">
        <f>IFERROR(_xlfn.XLOOKUP(tbl_HR_Data[[#This Row],[Gender]], Mapping[Gender _Discarded], Mapping[Gender_Correction]), PROPER(TRIM(tbl_HR_Data[[#This Row],[Gender]])))</f>
        <v>Male</v>
      </c>
      <c r="O991" t="str">
        <f>TRIM(tbl_HR_Data[[#This Row],[Position]])</f>
        <v>Clerk</v>
      </c>
      <c r="P991" t="str">
        <f>IFERROR(_xlfn.XLOOKUP(tbl_HR_Data[[#This Row],[Email]], Mapping[Email_Discarded], Mapping[Email_Correction]), LOWER(TRIM(tbl_HR_Data[[#This Row],[Email]])))</f>
        <v>not provided</v>
      </c>
      <c r="Q991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91" t="str" cm="1">
        <f t="array" ref="R991">_xlfn.REDUCE(Q991, {"-","/","_","\","(",")"}, _xlfn.LAMBDA(_xlpm.txt,_xlpm.itm, SUBSTITUTE(_xlpm.txt, _xlpm.itm, "")))</f>
        <v>Not Provided</v>
      </c>
      <c r="S991" s="3">
        <f>IFERROR(_xlfn.XLOOKUP(tbl_HR_Data[[#This Row],[Joining Date]], Mapping[Joining_Discarded], Mapping[Joining_Correction]), VALUE(tbl_HR_Data[[#This Row],[Joining Date]]))</f>
        <v>43881</v>
      </c>
      <c r="T991" t="str">
        <f>TEXT(tbl_HR_Data[[#This Row],[Joining Date]],"mmm")</f>
        <v>Feb</v>
      </c>
      <c r="U991" t="str">
        <f>TEXT(tbl_HR_Data[[#This Row],[Joining Date]], "ddd")</f>
        <v>Thu</v>
      </c>
    </row>
    <row r="992" spans="1:21" x14ac:dyDescent="0.35">
      <c r="A992" t="s">
        <v>102</v>
      </c>
      <c r="B992">
        <v>0</v>
      </c>
      <c r="C992">
        <v>65000</v>
      </c>
      <c r="D992" t="s">
        <v>18</v>
      </c>
      <c r="E992" t="s">
        <v>26</v>
      </c>
      <c r="F992" t="s">
        <v>39</v>
      </c>
      <c r="G992" s="3">
        <v>43881</v>
      </c>
      <c r="H992" t="s">
        <v>96</v>
      </c>
      <c r="I992" t="s">
        <v>92</v>
      </c>
      <c r="J992" t="s">
        <v>21</v>
      </c>
      <c r="K992" t="s">
        <v>22</v>
      </c>
      <c r="L992" t="s">
        <v>87</v>
      </c>
      <c r="M992">
        <f>IFERROR( _xlfn.XLOOKUP(TRIM(tbl_HR_Data[[#This Row],[Age]]),#REF!,#REF!), VALUE(TRIM(tbl_HR_Data[[#This Row],[Age]])))</f>
        <v>0</v>
      </c>
      <c r="N992" t="str">
        <f>IFERROR(_xlfn.XLOOKUP(tbl_HR_Data[[#This Row],[Gender]], Mapping[Gender _Discarded], Mapping[Gender_Correction]), PROPER(TRIM(tbl_HR_Data[[#This Row],[Gender]])))</f>
        <v>Female</v>
      </c>
      <c r="O992" t="str">
        <f>TRIM(tbl_HR_Data[[#This Row],[Position]])</f>
        <v>Clerk</v>
      </c>
      <c r="P992" t="str">
        <f>IFERROR(_xlfn.XLOOKUP(tbl_HR_Data[[#This Row],[Email]], Mapping[Email_Discarded], Mapping[Email_Correction]), LOWER(TRIM(tbl_HR_Data[[#This Row],[Email]])))</f>
        <v>user@domain.com</v>
      </c>
      <c r="Q992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92" t="str" cm="1">
        <f t="array" ref="R992">_xlfn.REDUCE(Q992, {"-","/","_","\","(",")"}, _xlfn.LAMBDA(_xlpm.txt,_xlpm.itm, SUBSTITUTE(_xlpm.txt, _xlpm.itm, "")))</f>
        <v>1234567890</v>
      </c>
      <c r="S992" s="3">
        <f>IFERROR(_xlfn.XLOOKUP(tbl_HR_Data[[#This Row],[Joining Date]], Mapping[Joining_Discarded], Mapping[Joining_Correction]), VALUE(tbl_HR_Data[[#This Row],[Joining Date]]))</f>
        <v>43881</v>
      </c>
      <c r="T992" t="str">
        <f>TEXT(tbl_HR_Data[[#This Row],[Joining Date]],"mmm")</f>
        <v>Feb</v>
      </c>
      <c r="U992" t="str">
        <f>TEXT(tbl_HR_Data[[#This Row],[Joining Date]], "ddd")</f>
        <v>Thu</v>
      </c>
    </row>
    <row r="993" spans="1:21" x14ac:dyDescent="0.35">
      <c r="A993" t="s">
        <v>106</v>
      </c>
      <c r="B993">
        <v>40</v>
      </c>
      <c r="C993">
        <v>65000</v>
      </c>
      <c r="D993" t="s">
        <v>18</v>
      </c>
      <c r="E993" t="s">
        <v>30</v>
      </c>
      <c r="F993" t="s">
        <v>44</v>
      </c>
      <c r="G993" s="3">
        <v>43881</v>
      </c>
      <c r="H993" t="s">
        <v>96</v>
      </c>
      <c r="I993" t="s">
        <v>92</v>
      </c>
      <c r="J993" t="s">
        <v>27</v>
      </c>
      <c r="K993" t="s">
        <v>77</v>
      </c>
      <c r="L993" t="s">
        <v>77</v>
      </c>
      <c r="M993">
        <f>IFERROR( _xlfn.XLOOKUP(TRIM(tbl_HR_Data[[#This Row],[Age]]),#REF!,#REF!), VALUE(TRIM(tbl_HR_Data[[#This Row],[Age]])))</f>
        <v>40</v>
      </c>
      <c r="N993" t="str">
        <f>IFERROR(_xlfn.XLOOKUP(tbl_HR_Data[[#This Row],[Gender]], Mapping[Gender _Discarded], Mapping[Gender_Correction]), PROPER(TRIM(tbl_HR_Data[[#This Row],[Gender]])))</f>
        <v>Female</v>
      </c>
      <c r="O993" t="str">
        <f>TRIM(tbl_HR_Data[[#This Row],[Position]])</f>
        <v>Analyst</v>
      </c>
      <c r="P993" t="str">
        <f>IFERROR(_xlfn.XLOOKUP(tbl_HR_Data[[#This Row],[Email]], Mapping[Email_Discarded], Mapping[Email_Correction]), LOWER(TRIM(tbl_HR_Data[[#This Row],[Email]])))</f>
        <v>not provided</v>
      </c>
      <c r="Q993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93" t="str" cm="1">
        <f t="array" ref="R993">_xlfn.REDUCE(Q993, {"-","/","_","\","(",")"}, _xlfn.LAMBDA(_xlpm.txt,_xlpm.itm, SUBSTITUTE(_xlpm.txt, _xlpm.itm, "")))</f>
        <v>Not Provided</v>
      </c>
      <c r="S993" s="3">
        <f>IFERROR(_xlfn.XLOOKUP(tbl_HR_Data[[#This Row],[Joining Date]], Mapping[Joining_Discarded], Mapping[Joining_Correction]), VALUE(tbl_HR_Data[[#This Row],[Joining Date]]))</f>
        <v>43881</v>
      </c>
      <c r="T993" t="str">
        <f>TEXT(tbl_HR_Data[[#This Row],[Joining Date]],"mmm")</f>
        <v>Feb</v>
      </c>
      <c r="U993" t="str">
        <f>TEXT(tbl_HR_Data[[#This Row],[Joining Date]], "ddd")</f>
        <v>Thu</v>
      </c>
    </row>
    <row r="994" spans="1:21" x14ac:dyDescent="0.35">
      <c r="A994" t="s">
        <v>106</v>
      </c>
      <c r="B994">
        <v>25</v>
      </c>
      <c r="C994">
        <v>65000</v>
      </c>
      <c r="D994" t="s">
        <v>36</v>
      </c>
      <c r="E994" t="s">
        <v>12</v>
      </c>
      <c r="F994" t="s">
        <v>43</v>
      </c>
      <c r="G994" s="3">
        <v>43881</v>
      </c>
      <c r="H994" t="s">
        <v>96</v>
      </c>
      <c r="I994" t="s">
        <v>92</v>
      </c>
      <c r="J994" t="s">
        <v>14</v>
      </c>
      <c r="K994" t="s">
        <v>22</v>
      </c>
      <c r="L994" t="s">
        <v>77</v>
      </c>
      <c r="M994">
        <f>IFERROR( _xlfn.XLOOKUP(TRIM(tbl_HR_Data[[#This Row],[Age]]),#REF!,#REF!), VALUE(TRIM(tbl_HR_Data[[#This Row],[Age]])))</f>
        <v>25</v>
      </c>
      <c r="N994" t="str">
        <f>IFERROR(_xlfn.XLOOKUP(tbl_HR_Data[[#This Row],[Gender]], Mapping[Gender _Discarded], Mapping[Gender_Correction]), PROPER(TRIM(tbl_HR_Data[[#This Row],[Gender]])))</f>
        <v>Other</v>
      </c>
      <c r="O994" t="str">
        <f>TRIM(tbl_HR_Data[[#This Row],[Position]])</f>
        <v>Assistant</v>
      </c>
      <c r="P994" t="str">
        <f>IFERROR(_xlfn.XLOOKUP(tbl_HR_Data[[#This Row],[Email]], Mapping[Email_Discarded], Mapping[Email_Correction]), LOWER(TRIM(tbl_HR_Data[[#This Row],[Email]])))</f>
        <v>user@domain.com</v>
      </c>
      <c r="Q994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94" t="str" cm="1">
        <f t="array" ref="R994">_xlfn.REDUCE(Q994, {"-","/","_","\","(",")"}, _xlfn.LAMBDA(_xlpm.txt,_xlpm.itm, SUBSTITUTE(_xlpm.txt, _xlpm.itm, "")))</f>
        <v>Not Provided</v>
      </c>
      <c r="S994" s="3">
        <f>IFERROR(_xlfn.XLOOKUP(tbl_HR_Data[[#This Row],[Joining Date]], Mapping[Joining_Discarded], Mapping[Joining_Correction]), VALUE(tbl_HR_Data[[#This Row],[Joining Date]]))</f>
        <v>43881</v>
      </c>
      <c r="T994" t="str">
        <f>TEXT(tbl_HR_Data[[#This Row],[Joining Date]],"mmm")</f>
        <v>Feb</v>
      </c>
      <c r="U994" t="str">
        <f>TEXT(tbl_HR_Data[[#This Row],[Joining Date]], "ddd")</f>
        <v>Thu</v>
      </c>
    </row>
    <row r="995" spans="1:21" x14ac:dyDescent="0.35">
      <c r="A995" t="s">
        <v>101</v>
      </c>
      <c r="B995">
        <v>30</v>
      </c>
      <c r="C995">
        <v>65000</v>
      </c>
      <c r="D995" t="s">
        <v>36</v>
      </c>
      <c r="E995" t="s">
        <v>12</v>
      </c>
      <c r="F995" t="s">
        <v>39</v>
      </c>
      <c r="G995" s="3">
        <v>43881</v>
      </c>
      <c r="H995" t="s">
        <v>96</v>
      </c>
      <c r="I995" t="s">
        <v>92</v>
      </c>
      <c r="J995" t="s">
        <v>14</v>
      </c>
      <c r="K995" t="s">
        <v>77</v>
      </c>
      <c r="L995" t="s">
        <v>89</v>
      </c>
      <c r="M995">
        <f>IFERROR( _xlfn.XLOOKUP(TRIM(tbl_HR_Data[[#This Row],[Age]]),#REF!,#REF!), VALUE(TRIM(tbl_HR_Data[[#This Row],[Age]])))</f>
        <v>30</v>
      </c>
      <c r="N995" t="str">
        <f>IFERROR(_xlfn.XLOOKUP(tbl_HR_Data[[#This Row],[Gender]], Mapping[Gender _Discarded], Mapping[Gender_Correction]), PROPER(TRIM(tbl_HR_Data[[#This Row],[Gender]])))</f>
        <v>Other</v>
      </c>
      <c r="O995" t="str">
        <f>TRIM(tbl_HR_Data[[#This Row],[Position]])</f>
        <v>Clerk</v>
      </c>
      <c r="P995" t="str">
        <f>IFERROR(_xlfn.XLOOKUP(tbl_HR_Data[[#This Row],[Email]], Mapping[Email_Discarded], Mapping[Email_Correction]), LOWER(TRIM(tbl_HR_Data[[#This Row],[Email]])))</f>
        <v>not provided</v>
      </c>
      <c r="Q995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995" t="str" cm="1">
        <f t="array" ref="R995">_xlfn.REDUCE(Q995, {"-","/","_","\","(",")"}, _xlfn.LAMBDA(_xlpm.txt,_xlpm.itm, SUBSTITUTE(_xlpm.txt, _xlpm.itm, "")))</f>
        <v>5555555555</v>
      </c>
      <c r="S995" s="3">
        <f>IFERROR(_xlfn.XLOOKUP(tbl_HR_Data[[#This Row],[Joining Date]], Mapping[Joining_Discarded], Mapping[Joining_Correction]), VALUE(tbl_HR_Data[[#This Row],[Joining Date]]))</f>
        <v>43881</v>
      </c>
      <c r="T995" t="str">
        <f>TEXT(tbl_HR_Data[[#This Row],[Joining Date]],"mmm")</f>
        <v>Feb</v>
      </c>
      <c r="U995" t="str">
        <f>TEXT(tbl_HR_Data[[#This Row],[Joining Date]], "ddd")</f>
        <v>Thu</v>
      </c>
    </row>
    <row r="996" spans="1:21" x14ac:dyDescent="0.35">
      <c r="A996" t="s">
        <v>101</v>
      </c>
      <c r="B996">
        <v>50</v>
      </c>
      <c r="C996">
        <v>70000</v>
      </c>
      <c r="D996" t="s">
        <v>18</v>
      </c>
      <c r="E996" t="s">
        <v>19</v>
      </c>
      <c r="F996" t="s">
        <v>39</v>
      </c>
      <c r="G996" s="3">
        <v>43881</v>
      </c>
      <c r="H996" t="s">
        <v>96</v>
      </c>
      <c r="I996" t="s">
        <v>92</v>
      </c>
      <c r="J996" t="s">
        <v>31</v>
      </c>
      <c r="K996" t="s">
        <v>22</v>
      </c>
      <c r="L996" t="s">
        <v>88</v>
      </c>
      <c r="M996">
        <f>IFERROR( _xlfn.XLOOKUP(TRIM(tbl_HR_Data[[#This Row],[Age]]),#REF!,#REF!), VALUE(TRIM(tbl_HR_Data[[#This Row],[Age]])))</f>
        <v>50</v>
      </c>
      <c r="N996" t="str">
        <f>IFERROR(_xlfn.XLOOKUP(tbl_HR_Data[[#This Row],[Gender]], Mapping[Gender _Discarded], Mapping[Gender_Correction]), PROPER(TRIM(tbl_HR_Data[[#This Row],[Gender]])))</f>
        <v>Female</v>
      </c>
      <c r="O996" t="str">
        <f>TRIM(tbl_HR_Data[[#This Row],[Position]])</f>
        <v>Clerk</v>
      </c>
      <c r="P996" t="str">
        <f>IFERROR(_xlfn.XLOOKUP(tbl_HR_Data[[#This Row],[Email]], Mapping[Email_Discarded], Mapping[Email_Correction]), LOWER(TRIM(tbl_HR_Data[[#This Row],[Email]])))</f>
        <v>user@domain.com</v>
      </c>
      <c r="Q996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996" t="str" cm="1">
        <f t="array" ref="R996">_xlfn.REDUCE(Q996, {"-","/","_","\","(",")"}, _xlfn.LAMBDA(_xlpm.txt,_xlpm.itm, SUBSTITUTE(_xlpm.txt, _xlpm.itm, "")))</f>
        <v>0987654321</v>
      </c>
      <c r="S996" s="3">
        <f>IFERROR(_xlfn.XLOOKUP(tbl_HR_Data[[#This Row],[Joining Date]], Mapping[Joining_Discarded], Mapping[Joining_Correction]), VALUE(tbl_HR_Data[[#This Row],[Joining Date]]))</f>
        <v>43881</v>
      </c>
      <c r="T996" t="str">
        <f>TEXT(tbl_HR_Data[[#This Row],[Joining Date]],"mmm")</f>
        <v>Feb</v>
      </c>
      <c r="U996" t="str">
        <f>TEXT(tbl_HR_Data[[#This Row],[Joining Date]], "ddd")</f>
        <v>Thu</v>
      </c>
    </row>
    <row r="997" spans="1:21" x14ac:dyDescent="0.35">
      <c r="A997" t="s">
        <v>100</v>
      </c>
      <c r="B997">
        <v>50</v>
      </c>
      <c r="C997">
        <v>0</v>
      </c>
      <c r="D997" t="s">
        <v>18</v>
      </c>
      <c r="E997" t="s">
        <v>12</v>
      </c>
      <c r="F997" t="s">
        <v>20</v>
      </c>
      <c r="G997" s="3">
        <v>43881</v>
      </c>
      <c r="H997" t="s">
        <v>96</v>
      </c>
      <c r="I997" t="s">
        <v>92</v>
      </c>
      <c r="J997" t="s">
        <v>41</v>
      </c>
      <c r="K997" t="s">
        <v>77</v>
      </c>
      <c r="L997" t="s">
        <v>87</v>
      </c>
      <c r="M997">
        <f>IFERROR( _xlfn.XLOOKUP(TRIM(tbl_HR_Data[[#This Row],[Age]]),#REF!,#REF!), VALUE(TRIM(tbl_HR_Data[[#This Row],[Age]])))</f>
        <v>50</v>
      </c>
      <c r="N997" t="str">
        <f>IFERROR(_xlfn.XLOOKUP(tbl_HR_Data[[#This Row],[Gender]], Mapping[Gender _Discarded], Mapping[Gender_Correction]), PROPER(TRIM(tbl_HR_Data[[#This Row],[Gender]])))</f>
        <v>Female</v>
      </c>
      <c r="O997" t="str">
        <f>TRIM(tbl_HR_Data[[#This Row],[Position]])</f>
        <v>Director</v>
      </c>
      <c r="P997" t="str">
        <f>IFERROR(_xlfn.XLOOKUP(tbl_HR_Data[[#This Row],[Email]], Mapping[Email_Discarded], Mapping[Email_Correction]), LOWER(TRIM(tbl_HR_Data[[#This Row],[Email]])))</f>
        <v>not provided</v>
      </c>
      <c r="Q997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1234567890</v>
      </c>
      <c r="R997" t="str" cm="1">
        <f t="array" ref="R997">_xlfn.REDUCE(Q997, {"-","/","_","\","(",")"}, _xlfn.LAMBDA(_xlpm.txt,_xlpm.itm, SUBSTITUTE(_xlpm.txt, _xlpm.itm, "")))</f>
        <v>1234567890</v>
      </c>
      <c r="S997" s="3">
        <f>IFERROR(_xlfn.XLOOKUP(tbl_HR_Data[[#This Row],[Joining Date]], Mapping[Joining_Discarded], Mapping[Joining_Correction]), VALUE(tbl_HR_Data[[#This Row],[Joining Date]]))</f>
        <v>43881</v>
      </c>
      <c r="T997" t="str">
        <f>TEXT(tbl_HR_Data[[#This Row],[Joining Date]],"mmm")</f>
        <v>Feb</v>
      </c>
      <c r="U997" t="str">
        <f>TEXT(tbl_HR_Data[[#This Row],[Joining Date]], "ddd")</f>
        <v>Thu</v>
      </c>
    </row>
    <row r="998" spans="1:21" x14ac:dyDescent="0.35">
      <c r="A998" t="s">
        <v>103</v>
      </c>
      <c r="B998">
        <v>40</v>
      </c>
      <c r="C998">
        <v>55000</v>
      </c>
      <c r="D998" t="s">
        <v>18</v>
      </c>
      <c r="E998" t="s">
        <v>19</v>
      </c>
      <c r="F998" t="s">
        <v>13</v>
      </c>
      <c r="G998" s="3">
        <v>43881</v>
      </c>
      <c r="H998" t="s">
        <v>96</v>
      </c>
      <c r="I998" t="s">
        <v>92</v>
      </c>
      <c r="J998" t="s">
        <v>31</v>
      </c>
      <c r="K998" t="s">
        <v>77</v>
      </c>
      <c r="L998" t="s">
        <v>77</v>
      </c>
      <c r="M998">
        <f>IFERROR( _xlfn.XLOOKUP(TRIM(tbl_HR_Data[[#This Row],[Age]]),#REF!,#REF!), VALUE(TRIM(tbl_HR_Data[[#This Row],[Age]])))</f>
        <v>40</v>
      </c>
      <c r="N998" t="str">
        <f>IFERROR(_xlfn.XLOOKUP(tbl_HR_Data[[#This Row],[Gender]], Mapping[Gender _Discarded], Mapping[Gender_Correction]), PROPER(TRIM(tbl_HR_Data[[#This Row],[Gender]])))</f>
        <v>Female</v>
      </c>
      <c r="O998" t="str">
        <f>TRIM(tbl_HR_Data[[#This Row],[Position]])</f>
        <v>Manager</v>
      </c>
      <c r="P998" t="str">
        <f>IFERROR(_xlfn.XLOOKUP(tbl_HR_Data[[#This Row],[Email]], Mapping[Email_Discarded], Mapping[Email_Correction]), LOWER(TRIM(tbl_HR_Data[[#This Row],[Email]])))</f>
        <v>not provided</v>
      </c>
      <c r="Q998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Not Provided</v>
      </c>
      <c r="R998" t="str" cm="1">
        <f t="array" ref="R998">_xlfn.REDUCE(Q998, {"-","/","_","\","(",")"}, _xlfn.LAMBDA(_xlpm.txt,_xlpm.itm, SUBSTITUTE(_xlpm.txt, _xlpm.itm, "")))</f>
        <v>Not Provided</v>
      </c>
      <c r="S998" s="3">
        <f>IFERROR(_xlfn.XLOOKUP(tbl_HR_Data[[#This Row],[Joining Date]], Mapping[Joining_Discarded], Mapping[Joining_Correction]), VALUE(tbl_HR_Data[[#This Row],[Joining Date]]))</f>
        <v>43881</v>
      </c>
      <c r="T998" t="str">
        <f>TEXT(tbl_HR_Data[[#This Row],[Joining Date]],"mmm")</f>
        <v>Feb</v>
      </c>
      <c r="U998" t="str">
        <f>TEXT(tbl_HR_Data[[#This Row],[Joining Date]], "ddd")</f>
        <v>Thu</v>
      </c>
    </row>
    <row r="999" spans="1:21" x14ac:dyDescent="0.35">
      <c r="A999" t="s">
        <v>101</v>
      </c>
      <c r="B999">
        <v>25</v>
      </c>
      <c r="C999">
        <v>0</v>
      </c>
      <c r="D999" t="s">
        <v>36</v>
      </c>
      <c r="E999" t="s">
        <v>19</v>
      </c>
      <c r="F999" t="s">
        <v>39</v>
      </c>
      <c r="G999" s="3">
        <v>43881</v>
      </c>
      <c r="H999" t="s">
        <v>96</v>
      </c>
      <c r="I999" t="s">
        <v>92</v>
      </c>
      <c r="J999" t="s">
        <v>41</v>
      </c>
      <c r="K999" t="s">
        <v>15</v>
      </c>
      <c r="L999" t="s">
        <v>89</v>
      </c>
      <c r="M999">
        <f>IFERROR( _xlfn.XLOOKUP(TRIM(tbl_HR_Data[[#This Row],[Age]]),#REF!,#REF!), VALUE(TRIM(tbl_HR_Data[[#This Row],[Age]])))</f>
        <v>25</v>
      </c>
      <c r="N999" t="str">
        <f>IFERROR(_xlfn.XLOOKUP(tbl_HR_Data[[#This Row],[Gender]], Mapping[Gender _Discarded], Mapping[Gender_Correction]), PROPER(TRIM(tbl_HR_Data[[#This Row],[Gender]])))</f>
        <v>Other</v>
      </c>
      <c r="O999" t="str">
        <f>TRIM(tbl_HR_Data[[#This Row],[Position]])</f>
        <v>Clerk</v>
      </c>
      <c r="P999" t="str">
        <f>IFERROR(_xlfn.XLOOKUP(tbl_HR_Data[[#This Row],[Email]], Mapping[Email_Discarded], Mapping[Email_Correction]), LOWER(TRIM(tbl_HR_Data[[#This Row],[Email]])))</f>
        <v>email@example.com</v>
      </c>
      <c r="Q999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5555555555</v>
      </c>
      <c r="R999" t="str" cm="1">
        <f t="array" ref="R999">_xlfn.REDUCE(Q999, {"-","/","_","\","(",")"}, _xlfn.LAMBDA(_xlpm.txt,_xlpm.itm, SUBSTITUTE(_xlpm.txt, _xlpm.itm, "")))</f>
        <v>5555555555</v>
      </c>
      <c r="S999" s="3">
        <f>IFERROR(_xlfn.XLOOKUP(tbl_HR_Data[[#This Row],[Joining Date]], Mapping[Joining_Discarded], Mapping[Joining_Correction]), VALUE(tbl_HR_Data[[#This Row],[Joining Date]]))</f>
        <v>43881</v>
      </c>
      <c r="T999" t="str">
        <f>TEXT(tbl_HR_Data[[#This Row],[Joining Date]],"mmm")</f>
        <v>Feb</v>
      </c>
      <c r="U999" t="str">
        <f>TEXT(tbl_HR_Data[[#This Row],[Joining Date]], "ddd")</f>
        <v>Thu</v>
      </c>
    </row>
    <row r="1000" spans="1:21" x14ac:dyDescent="0.35">
      <c r="A1000" t="s">
        <v>103</v>
      </c>
      <c r="B1000">
        <v>30</v>
      </c>
      <c r="C1000">
        <v>50000</v>
      </c>
      <c r="D1000" t="s">
        <v>11</v>
      </c>
      <c r="E1000" t="s">
        <v>19</v>
      </c>
      <c r="F1000" t="s">
        <v>39</v>
      </c>
      <c r="G1000" s="3">
        <v>43881</v>
      </c>
      <c r="H1000" t="s">
        <v>96</v>
      </c>
      <c r="I1000" t="s">
        <v>92</v>
      </c>
      <c r="J1000" t="s">
        <v>27</v>
      </c>
      <c r="K1000" t="s">
        <v>77</v>
      </c>
      <c r="L1000" t="s">
        <v>88</v>
      </c>
      <c r="M1000">
        <f>IFERROR( _xlfn.XLOOKUP(TRIM(tbl_HR_Data[[#This Row],[Age]]),#REF!,#REF!), VALUE(TRIM(tbl_HR_Data[[#This Row],[Age]])))</f>
        <v>30</v>
      </c>
      <c r="N1000" t="str">
        <f>IFERROR(_xlfn.XLOOKUP(tbl_HR_Data[[#This Row],[Gender]], Mapping[Gender _Discarded], Mapping[Gender_Correction]), PROPER(TRIM(tbl_HR_Data[[#This Row],[Gender]])))</f>
        <v>Male</v>
      </c>
      <c r="O1000" t="str">
        <f>TRIM(tbl_HR_Data[[#This Row],[Position]])</f>
        <v>Clerk</v>
      </c>
      <c r="P1000" t="str">
        <f>IFERROR(_xlfn.XLOOKUP(tbl_HR_Data[[#This Row],[Email]], Mapping[Email_Discarded], Mapping[Email_Correction]), LOWER(TRIM(tbl_HR_Data[[#This Row],[Email]])))</f>
        <v>not provided</v>
      </c>
      <c r="Q1000" t="str">
        <f>IF( (LEN(tbl_HR_Data[[#This Row],[Phone Number]])&lt;10) + (LEN(tbl_HR_Data[[#This Row],[Phone Number]])&gt;15), "Invalid Format", IFERROR(_xlfn.XLOOKUP(tbl_HR_Data[[#This Row],[Phone Number]], Mapping[Phone_Discarded], Mapping[Phone_Correction]), PROPER(TRIM(tbl_HR_Data[[#This Row],[Phone Number]]))))</f>
        <v>0987654321</v>
      </c>
      <c r="R1000" t="str" cm="1">
        <f t="array" ref="R1000">_xlfn.REDUCE(Q1000, {"-","/","_","\","(",")"}, _xlfn.LAMBDA(_xlpm.txt,_xlpm.itm, SUBSTITUTE(_xlpm.txt, _xlpm.itm, "")))</f>
        <v>0987654321</v>
      </c>
      <c r="S1000" s="3">
        <f>IFERROR(_xlfn.XLOOKUP(tbl_HR_Data[[#This Row],[Joining Date]], Mapping[Joining_Discarded], Mapping[Joining_Correction]), VALUE(tbl_HR_Data[[#This Row],[Joining Date]]))</f>
        <v>43881</v>
      </c>
      <c r="T1000" t="str">
        <f>TEXT(tbl_HR_Data[[#This Row],[Joining Date]],"mmm")</f>
        <v>Feb</v>
      </c>
      <c r="U1000" t="str">
        <f>TEXT(tbl_HR_Data[[#This Row],[Joining Date]], "ddd")</f>
        <v>Thu</v>
      </c>
    </row>
    <row r="1002" spans="1:21" x14ac:dyDescent="0.35">
      <c r="K1002" s="4"/>
    </row>
  </sheetData>
  <conditionalFormatting sqref="F80">
    <cfRule type="duplicateValues" dxfId="1" priority="2"/>
  </conditionalFormatting>
  <conditionalFormatting sqref="I7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6F55-8CED-4BD7-BF11-36485B92FC1D}">
  <dimension ref="B2:M16"/>
  <sheetViews>
    <sheetView zoomScale="63" zoomScaleNormal="90" workbookViewId="0">
      <pane xSplit="2" topLeftCell="D1" activePane="topRight" state="frozen"/>
      <selection pane="topRight" activeCell="M20" sqref="M20"/>
    </sheetView>
  </sheetViews>
  <sheetFormatPr defaultRowHeight="14.5" x14ac:dyDescent="0.35"/>
  <cols>
    <col min="1" max="1" width="13.36328125" customWidth="1"/>
    <col min="2" max="2" width="43.81640625" customWidth="1"/>
    <col min="3" max="3" width="17.453125" customWidth="1"/>
    <col min="4" max="4" width="15.6328125" customWidth="1"/>
    <col min="5" max="5" width="14.90625" customWidth="1"/>
    <col min="6" max="6" width="11.6328125" customWidth="1"/>
    <col min="7" max="7" width="19.26953125" customWidth="1"/>
    <col min="8" max="8" width="12.453125" customWidth="1"/>
    <col min="9" max="10" width="10.90625" customWidth="1"/>
    <col min="11" max="11" width="13" customWidth="1"/>
    <col min="12" max="12" width="15.08984375" customWidth="1"/>
    <col min="13" max="13" width="16.81640625" customWidth="1"/>
    <col min="14" max="14" width="14.453125" customWidth="1"/>
  </cols>
  <sheetData>
    <row r="2" spans="2:13" ht="33.5" customHeight="1" x14ac:dyDescent="0.35">
      <c r="B2" s="7" t="s">
        <v>97</v>
      </c>
    </row>
    <row r="4" spans="2:13" x14ac:dyDescent="0.35">
      <c r="C4" s="6" t="s">
        <v>55</v>
      </c>
      <c r="D4">
        <f>COUNTA(tbl_Raw_Snapshot[Name])</f>
        <v>1000</v>
      </c>
    </row>
    <row r="5" spans="2:13" ht="18" customHeight="1" x14ac:dyDescent="0.35"/>
    <row r="6" spans="2:13" s="9" customFormat="1" ht="37" customHeight="1" x14ac:dyDescent="0.4">
      <c r="B6" s="8" t="s">
        <v>54</v>
      </c>
      <c r="C6" s="8" t="s">
        <v>53</v>
      </c>
      <c r="D6" s="8" t="s">
        <v>51</v>
      </c>
      <c r="E6" s="8" t="s">
        <v>52</v>
      </c>
      <c r="F6" s="8" t="s">
        <v>50</v>
      </c>
      <c r="G6" s="8" t="s">
        <v>59</v>
      </c>
      <c r="H6" s="8" t="s">
        <v>60</v>
      </c>
      <c r="I6" s="8" t="s">
        <v>61</v>
      </c>
      <c r="J6" s="8" t="s">
        <v>56</v>
      </c>
      <c r="K6" s="8" t="s">
        <v>57</v>
      </c>
      <c r="L6" s="8" t="s">
        <v>58</v>
      </c>
      <c r="M6" s="8" t="s">
        <v>62</v>
      </c>
    </row>
    <row r="7" spans="2:13" x14ac:dyDescent="0.35">
      <c r="B7" s="5" t="s">
        <v>0</v>
      </c>
      <c r="C7" cm="1">
        <f t="array" ref="C7">COUNTA(_xlfn.UNIQUE(_xlfn._xlws.FILTER(tbl_Raw_Snapshot[Name], tbl_Raw_Snapshot[Name]&lt;&gt;"")))</f>
        <v>10</v>
      </c>
      <c r="D7">
        <f>COUNTA(tbl_Raw_Snapshot[Name])-C7</f>
        <v>990</v>
      </c>
      <c r="E7">
        <f>COUNTBLANK(tbl_Raw_Snapshot[Name])</f>
        <v>0</v>
      </c>
      <c r="F7">
        <f>COUNTIFS(tbl_Raw_Snapshot[Name], "Null",tbl_Raw_Snapshot[Name], "null", tbl_Raw_Snapshot[Name],"N/A", tbl_Raw_Snapshot[Name],"n/a", tbl_Raw_Snapshot[Name], "nan", tbl_Raw_Snapshot[Name], "NAN", tbl_Raw_Snapshot[Name], "NaN")</f>
        <v>0</v>
      </c>
      <c r="G7" cm="1">
        <f t="array" ref="G7">SUMPRODUCT(--(TRIM(tbl_Raw_Snapshot[Name]&amp;"")&lt;&gt;tbl_Raw_Snapshot[Name]&amp;""))</f>
        <v>1000</v>
      </c>
      <c r="H7" cm="1">
        <f t="array" ref="H7">SUMPRODUCT(--(LEN(TRIM(tbl_Raw_Snapshot[Name]))&lt;&gt;LEN(tbl_Raw_Snapshot[Name])))</f>
        <v>1000</v>
      </c>
    </row>
    <row r="8" spans="2:13" x14ac:dyDescent="0.35">
      <c r="B8" s="5" t="s">
        <v>1</v>
      </c>
      <c r="C8">
        <f>COUNTA(_xlfn.UNIQUE(tbl_Raw_Snapshot[Age]))</f>
        <v>6</v>
      </c>
      <c r="D8">
        <f>COUNTA(tbl_Raw_Snapshot[Age])-C8</f>
        <v>994</v>
      </c>
      <c r="E8">
        <f>COUNTBLANK(tbl_Raw_Snapshot[Age])</f>
        <v>0</v>
      </c>
      <c r="F8">
        <f>COUNTIFS(tbl_Raw_Snapshot[Age], "Null",tbl_Raw_Snapshot[Age], "null", tbl_Raw_Snapshot[Age],"N/A", tbl_Raw_Snapshot[Age],"n/a", tbl_Raw_Snapshot[Age], "nan", tbl_Raw_Snapshot[Age], "NAN", tbl_Raw_Snapshot[Age], "NaN")</f>
        <v>0</v>
      </c>
      <c r="J8">
        <f>MIN(tbl_Raw_Snapshot[Age])</f>
        <v>25</v>
      </c>
      <c r="K8">
        <f>MAX(tbl_Raw_Snapshot[Age])</f>
        <v>50</v>
      </c>
      <c r="L8">
        <f>COUNTA(tbl_Raw_Snapshot[Age]) - COUNT(tbl_Raw_Snapshot[Age])</f>
        <v>335</v>
      </c>
    </row>
    <row r="9" spans="2:13" x14ac:dyDescent="0.35">
      <c r="B9" s="5" t="s">
        <v>2</v>
      </c>
      <c r="C9">
        <f>COUNTA(_xlfn.UNIQUE(tbl_Raw_Snapshot[Salary]))</f>
        <v>6</v>
      </c>
      <c r="D9">
        <f>COUNTA(tbl_Raw_Snapshot[Salary])-C9</f>
        <v>994</v>
      </c>
      <c r="E9">
        <f>COUNTBLANK(tbl_Raw_Snapshot[Salary])</f>
        <v>0</v>
      </c>
      <c r="F9">
        <f>COUNTIFS(tbl_Raw_Snapshot[Salary], "Null",tbl_Raw_Snapshot[Salary], "null", tbl_Raw_Snapshot[Salary],"N/A", tbl_Raw_Snapshot[Salary],"n/a", tbl_Raw_Snapshot[Salary], "nan", tbl_Raw_Snapshot[Salary], "NAN", tbl_Raw_Snapshot[Salary], "NaN")</f>
        <v>0</v>
      </c>
      <c r="J9">
        <f>MIN(tbl_Raw_Snapshot[Salary])</f>
        <v>50000</v>
      </c>
      <c r="K9">
        <f>MAX(tbl_Raw_Snapshot[Salary])</f>
        <v>70000</v>
      </c>
      <c r="L9">
        <f>COUNTA(tbl_Raw_Snapshot[Salary]) - COUNT(tbl_Raw_Snapshot[Salary])</f>
        <v>310</v>
      </c>
    </row>
    <row r="10" spans="2:13" x14ac:dyDescent="0.35">
      <c r="B10" s="5" t="s">
        <v>3</v>
      </c>
      <c r="C10">
        <f>COUNTA(_xlfn.UNIQUE(tbl_Raw_Snapshot[Gender]))</f>
        <v>3</v>
      </c>
      <c r="D10">
        <f>COUNTA(tbl_Raw_Snapshot[Gender])-C10</f>
        <v>997</v>
      </c>
      <c r="E10">
        <f>COUNTBLANK(tbl_Raw_Snapshot[Gender])</f>
        <v>0</v>
      </c>
      <c r="F10">
        <f>COUNTIFS(tbl_Raw_Snapshot[Gender], "Null",tbl_Raw_Snapshot[Gender], "null", tbl_Raw_Snapshot[Gender],"N/A", tbl_Raw_Snapshot[Gender],"n/a", tbl_Raw_Snapshot[Gender], "nan", tbl_Raw_Snapshot[Gender], "NAN", tbl_Raw_Snapshot[Gender], "NaN")</f>
        <v>0</v>
      </c>
      <c r="G10" cm="1">
        <f t="array" ref="G10">SUMPRODUCT(--(TRIM(tbl_Raw_Snapshot[Gender]&amp;"")&lt;&gt;tbl_Raw_Snapshot[Gender]&amp;""))</f>
        <v>0</v>
      </c>
      <c r="H10" cm="1">
        <f t="array" ref="H10">SUMPRODUCT(--(LEN(TRIM(tbl_Raw_Snapshot[Gender]))&lt;&gt;LEN(tbl_Raw_Snapshot[Gender])))</f>
        <v>0</v>
      </c>
    </row>
    <row r="11" spans="2:13" x14ac:dyDescent="0.35">
      <c r="B11" s="5" t="s">
        <v>4</v>
      </c>
      <c r="C11">
        <f>COUNTA(_xlfn.UNIQUE(tbl_Raw_Snapshot[Department]))</f>
        <v>5</v>
      </c>
      <c r="D11">
        <f>COUNTA(tbl_Raw_Snapshot[Department])-C11</f>
        <v>995</v>
      </c>
      <c r="E11">
        <f>COUNTBLANK(tbl_Raw_Snapshot[Department])</f>
        <v>0</v>
      </c>
      <c r="F11">
        <f>COUNTIFS(tbl_Raw_Snapshot[Department], "Null",tbl_Raw_Snapshot[Department], "null", tbl_Raw_Snapshot[Department],"N/A", tbl_Raw_Snapshot[Department],"n/a", tbl_Raw_Snapshot[Department], "nan", tbl_Raw_Snapshot[Department], "NAN", tbl_Raw_Snapshot[Department], "NaN")</f>
        <v>0</v>
      </c>
      <c r="G11" cm="1">
        <f t="array" ref="G11">SUMPRODUCT(--(TRIM(tbl_Raw_Snapshot[Department]&amp;"")&lt;&gt;tbl_Raw_Snapshot[Department]&amp;""))</f>
        <v>0</v>
      </c>
      <c r="H11" cm="1">
        <f t="array" ref="H11">SUMPRODUCT(--(LEN(TRIM(tbl_Raw_Snapshot[Department]))&lt;&gt;LEN(tbl_Raw_Snapshot[Department])))</f>
        <v>0</v>
      </c>
    </row>
    <row r="12" spans="2:13" x14ac:dyDescent="0.35">
      <c r="B12" s="5" t="s">
        <v>5</v>
      </c>
      <c r="C12">
        <f>COUNTA(_xlfn.UNIQUE(tbl_Raw_Snapshot[Position]))</f>
        <v>5</v>
      </c>
      <c r="D12">
        <f>COUNTA(tbl_Raw_Snapshot[Position])-C12</f>
        <v>995</v>
      </c>
      <c r="E12">
        <f>COUNTBLANK(tbl_Raw_Snapshot[Department])</f>
        <v>0</v>
      </c>
      <c r="F12">
        <f>COUNTIFS(tbl_Raw_Snapshot[Position], "Null",tbl_Raw_Snapshot[Position], "null", tbl_Raw_Snapshot[Position],"N/A", tbl_Raw_Snapshot[Position],"n/a", tbl_Raw_Snapshot[Position], "nan", tbl_Raw_Snapshot[Position], "NAN", tbl_Raw_Snapshot[Position], "NaN")</f>
        <v>0</v>
      </c>
      <c r="G12" cm="1">
        <f t="array" ref="G12">SUMPRODUCT(--(TRIM(tbl_Raw_Snapshot[Position]&amp;"")&lt;&gt;tbl_Raw_Snapshot[Department]&amp;""))</f>
        <v>1000</v>
      </c>
      <c r="H12" cm="1">
        <f t="array" ref="H12">SUMPRODUCT(--(LEN(TRIM(tbl_Raw_Snapshot[Position]))&lt;&gt;LEN(tbl_Raw_Snapshot[Position])))</f>
        <v>0</v>
      </c>
    </row>
    <row r="13" spans="2:13" x14ac:dyDescent="0.35">
      <c r="B13" s="5" t="s">
        <v>6</v>
      </c>
      <c r="C13">
        <f>COUNTA(_xlfn.UNIQUE(tbl_Raw_Snapshot[Joining Date]))</f>
        <v>5</v>
      </c>
      <c r="D13">
        <f>COUNTA(tbl_Raw_Snapshot[Joining Date])-C13</f>
        <v>995</v>
      </c>
      <c r="E13">
        <f>COUNTBLANK(tbl_Raw_Snapshot[Joining Date])</f>
        <v>0</v>
      </c>
      <c r="F13">
        <f>COUNTIFS(tbl_Raw_Snapshot[Joining Date], "Null",tbl_Raw_Snapshot[Joining Date], "null", tbl_Raw_Snapshot[Joining Date],"N/A", tbl_Raw_Snapshot[Joining Date],"n/a", tbl_Raw_Snapshot[Joining Date], "nan", tbl_Raw_Snapshot[Joining Date], "NAN", tbl_Raw_Snapshot[Joining Date], "NaN")</f>
        <v>0</v>
      </c>
      <c r="I13">
        <f>COUNTA(tbl_Raw_Snapshot[Joining Date])-COUNT(tbl_Raw_Snapshot[Joining Date])</f>
        <v>205</v>
      </c>
      <c r="J13">
        <f>MIN(tbl_Raw_Snapshot[Joining Date])</f>
        <v>43195</v>
      </c>
      <c r="K13">
        <f>MAX(tbl_Raw_Snapshot[Joining Date])</f>
        <v>43881</v>
      </c>
      <c r="L13">
        <f>COUNTA(tbl_Raw_Snapshot[Joining Date])-COUNT(tbl_Raw_Snapshot[Joining Date])</f>
        <v>205</v>
      </c>
    </row>
    <row r="14" spans="2:13" x14ac:dyDescent="0.35">
      <c r="B14" s="5" t="s">
        <v>7</v>
      </c>
      <c r="C14">
        <f>COUNTA(_xlfn.UNIQUE(tbl_Raw_Snapshot[Performance Score]))</f>
        <v>5</v>
      </c>
      <c r="D14">
        <f>COUNTA(tbl_Raw_Snapshot[Performance Score])-C14</f>
        <v>995</v>
      </c>
      <c r="E14">
        <f>COUNTBLANK(tbl_Raw_Snapshot[Performance Score])</f>
        <v>0</v>
      </c>
      <c r="F14">
        <f>COUNTIFS(tbl_Raw_Snapshot[Performance Score], "Null",tbl_Raw_Snapshot[Performance Score], "null", tbl_Raw_Snapshot[Performance Score],"N/A", tbl_Raw_Snapshot[Performance Score],"n/a", tbl_Raw_Snapshot[Performance Score], "nan", tbl_Raw_Snapshot[Performance Score], "NAN", tbl_Raw_Snapshot[Performance Score], "NaN")</f>
        <v>0</v>
      </c>
      <c r="G14" cm="1">
        <f t="array" ref="G14">SUMPRODUCT(--(TRIM(tbl_Raw_Snapshot[Performance Score]&amp;"")&lt;&gt;tbl_Raw_Snapshot[Performance Score]&amp;""))</f>
        <v>0</v>
      </c>
      <c r="H14" cm="1">
        <f t="array" ref="H14">SUMPRODUCT(--(LEN(TRIM(tbl_Raw_Snapshot[Performance Score]))&lt;&gt;LEN(tbl_Raw_Snapshot[Performance Score])))</f>
        <v>0</v>
      </c>
    </row>
    <row r="15" spans="2:13" x14ac:dyDescent="0.35">
      <c r="B15" s="5" t="s">
        <v>8</v>
      </c>
      <c r="C15">
        <f>COUNTA(_xlfn.UNIQUE(tbl_Raw_Snapshot[Email]))</f>
        <v>5</v>
      </c>
      <c r="D15">
        <f>COUNTA(tbl_Raw_Snapshot[Email])-C15</f>
        <v>805</v>
      </c>
      <c r="E15">
        <f>COUNTBLANK(tbl_Raw_Snapshot[Email])</f>
        <v>190</v>
      </c>
      <c r="F15">
        <f>COUNTIFS(tbl_Raw_Snapshot[Email], "Null",tbl_Raw_Snapshot[Email], "null", tbl_Raw_Snapshot[Email],"N/A", tbl_Raw_Snapshot[Email],"n/a", tbl_Raw_Snapshot[Email], "nan", tbl_Raw_Snapshot[Email], "NAN", tbl_Raw_Snapshot[Email], "NaN")</f>
        <v>0</v>
      </c>
      <c r="G15" cm="1">
        <f t="array" ref="G15">SUMPRODUCT(--(TRIM(tbl_Raw_Snapshot[Email]&amp;"")&lt;&gt;tbl_Raw_Snapshot[Email]&amp;""))</f>
        <v>0</v>
      </c>
      <c r="H15" cm="1">
        <f t="array" ref="H15">SUMPRODUCT(--(LEN(TRIM(tbl_Raw_Snapshot[Email]))&lt;&gt;LEN(tbl_Raw_Snapshot[Email])))</f>
        <v>0</v>
      </c>
      <c r="M15" cm="1">
        <f t="array" ref="M15">SUMPRODUCT( --(1&lt;&gt;(LEN(tbl_Raw_Snapshot[Email])-LEN(SUBSTITUTE(tbl_Raw_Snapshot[Email],"@","")))) * (TRIM(tbl_Raw_Snapshot[Email])&lt;&gt;"") * (LOWER(TRIM(tbl_Raw_Snapshot[Email]))&lt;&gt;"nan") * (TRIM(tbl_Raw_Snapshot[Email])&lt;&gt;"0") )</f>
        <v>0</v>
      </c>
    </row>
    <row r="16" spans="2:13" x14ac:dyDescent="0.35">
      <c r="B16" s="5" t="s">
        <v>9</v>
      </c>
      <c r="C16">
        <f>COUNTA(_xlfn.UNIQUE(tbl_Raw_Snapshot[Phone Number]))</f>
        <v>5</v>
      </c>
      <c r="D16">
        <f>COUNTA(tbl_Raw_Snapshot[Phone Number])-C16</f>
        <v>995</v>
      </c>
      <c r="E16">
        <f>COUNTBLANK(tbl_Raw_Snapshot[Phone Number])</f>
        <v>0</v>
      </c>
      <c r="F16">
        <f>COUNTIFS(tbl_Raw_Snapshot[Phone Number], "Null",tbl_Raw_Snapshot[Phone Number], "null", tbl_Raw_Snapshot[Phone Number],"N/A", tbl_Raw_Snapshot[Phone Number],"n/a", tbl_Raw_Snapshot[Phone Number], "nan", tbl_Raw_Snapshot[Phone Number], "NAN", tbl_Raw_Snapshot[Phone Number], "NaN")</f>
        <v>0</v>
      </c>
      <c r="G16" cm="1">
        <f t="array" ref="G16">SUMPRODUCT(--(TRIM(tbl_Raw_Snapshot[Phone Number]&amp;"")&lt;&gt;tbl_Raw_Snapshot[Phone Number]&amp;""))</f>
        <v>191</v>
      </c>
      <c r="H16" cm="1">
        <f t="array" ref="H16">SUMPRODUCT(--(LEN(TRIM(tbl_Raw_Snapshot[Phone Number]))&lt;&gt;LEN(tbl_Raw_Snapshot[Phone Number])))</f>
        <v>191</v>
      </c>
      <c r="M16" cm="1">
        <f t="array" ref="M16">SUMPRODUCT((LEN(tbl_Raw_Snapshot[Phone Number])&lt;10) + (LEN(tbl_Raw_Snapshot[Phone Number])&gt;15))</f>
        <v>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ADC41-EE8E-43BB-83BD-B53DCAE3FE56}">
  <dimension ref="C5:N25"/>
  <sheetViews>
    <sheetView topLeftCell="B7" zoomScale="66" workbookViewId="0">
      <selection activeCell="I19" sqref="I19"/>
    </sheetView>
  </sheetViews>
  <sheetFormatPr defaultRowHeight="14.5" x14ac:dyDescent="0.35"/>
  <cols>
    <col min="3" max="3" width="15.7265625" customWidth="1"/>
    <col min="4" max="4" width="15.453125" customWidth="1"/>
    <col min="5" max="5" width="18.453125" customWidth="1"/>
    <col min="6" max="6" width="19.36328125" customWidth="1"/>
    <col min="7" max="7" width="18.6328125" customWidth="1"/>
    <col min="8" max="8" width="18.54296875" customWidth="1"/>
    <col min="9" max="9" width="16.90625" customWidth="1"/>
    <col min="10" max="10" width="17.1796875" customWidth="1"/>
    <col min="11" max="11" width="20.81640625" customWidth="1"/>
    <col min="12" max="12" width="19.81640625" customWidth="1"/>
    <col min="13" max="13" width="16" customWidth="1"/>
    <col min="14" max="14" width="22.81640625" customWidth="1"/>
  </cols>
  <sheetData>
    <row r="5" spans="3:14" x14ac:dyDescent="0.35">
      <c r="C5" s="11"/>
      <c r="D5" s="11"/>
    </row>
    <row r="9" spans="3:14" x14ac:dyDescent="0.35">
      <c r="D9" s="1"/>
    </row>
    <row r="13" spans="3:14" x14ac:dyDescent="0.35">
      <c r="C13" t="s">
        <v>63</v>
      </c>
      <c r="D13" t="s">
        <v>64</v>
      </c>
      <c r="E13" t="s">
        <v>65</v>
      </c>
      <c r="F13" t="s">
        <v>66</v>
      </c>
      <c r="G13" t="s">
        <v>71</v>
      </c>
      <c r="H13" t="s">
        <v>72</v>
      </c>
      <c r="I13" t="s">
        <v>75</v>
      </c>
      <c r="J13" t="s">
        <v>76</v>
      </c>
      <c r="K13" t="s">
        <v>79</v>
      </c>
      <c r="L13" t="s">
        <v>80</v>
      </c>
      <c r="M13" t="s">
        <v>81</v>
      </c>
      <c r="N13" t="s">
        <v>82</v>
      </c>
    </row>
    <row r="14" spans="3:14" x14ac:dyDescent="0.35">
      <c r="C14" t="s">
        <v>16</v>
      </c>
      <c r="E14" t="s">
        <v>25</v>
      </c>
      <c r="F14">
        <v>60000</v>
      </c>
      <c r="G14" t="s">
        <v>67</v>
      </c>
      <c r="H14" t="s">
        <v>73</v>
      </c>
      <c r="I14">
        <v>0</v>
      </c>
      <c r="J14" t="s">
        <v>77</v>
      </c>
      <c r="K14" t="s">
        <v>16</v>
      </c>
      <c r="L14" t="s">
        <v>77</v>
      </c>
      <c r="M14">
        <v>0</v>
      </c>
      <c r="N14" t="s">
        <v>83</v>
      </c>
    </row>
    <row r="15" spans="3:14" x14ac:dyDescent="0.35">
      <c r="C15" t="s">
        <v>42</v>
      </c>
      <c r="D15">
        <v>30</v>
      </c>
      <c r="E15" t="s">
        <v>69</v>
      </c>
      <c r="I15" t="s">
        <v>16</v>
      </c>
      <c r="J15" t="s">
        <v>77</v>
      </c>
      <c r="K15" t="s">
        <v>33</v>
      </c>
      <c r="L15" t="s">
        <v>77</v>
      </c>
      <c r="M15" s="3" t="s">
        <v>40</v>
      </c>
      <c r="N15" s="3">
        <v>43477</v>
      </c>
    </row>
    <row r="16" spans="3:14" x14ac:dyDescent="0.35">
      <c r="C16">
        <v>0</v>
      </c>
      <c r="I16" s="2"/>
      <c r="J16" t="s">
        <v>77</v>
      </c>
    </row>
    <row r="18" spans="3:7" x14ac:dyDescent="0.35">
      <c r="D18" s="2"/>
      <c r="G18" s="2"/>
    </row>
    <row r="19" spans="3:7" x14ac:dyDescent="0.35">
      <c r="F19" s="2"/>
    </row>
    <row r="20" spans="3:7" x14ac:dyDescent="0.35">
      <c r="D20" s="2"/>
      <c r="G20" s="3"/>
    </row>
    <row r="21" spans="3:7" x14ac:dyDescent="0.35">
      <c r="C21" s="2"/>
      <c r="D21" s="2"/>
      <c r="G21" s="3"/>
    </row>
    <row r="22" spans="3:7" x14ac:dyDescent="0.35">
      <c r="G22" s="3"/>
    </row>
    <row r="23" spans="3:7" x14ac:dyDescent="0.35">
      <c r="G23" s="3"/>
    </row>
    <row r="24" spans="3:7" x14ac:dyDescent="0.35">
      <c r="G24" s="3"/>
    </row>
    <row r="25" spans="3:7" x14ac:dyDescent="0.35">
      <c r="G25" s="3"/>
    </row>
  </sheetData>
  <mergeCells count="1">
    <mergeCell ref="C5:D5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9AF51-DCEE-44D0-B77E-7C1D23164B08}">
  <dimension ref="B3:M21"/>
  <sheetViews>
    <sheetView tabSelected="1" zoomScale="57" workbookViewId="0">
      <pane xSplit="2" topLeftCell="C1" activePane="topRight" state="frozen"/>
      <selection pane="topRight" activeCell="M17" sqref="M17"/>
    </sheetView>
  </sheetViews>
  <sheetFormatPr defaultRowHeight="14.5" x14ac:dyDescent="0.35"/>
  <cols>
    <col min="1" max="1" width="7.26953125" customWidth="1"/>
    <col min="2" max="2" width="37.54296875" customWidth="1"/>
    <col min="3" max="3" width="18.1796875" customWidth="1"/>
    <col min="4" max="4" width="15.7265625" customWidth="1"/>
    <col min="5" max="5" width="13.1796875" customWidth="1"/>
    <col min="6" max="6" width="14.1796875" customWidth="1"/>
    <col min="7" max="7" width="13.08984375" customWidth="1"/>
    <col min="8" max="8" width="12.90625" customWidth="1"/>
    <col min="9" max="9" width="15.08984375" customWidth="1"/>
    <col min="10" max="10" width="12.54296875" customWidth="1"/>
    <col min="11" max="11" width="11.90625" customWidth="1"/>
    <col min="12" max="12" width="17.81640625" customWidth="1"/>
    <col min="13" max="13" width="19.36328125" customWidth="1"/>
  </cols>
  <sheetData>
    <row r="3" spans="2:13" ht="36.5" customHeight="1" x14ac:dyDescent="0.35">
      <c r="B3" s="10" t="s">
        <v>98</v>
      </c>
    </row>
    <row r="4" spans="2:13" x14ac:dyDescent="0.35">
      <c r="D4" s="5" t="s">
        <v>55</v>
      </c>
      <c r="E4">
        <f>COUNTA(tbl_Raw_Snapshot[Name])</f>
        <v>1000</v>
      </c>
    </row>
    <row r="7" spans="2:13" ht="16" x14ac:dyDescent="0.35">
      <c r="B7" s="8" t="s">
        <v>54</v>
      </c>
      <c r="C7" s="8" t="s">
        <v>53</v>
      </c>
      <c r="D7" s="8" t="s">
        <v>51</v>
      </c>
      <c r="E7" s="8" t="s">
        <v>52</v>
      </c>
      <c r="F7" s="8" t="s">
        <v>50</v>
      </c>
      <c r="G7" s="8" t="s">
        <v>59</v>
      </c>
      <c r="H7" s="8" t="s">
        <v>60</v>
      </c>
      <c r="I7" s="8" t="s">
        <v>61</v>
      </c>
      <c r="J7" s="8" t="s">
        <v>56</v>
      </c>
      <c r="K7" s="8" t="s">
        <v>57</v>
      </c>
      <c r="L7" s="8" t="s">
        <v>58</v>
      </c>
      <c r="M7" s="8" t="s">
        <v>62</v>
      </c>
    </row>
    <row r="8" spans="2:13" x14ac:dyDescent="0.35">
      <c r="B8" s="5" t="s">
        <v>0</v>
      </c>
      <c r="C8" cm="1">
        <f t="array" ref="C8">COUNTA(_xlfn.UNIQUE(_xlfn._xlws.FILTER(tbl_HR_Data[Name], tbl_HR_Data[Name]&lt;&gt;"")))</f>
        <v>10</v>
      </c>
      <c r="D8">
        <f>COUNTA(tbl_HR_Data[Name])-C8</f>
        <v>989</v>
      </c>
      <c r="E8">
        <f>COUNTBLANK(tbl_HR_Data[Name])</f>
        <v>0</v>
      </c>
      <c r="F8">
        <f>COUNTIFS(tbl_HR_Data[Name], "Null",tbl_HR_Data[Name], "null", tbl_HR_Data[Name],"N/A", tbl_HR_Data[Name],"n/a", tbl_HR_Data[Name], "nan", tbl_HR_Data[Name], "NAN", tbl_HR_Data[Name], "NaN")</f>
        <v>0</v>
      </c>
      <c r="G8" cm="1">
        <f t="array" ref="G8">SUMPRODUCT(--(TRIM(tbl_HR_Data[Name]&amp;"")&lt;&gt;tbl_HR_Data[Name]&amp;""))</f>
        <v>999</v>
      </c>
      <c r="H8" cm="1">
        <f t="array" ref="H8">SUMPRODUCT(--(LEN(TRIM(tbl_HR_Data[Name]))&lt;&gt;LEN(tbl_HR_Data[Name])))</f>
        <v>999</v>
      </c>
    </row>
    <row r="9" spans="2:13" x14ac:dyDescent="0.35">
      <c r="B9" s="5" t="s">
        <v>1</v>
      </c>
      <c r="C9">
        <f>COUNTA(_xlfn.UNIQUE(tbl_HR_Data[Age]))</f>
        <v>6</v>
      </c>
      <c r="D9">
        <f>COUNTA(tbl_HR_Data[Age])-C9</f>
        <v>993</v>
      </c>
      <c r="E9">
        <f>COUNTBLANK(tbl_HR_Data[Age])</f>
        <v>0</v>
      </c>
      <c r="F9">
        <f>COUNTIFS(tbl_HR_Data[Age], "Null",tbl_HR_Data[Age], "null", tbl_HR_Data[Age],"N/A", tbl_HR_Data[Age],"n/a", tbl_HR_Data[Age], "nan", tbl_HR_Data[Age], "NAN", tbl_HR_Data[Age], "NaN")</f>
        <v>0</v>
      </c>
      <c r="J9">
        <f>MIN(tbl_HR_Data[Age])</f>
        <v>0</v>
      </c>
      <c r="K9">
        <f>MAX(tbl_HR_Data[Age])</f>
        <v>50</v>
      </c>
      <c r="L9">
        <f>COUNTA(tbl_HR_Data[Age]) - COUNT(tbl_HR_Data[Age])</f>
        <v>0</v>
      </c>
    </row>
    <row r="10" spans="2:13" x14ac:dyDescent="0.35">
      <c r="B10" s="5" t="s">
        <v>2</v>
      </c>
      <c r="C10">
        <f>COUNTA(_xlfn.UNIQUE(tbl_HR_Data[Salary]))</f>
        <v>6</v>
      </c>
      <c r="D10">
        <f>COUNTA(tbl_HR_Data[Salary])-C10</f>
        <v>993</v>
      </c>
      <c r="E10">
        <f>COUNTBLANK(tbl_HR_Data[Salary])</f>
        <v>0</v>
      </c>
      <c r="F10">
        <f>COUNTIFS(tbl_HR_Data[Salary], "Null",tbl_HR_Data[Salary], "null", tbl_HR_Data[Salary],"N/A", tbl_HR_Data[Salary],"n/a", tbl_HR_Data[Salary], "nan", tbl_HR_Data[Salary], "NAN", tbl_HR_Data[Salary], "NaN")</f>
        <v>0</v>
      </c>
      <c r="J10">
        <f>MIN(tbl_HR_Data[Salary])</f>
        <v>0</v>
      </c>
      <c r="K10">
        <f>MAX(tbl_HR_Data[Salary])</f>
        <v>70000</v>
      </c>
      <c r="L10">
        <f>COUNTA(tbl_HR_Data[Salary]) - COUNT(tbl_HR_Data[Salary])</f>
        <v>0</v>
      </c>
    </row>
    <row r="11" spans="2:13" x14ac:dyDescent="0.35">
      <c r="B11" s="5" t="s">
        <v>3</v>
      </c>
      <c r="C11">
        <f>COUNTA(_xlfn.UNIQUE(tbl_HR_Data[Gender]))</f>
        <v>3</v>
      </c>
      <c r="D11">
        <f>COUNTA(tbl_HR_Data[Gender])-C11</f>
        <v>996</v>
      </c>
      <c r="E11">
        <f>COUNTBLANK(tbl_HR_Data[Gender])</f>
        <v>0</v>
      </c>
      <c r="F11">
        <f>COUNTIFS(tbl_HR_Data[Gender], "Null",tbl_HR_Data[Gender], "null", tbl_HR_Data[Gender],"N/A", tbl_HR_Data[Gender],"n/a", tbl_HR_Data[Gender], "nan", tbl_HR_Data[Gender], "NAN", tbl_HR_Data[Gender], "NaN")</f>
        <v>0</v>
      </c>
      <c r="G11" cm="1">
        <f t="array" ref="G11">SUMPRODUCT(--(TRIM(tbl_HR_Data[Gender]&amp;"")&lt;&gt;tbl_HR_Data[Gender]&amp;""))</f>
        <v>0</v>
      </c>
      <c r="H11" cm="1">
        <f t="array" ref="H11">SUMPRODUCT(--(LEN(TRIM(tbl_HR_Data[Gender]))&lt;&gt;LEN(tbl_HR_Data[Gender])))</f>
        <v>0</v>
      </c>
    </row>
    <row r="12" spans="2:13" x14ac:dyDescent="0.35">
      <c r="B12" s="5" t="s">
        <v>4</v>
      </c>
      <c r="C12">
        <f>COUNTA(_xlfn.UNIQUE(tbl_HR_Data[Department]))</f>
        <v>5</v>
      </c>
      <c r="D12">
        <f>COUNTA(tbl_HR_Data[Department])-C12</f>
        <v>994</v>
      </c>
      <c r="E12">
        <f>COUNTBLANK(tbl_HR_Data[Department])</f>
        <v>0</v>
      </c>
      <c r="F12">
        <f>COUNTIFS(tbl_HR_Data[Department], "Null",tbl_HR_Data[Department], "null", tbl_HR_Data[Department],"N/A", tbl_HR_Data[Department],"n/a", tbl_HR_Data[Department], "nan", tbl_HR_Data[Department], "NAN", tbl_HR_Data[Department], "NaN")</f>
        <v>0</v>
      </c>
      <c r="G12" cm="1">
        <f t="array" ref="G12">SUMPRODUCT(--(TRIM(tbl_HR_Data[Department]&amp;"")&lt;&gt;tbl_HR_Data[Department]&amp;""))</f>
        <v>0</v>
      </c>
      <c r="H12" cm="1">
        <f t="array" ref="H12">SUMPRODUCT(--(LEN(TRIM(tbl_HR_Data[Department]))&lt;&gt;LEN(tbl_HR_Data[Department])))</f>
        <v>0</v>
      </c>
    </row>
    <row r="13" spans="2:13" x14ac:dyDescent="0.35">
      <c r="B13" s="5" t="s">
        <v>5</v>
      </c>
      <c r="C13">
        <f>COUNTA(_xlfn.UNIQUE(tbl_HR_Data[Position]))</f>
        <v>5</v>
      </c>
      <c r="D13">
        <f>COUNTA(tbl_HR_Data[Position])-C13</f>
        <v>994</v>
      </c>
      <c r="E13">
        <f>COUNTBLANK(tbl_HR_Data[Department])</f>
        <v>0</v>
      </c>
      <c r="F13">
        <f>COUNTIFS(tbl_HR_Data[Position], "Null",tbl_HR_Data[Position], "null", tbl_HR_Data[Position],"N/A", tbl_HR_Data[Position],"n/a", tbl_HR_Data[Position], "nan", tbl_HR_Data[Position], "NAN", tbl_HR_Data[Position], "NaN")</f>
        <v>0</v>
      </c>
      <c r="G13" cm="1">
        <f t="array" ref="G13">SUMPRODUCT(--(TRIM(tbl_HR_Data[Position])&lt;&gt;tbl_HR_Data[Position]))</f>
        <v>0</v>
      </c>
      <c r="H13" cm="1">
        <f t="array" ref="H13">SUMPRODUCT(--(LEN(TRIM(tbl_HR_Data[Position]))&lt;&gt;LEN(tbl_HR_Data[Position])))</f>
        <v>0</v>
      </c>
    </row>
    <row r="14" spans="2:13" x14ac:dyDescent="0.35">
      <c r="B14" s="5" t="s">
        <v>6</v>
      </c>
      <c r="C14">
        <f>COUNTA(_xlfn.UNIQUE(tbl_HR_Data[Joining Date]))</f>
        <v>5</v>
      </c>
      <c r="D14">
        <f>COUNTA(tbl_HR_Data[Joining Date])-C14</f>
        <v>994</v>
      </c>
      <c r="E14">
        <f>COUNTBLANK(tbl_HR_Data[Joining Date])</f>
        <v>0</v>
      </c>
      <c r="F14">
        <f>COUNTIFS(tbl_HR_Data[Joining Date], "Null",tbl_HR_Data[Joining Date], "null", tbl_HR_Data[Joining Date],"N/A", tbl_HR_Data[Joining Date],"n/a", tbl_HR_Data[Joining Date], "nan", tbl_HR_Data[Joining Date], "NAN", tbl_HR_Data[Joining Date], "NaN")</f>
        <v>0</v>
      </c>
      <c r="I14">
        <f>COUNTA(tbl_HR_Data[Joining Date])-COUNT(tbl_HR_Data[Joining Date])</f>
        <v>0</v>
      </c>
      <c r="J14">
        <f>MIN(tbl_HR_Data[Joining Date])</f>
        <v>43195</v>
      </c>
      <c r="K14">
        <f>MAX(tbl_HR_Data[Joining Date])</f>
        <v>43881</v>
      </c>
      <c r="L14">
        <f>COUNTA(tbl_HR_Data[Joining Date])-COUNT(tbl_HR_Data[Joining Date])</f>
        <v>0</v>
      </c>
    </row>
    <row r="15" spans="2:13" x14ac:dyDescent="0.35">
      <c r="B15" s="5" t="s">
        <v>7</v>
      </c>
      <c r="C15">
        <f>COUNTA(_xlfn.UNIQUE(tbl_HR_Data[Performance Score]))</f>
        <v>5</v>
      </c>
      <c r="D15">
        <f>COUNTA(tbl_HR_Data[Performance Score])-C15</f>
        <v>994</v>
      </c>
      <c r="E15">
        <f>COUNTBLANK(tbl_HR_Data[Performance Score])</f>
        <v>0</v>
      </c>
      <c r="F15">
        <f>COUNTIFS(tbl_HR_Data[Performance Score], "Null",tbl_HR_Data[Performance Score], "null", tbl_HR_Data[Performance Score],"N/A", tbl_HR_Data[Performance Score],"n/a", tbl_HR_Data[Performance Score], "nan", tbl_HR_Data[Performance Score], "NAN", tbl_HR_Data[Performance Score], "NaN")</f>
        <v>0</v>
      </c>
      <c r="G15" cm="1">
        <f t="array" ref="G15">SUMPRODUCT(--(TRIM(tbl_HR_Data[Performance Score]&amp;"")&lt;&gt;tbl_HR_Data[Performance Score]&amp;""))</f>
        <v>0</v>
      </c>
      <c r="H15" cm="1">
        <f t="array" ref="H15">SUMPRODUCT(--(LEN(TRIM(tbl_HR_Data[Performance Score]))&lt;&gt;LEN(tbl_HR_Data[Performance Score])))</f>
        <v>0</v>
      </c>
    </row>
    <row r="16" spans="2:13" x14ac:dyDescent="0.35">
      <c r="B16" s="5" t="s">
        <v>8</v>
      </c>
      <c r="C16">
        <f>COUNTA(_xlfn.UNIQUE(tbl_HR_Data[Email]))</f>
        <v>4</v>
      </c>
      <c r="D16">
        <f>COUNTA(tbl_HR_Data[Email])-C16</f>
        <v>995</v>
      </c>
      <c r="E16">
        <f>COUNTBLANK(tbl_HR_Data[Email])</f>
        <v>0</v>
      </c>
      <c r="F16">
        <f>COUNTIFS(tbl_HR_Data[Email], "Null",tbl_HR_Data[Email], "null", tbl_HR_Data[Email],"N/A", tbl_HR_Data[Email],"n/a", tbl_HR_Data[Email], "nan", tbl_HR_Data[Email], "NAN", tbl_HR_Data[Email], "NaN")</f>
        <v>0</v>
      </c>
      <c r="G16" cm="1">
        <f t="array" ref="G16">SUMPRODUCT(--(TRIM(tbl_HR_Data[Email]&amp;"")&lt;&gt;tbl_HR_Data[Email]&amp;""))</f>
        <v>0</v>
      </c>
      <c r="H16" cm="1">
        <f t="array" ref="H16">SUMPRODUCT(--(LEN(TRIM(tbl_HR_Data[Email]))&lt;&gt;LEN(tbl_HR_Data[Email])))</f>
        <v>0</v>
      </c>
      <c r="M16" cm="1">
        <f t="array" ref="M16">SUMPRODUCT( --(1&lt;&gt;(LEN(tbl_Raw_Snapshot[Email])-LEN(SUBSTITUTE(tbl_Raw_Snapshot[Email],"@","")))) * (TRIM(tbl_Raw_Snapshot[Email])&lt;&gt;"") * (LOWER(TRIM(tbl_Raw_Snapshot[Email]))&lt;&gt;"nan") * (TRIM(tbl_Raw_Snapshot[Email])&lt;&gt;"0") )</f>
        <v>0</v>
      </c>
    </row>
    <row r="17" spans="2:13" x14ac:dyDescent="0.35">
      <c r="B17" s="5" t="s">
        <v>9</v>
      </c>
      <c r="C17">
        <f>COUNTA(_xlfn.UNIQUE(tbl_HR_Data[Phone Number]))</f>
        <v>4</v>
      </c>
      <c r="D17">
        <f>COUNTA(tbl_HR_Data[Phone Number])-C17</f>
        <v>995</v>
      </c>
      <c r="E17">
        <f>COUNTBLANK(tbl_HR_Data[Phone Number])</f>
        <v>0</v>
      </c>
      <c r="F17">
        <f>COUNTIFS(tbl_HR_Data[Phone Number], "Null",tbl_HR_Data[Phone Number], "null", tbl_HR_Data[Phone Number],"N/A", tbl_HR_Data[Phone Number],"n/a", tbl_HR_Data[Phone Number], "nan", tbl_HR_Data[Phone Number], "NAN", tbl_HR_Data[Phone Number], "NaN")</f>
        <v>0</v>
      </c>
      <c r="G17" cm="1">
        <f t="array" ref="G17">SUMPRODUCT(--(TRIM(tbl_HR_Data[Phone Number]&amp;"")&lt;&gt;tbl_HR_Data[Phone Number]&amp;""))</f>
        <v>0</v>
      </c>
      <c r="H17" cm="1">
        <f t="array" ref="H17">SUMPRODUCT(--(LEN(TRIM(tbl_HR_Data[Phone Number]))&lt;&gt;LEN(tbl_HR_Data[Phone Number])))</f>
        <v>0</v>
      </c>
      <c r="M17" cm="1">
        <f t="array" ref="M17">SUMPRODUCT((LEN(tbl_HR_Data[Phone Number])&lt;10) + (LEN(tbl_HR_Data[Phone Number])&gt;15))</f>
        <v>0</v>
      </c>
    </row>
    <row r="21" spans="2:13" x14ac:dyDescent="0.35">
      <c r="F21">
        <f>COUNTA(tbl_HR_Data[Name])</f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13</vt:i4>
      </vt:variant>
    </vt:vector>
  </HeadingPairs>
  <TitlesOfParts>
    <vt:vector size="18" baseType="lpstr">
      <vt:lpstr>Raw_Snapshot</vt:lpstr>
      <vt:lpstr>Cleaned</vt:lpstr>
      <vt:lpstr>Date Profile</vt:lpstr>
      <vt:lpstr>Admin_Mappings</vt:lpstr>
      <vt:lpstr>Validating </vt:lpstr>
      <vt:lpstr>Blanks</vt:lpstr>
      <vt:lpstr>Duplicates</vt:lpstr>
      <vt:lpstr>Empty_Text</vt:lpstr>
      <vt:lpstr>Max</vt:lpstr>
      <vt:lpstr>Min</vt:lpstr>
      <vt:lpstr>Missing</vt:lpstr>
      <vt:lpstr>Non_Numeric</vt:lpstr>
      <vt:lpstr>Nulls</vt:lpstr>
      <vt:lpstr>Padded_Text</vt:lpstr>
      <vt:lpstr>Pattern_Failures</vt:lpstr>
      <vt:lpstr>Text_Dates</vt:lpstr>
      <vt:lpstr>Total_Rows</vt:lpstr>
      <vt:lpstr>Unique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Zulfiqar Ali</dc:creator>
  <cp:lastModifiedBy>Zulfiqar Ali</cp:lastModifiedBy>
  <dcterms:created xsi:type="dcterms:W3CDTF">2026-10-10T09:19:58Z</dcterms:created>
  <dcterms:modified xsi:type="dcterms:W3CDTF">2026-10-28T16:00:10Z</dcterms:modified>
</cp:coreProperties>
</file>